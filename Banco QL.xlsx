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d05ff992baf8e6/Área de Trabalho/Molicenter/1.Programas/QL Final/"/>
    </mc:Choice>
  </mc:AlternateContent>
  <xr:revisionPtr revIDLastSave="697" documentId="13_ncr:1_{FDD8E105-D285-4AC0-A7F9-3D0E71625B16}" xr6:coauthVersionLast="47" xr6:coauthVersionMax="47" xr10:uidLastSave="{70533F81-A109-495B-8836-B97A0110B3B6}"/>
  <bookViews>
    <workbookView xWindow="-108" yWindow="-108" windowWidth="23256" windowHeight="12456" tabRatio="1000" firstSheet="11" activeTab="11" xr2:uid="{22033127-F5FE-4509-BD2B-8E0E6BCCC7F3}"/>
  </bookViews>
  <sheets>
    <sheet name="PLJ01" sheetId="1" state="hidden" r:id="rId1"/>
    <sheet name="PLJ02" sheetId="19" state="hidden" r:id="rId2"/>
    <sheet name="PLJ03" sheetId="27" state="hidden" r:id="rId3"/>
    <sheet name="PLJ04" sheetId="28" state="hidden" r:id="rId4"/>
    <sheet name="PLJ05" sheetId="29" state="hidden" r:id="rId5"/>
    <sheet name="PLJ06" sheetId="30" state="hidden" r:id="rId6"/>
    <sheet name="PLJ07" sheetId="31" state="hidden" r:id="rId7"/>
    <sheet name="PLJ08" sheetId="32" state="hidden" r:id="rId8"/>
    <sheet name="PLJTT" sheetId="35" state="hidden" r:id="rId9"/>
    <sheet name="QLP 30" sheetId="56" state="hidden" r:id="rId10"/>
    <sheet name="PLJ30" sheetId="58" state="hidden" r:id="rId11"/>
    <sheet name="Banco" sheetId="44" r:id="rId12"/>
    <sheet name="Conf" sheetId="14" r:id="rId13"/>
    <sheet name="Extras" sheetId="60" r:id="rId14"/>
    <sheet name="Hist LJ01" sheetId="9" state="hidden" r:id="rId15"/>
    <sheet name="Hist LJ02" sheetId="20" state="hidden" r:id="rId16"/>
    <sheet name="Hist LJ03" sheetId="21" state="hidden" r:id="rId17"/>
    <sheet name="Hist LJ04" sheetId="22" state="hidden" r:id="rId18"/>
    <sheet name="Hist LJ05" sheetId="23" state="hidden" r:id="rId19"/>
    <sheet name="Hist LJ06" sheetId="24" state="hidden" r:id="rId20"/>
    <sheet name="Hist LJ07" sheetId="25" state="hidden" r:id="rId21"/>
    <sheet name="Hist LJ08" sheetId="26" state="hidden" r:id="rId22"/>
    <sheet name="Hist LJTT" sheetId="36" state="hidden" r:id="rId23"/>
  </sheets>
  <definedNames>
    <definedName name="_xlnm._FilterDatabase" localSheetId="11" hidden="1">Banco!$A$1:$T$943</definedName>
    <definedName name="_xlnm._FilterDatabase" localSheetId="12" hidden="1">Conf!$K$3:$M$295</definedName>
    <definedName name="_xlnm._FilterDatabase" localSheetId="9" hidden="1">'QLP 30'!$A$9:$P$112</definedName>
    <definedName name="_xlnm.Print_Area" localSheetId="0">'PLJ01'!$A$1:$Y$40</definedName>
    <definedName name="_xlnm.Print_Area" localSheetId="1">'PLJ02'!$A$1:$Y$40</definedName>
    <definedName name="_xlnm.Print_Area" localSheetId="2">'PLJ03'!$A$1:$Y$40</definedName>
    <definedName name="_xlnm.Print_Area" localSheetId="3">'PLJ04'!$A$1:$Y$40</definedName>
    <definedName name="_xlnm.Print_Area" localSheetId="4">'PLJ05'!$A$1:$Y$40</definedName>
    <definedName name="_xlnm.Print_Area" localSheetId="5">'PLJ06'!$A$1:$Y$40</definedName>
    <definedName name="_xlnm.Print_Area" localSheetId="6">'PLJ07'!$A$1:$Y$40</definedName>
    <definedName name="_xlnm.Print_Area" localSheetId="7">'PLJ08'!$A$1:$Y$40</definedName>
    <definedName name="_xlnm.Print_Area" localSheetId="10">'PLJ30'!$A$1:$Y$40</definedName>
    <definedName name="_xlnm.Print_Area" localSheetId="8">PLJTT!$A$1:$Z$41</definedName>
    <definedName name="_xlnm.Print_Area" localSheetId="9">'QLP 30'!$A$1:$P$106</definedName>
    <definedName name="_xlnm.Print_Titles" localSheetId="9">'QLP 30'!$1:$4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4" l="1"/>
  <c r="C464" i="44" s="1"/>
  <c r="A464" i="44"/>
  <c r="D776" i="44"/>
  <c r="C776" i="44" s="1"/>
  <c r="A776" i="44"/>
  <c r="D847" i="44"/>
  <c r="C847" i="44" s="1"/>
  <c r="A847" i="44"/>
  <c r="D806" i="44"/>
  <c r="C806" i="44" s="1"/>
  <c r="A806" i="44"/>
  <c r="D822" i="44"/>
  <c r="B822" i="44" s="1"/>
  <c r="A822" i="44"/>
  <c r="D769" i="44"/>
  <c r="B769" i="44" s="1"/>
  <c r="A769" i="44"/>
  <c r="D915" i="44"/>
  <c r="B915" i="44" s="1"/>
  <c r="A915" i="44"/>
  <c r="D931" i="44"/>
  <c r="B931" i="44" s="1"/>
  <c r="A931" i="44"/>
  <c r="D921" i="44"/>
  <c r="B921" i="44" s="1"/>
  <c r="A921" i="44"/>
  <c r="D919" i="44"/>
  <c r="B919" i="44" s="1"/>
  <c r="A919" i="44"/>
  <c r="D940" i="44"/>
  <c r="B940" i="44" s="1"/>
  <c r="A940" i="44"/>
  <c r="D911" i="44"/>
  <c r="B911" i="44" s="1"/>
  <c r="A911" i="44"/>
  <c r="D521" i="44"/>
  <c r="C521" i="44" s="1"/>
  <c r="A521" i="44"/>
  <c r="D833" i="44"/>
  <c r="C833" i="44" s="1"/>
  <c r="A833" i="44"/>
  <c r="D477" i="44"/>
  <c r="C477" i="44" s="1"/>
  <c r="A477" i="44"/>
  <c r="D865" i="44"/>
  <c r="C865" i="44" s="1"/>
  <c r="A865" i="44"/>
  <c r="D875" i="44"/>
  <c r="C875" i="44" s="1"/>
  <c r="A875" i="44"/>
  <c r="D179" i="44"/>
  <c r="C179" i="44" s="1"/>
  <c r="A179" i="44"/>
  <c r="D932" i="44"/>
  <c r="C932" i="44" s="1"/>
  <c r="A932" i="44"/>
  <c r="D577" i="44"/>
  <c r="C577" i="44" s="1"/>
  <c r="A577" i="44"/>
  <c r="D874" i="44"/>
  <c r="C874" i="44" s="1"/>
  <c r="A874" i="44"/>
  <c r="D782" i="44"/>
  <c r="C782" i="44" s="1"/>
  <c r="A782" i="44"/>
  <c r="D742" i="44"/>
  <c r="C742" i="44" s="1"/>
  <c r="A742" i="44"/>
  <c r="D178" i="44"/>
  <c r="C178" i="44" s="1"/>
  <c r="A178" i="44"/>
  <c r="D841" i="44"/>
  <c r="C841" i="44" s="1"/>
  <c r="A841" i="44"/>
  <c r="D772" i="44"/>
  <c r="C772" i="44" s="1"/>
  <c r="A772" i="44"/>
  <c r="D659" i="44"/>
  <c r="C659" i="44" s="1"/>
  <c r="A659" i="44"/>
  <c r="D791" i="44"/>
  <c r="C791" i="44" s="1"/>
  <c r="A791" i="44"/>
  <c r="D881" i="44"/>
  <c r="C881" i="44" s="1"/>
  <c r="A881" i="44"/>
  <c r="D808" i="44"/>
  <c r="C808" i="44" s="1"/>
  <c r="A808" i="44"/>
  <c r="D853" i="44"/>
  <c r="C853" i="44" s="1"/>
  <c r="A853" i="44"/>
  <c r="D797" i="44"/>
  <c r="C797" i="44" s="1"/>
  <c r="A797" i="44"/>
  <c r="D146" i="44"/>
  <c r="B146" i="44" s="1"/>
  <c r="A146" i="44"/>
  <c r="D550" i="44"/>
  <c r="B550" i="44" s="1"/>
  <c r="A550" i="44"/>
  <c r="D863" i="44"/>
  <c r="B863" i="44" s="1"/>
  <c r="A863" i="44"/>
  <c r="D837" i="44"/>
  <c r="C837" i="44" s="1"/>
  <c r="A837" i="44"/>
  <c r="D184" i="44"/>
  <c r="B184" i="44" s="1"/>
  <c r="A184" i="44"/>
  <c r="D362" i="44"/>
  <c r="B362" i="44" s="1"/>
  <c r="A362" i="44"/>
  <c r="D458" i="44"/>
  <c r="B458" i="44" s="1"/>
  <c r="A458" i="44"/>
  <c r="D912" i="44"/>
  <c r="B912" i="44" s="1"/>
  <c r="A912" i="44"/>
  <c r="D866" i="44"/>
  <c r="B866" i="44" s="1"/>
  <c r="A866" i="44"/>
  <c r="D223" i="44"/>
  <c r="A223" i="44"/>
  <c r="C940" i="44" l="1"/>
  <c r="C919" i="44"/>
  <c r="C911" i="44"/>
  <c r="B806" i="44"/>
  <c r="B776" i="44"/>
  <c r="C915" i="44"/>
  <c r="B847" i="44"/>
  <c r="B464" i="44"/>
  <c r="C921" i="44"/>
  <c r="C769" i="44"/>
  <c r="C931" i="44"/>
  <c r="C822" i="44"/>
  <c r="B833" i="44"/>
  <c r="B865" i="44"/>
  <c r="B875" i="44"/>
  <c r="B477" i="44"/>
  <c r="B521" i="44"/>
  <c r="B932" i="44"/>
  <c r="B179" i="44"/>
  <c r="B742" i="44"/>
  <c r="B782" i="44"/>
  <c r="B874" i="44"/>
  <c r="B577" i="44"/>
  <c r="B659" i="44"/>
  <c r="B841" i="44"/>
  <c r="B772" i="44"/>
  <c r="B178" i="44"/>
  <c r="B853" i="44"/>
  <c r="B881" i="44"/>
  <c r="B797" i="44"/>
  <c r="B808" i="44"/>
  <c r="B791" i="44"/>
  <c r="C863" i="44"/>
  <c r="C550" i="44"/>
  <c r="C146" i="44"/>
  <c r="C912" i="44"/>
  <c r="C184" i="44"/>
  <c r="C362" i="44"/>
  <c r="C458" i="44"/>
  <c r="B837" i="44"/>
  <c r="C866" i="44"/>
  <c r="C223" i="44"/>
  <c r="B223" i="44"/>
  <c r="D453" i="44"/>
  <c r="A453" i="44"/>
  <c r="D917" i="44"/>
  <c r="A917" i="44"/>
  <c r="D655" i="44"/>
  <c r="A655" i="44"/>
  <c r="D918" i="44"/>
  <c r="A918" i="44"/>
  <c r="D936" i="44"/>
  <c r="A936" i="44"/>
  <c r="D790" i="44"/>
  <c r="A790" i="44"/>
  <c r="D886" i="44"/>
  <c r="A886" i="44"/>
  <c r="D810" i="44"/>
  <c r="A810" i="44"/>
  <c r="D675" i="44"/>
  <c r="A675" i="44"/>
  <c r="D778" i="44"/>
  <c r="A778" i="44"/>
  <c r="D436" i="44"/>
  <c r="A436" i="44"/>
  <c r="D636" i="44"/>
  <c r="A636" i="44"/>
  <c r="D820" i="44"/>
  <c r="A820" i="44"/>
  <c r="D456" i="44"/>
  <c r="A456" i="44"/>
  <c r="D816" i="44"/>
  <c r="A816" i="44"/>
  <c r="D674" i="44"/>
  <c r="A674" i="44"/>
  <c r="D757" i="44"/>
  <c r="A757" i="44"/>
  <c r="D254" i="44"/>
  <c r="A254" i="44"/>
  <c r="D447" i="44"/>
  <c r="A447" i="44"/>
  <c r="D850" i="44"/>
  <c r="A850" i="44"/>
  <c r="D812" i="44"/>
  <c r="A812" i="44"/>
  <c r="D533" i="44"/>
  <c r="A533" i="44"/>
  <c r="A777" i="44"/>
  <c r="D591" i="44"/>
  <c r="A591" i="44"/>
  <c r="D726" i="44"/>
  <c r="A726" i="44"/>
  <c r="D746" i="44"/>
  <c r="A746" i="44"/>
  <c r="D766" i="44"/>
  <c r="A766" i="44"/>
  <c r="D199" i="44"/>
  <c r="A199" i="44"/>
  <c r="D224" i="44"/>
  <c r="A224" i="44"/>
  <c r="D138" i="44"/>
  <c r="A138" i="44"/>
  <c r="D523" i="44"/>
  <c r="A523" i="44"/>
  <c r="D266" i="44"/>
  <c r="A266" i="44"/>
  <c r="D317" i="44"/>
  <c r="A317" i="44"/>
  <c r="D311" i="44"/>
  <c r="A311" i="44"/>
  <c r="D371" i="44"/>
  <c r="A371" i="44"/>
  <c r="D344" i="44"/>
  <c r="A344" i="44"/>
  <c r="D272" i="44"/>
  <c r="A272" i="44"/>
  <c r="D73" i="44"/>
  <c r="A73" i="44"/>
  <c r="D188" i="44"/>
  <c r="A188" i="44"/>
  <c r="D132" i="44"/>
  <c r="A132" i="44"/>
  <c r="D282" i="44"/>
  <c r="A282" i="44"/>
  <c r="D140" i="44"/>
  <c r="A140" i="44"/>
  <c r="D314" i="44"/>
  <c r="A314" i="44"/>
  <c r="D416" i="44"/>
  <c r="A416" i="44"/>
  <c r="D413" i="44"/>
  <c r="A413" i="44"/>
  <c r="D540" i="44"/>
  <c r="A540" i="44"/>
  <c r="D770" i="44"/>
  <c r="A770" i="44"/>
  <c r="D548" i="44"/>
  <c r="A548" i="44"/>
  <c r="D235" i="44"/>
  <c r="A235" i="44"/>
  <c r="D385" i="44"/>
  <c r="A385" i="44"/>
  <c r="D383" i="44"/>
  <c r="A383" i="44"/>
  <c r="D522" i="44"/>
  <c r="A522" i="44"/>
  <c r="D842" i="44"/>
  <c r="A842" i="44"/>
  <c r="D613" i="44"/>
  <c r="A613" i="44"/>
  <c r="D608" i="44"/>
  <c r="A608" i="44"/>
  <c r="D695" i="44"/>
  <c r="A695" i="44"/>
  <c r="D566" i="44"/>
  <c r="A566" i="44"/>
  <c r="D731" i="44"/>
  <c r="A731" i="44"/>
  <c r="D813" i="44"/>
  <c r="A813" i="44"/>
  <c r="D889" i="44"/>
  <c r="A889" i="44"/>
  <c r="D879" i="44"/>
  <c r="A879" i="44"/>
  <c r="D739" i="44"/>
  <c r="A739" i="44"/>
  <c r="D780" i="44"/>
  <c r="A780" i="44"/>
  <c r="D462" i="44"/>
  <c r="A462" i="44"/>
  <c r="D807" i="44"/>
  <c r="A807" i="44"/>
  <c r="D268" i="44"/>
  <c r="A268" i="44"/>
  <c r="D380" i="44"/>
  <c r="A380" i="44"/>
  <c r="D299" i="44"/>
  <c r="A299" i="44"/>
  <c r="D316" i="44"/>
  <c r="A316" i="44"/>
  <c r="D551" i="44"/>
  <c r="A551" i="44"/>
  <c r="D392" i="44"/>
  <c r="A392" i="44"/>
  <c r="D683" i="44"/>
  <c r="A683" i="44"/>
  <c r="D933" i="44"/>
  <c r="A933" i="44"/>
  <c r="D793" i="44"/>
  <c r="A793" i="44"/>
  <c r="D774" i="44"/>
  <c r="A774" i="44"/>
  <c r="D617" i="44"/>
  <c r="A617" i="44"/>
  <c r="D870" i="44"/>
  <c r="A870" i="44"/>
  <c r="D871" i="44"/>
  <c r="A871" i="44"/>
  <c r="D831" i="44"/>
  <c r="A831" i="44"/>
  <c r="D937" i="44"/>
  <c r="A937" i="44"/>
  <c r="D693" i="44"/>
  <c r="A693" i="44"/>
  <c r="D827" i="44"/>
  <c r="A827" i="44"/>
  <c r="D379" i="44"/>
  <c r="A379" i="44"/>
  <c r="C812" i="44" l="1"/>
  <c r="B812" i="44"/>
  <c r="C937" i="44"/>
  <c r="B937" i="44"/>
  <c r="B617" i="44"/>
  <c r="C617" i="44"/>
  <c r="C933" i="44"/>
  <c r="B933" i="44"/>
  <c r="C316" i="44"/>
  <c r="B316" i="44"/>
  <c r="C807" i="44"/>
  <c r="B807" i="44"/>
  <c r="C739" i="44"/>
  <c r="B739" i="44"/>
  <c r="C731" i="44"/>
  <c r="B731" i="44"/>
  <c r="C613" i="44"/>
  <c r="B613" i="44"/>
  <c r="C385" i="44"/>
  <c r="B385" i="44"/>
  <c r="C540" i="44"/>
  <c r="B540" i="44"/>
  <c r="B140" i="44"/>
  <c r="C140" i="44"/>
  <c r="C73" i="44"/>
  <c r="B73" i="44"/>
  <c r="B311" i="44"/>
  <c r="C311" i="44"/>
  <c r="C138" i="44"/>
  <c r="B138" i="44"/>
  <c r="C746" i="44"/>
  <c r="B746" i="44"/>
  <c r="C757" i="44"/>
  <c r="B757" i="44"/>
  <c r="C790" i="44"/>
  <c r="B790" i="44"/>
  <c r="C379" i="44"/>
  <c r="B379" i="44"/>
  <c r="C831" i="44"/>
  <c r="B831" i="44"/>
  <c r="B774" i="44"/>
  <c r="C774" i="44"/>
  <c r="C683" i="44"/>
  <c r="B683" i="44"/>
  <c r="C299" i="44"/>
  <c r="B299" i="44"/>
  <c r="B879" i="44"/>
  <c r="C879" i="44"/>
  <c r="C566" i="44"/>
  <c r="B566" i="44"/>
  <c r="C842" i="44"/>
  <c r="B842" i="44"/>
  <c r="C235" i="44"/>
  <c r="B235" i="44"/>
  <c r="C413" i="44"/>
  <c r="B413" i="44"/>
  <c r="B282" i="44"/>
  <c r="C282" i="44"/>
  <c r="C272" i="44"/>
  <c r="B272" i="44"/>
  <c r="C317" i="44"/>
  <c r="B317" i="44"/>
  <c r="C224" i="44"/>
  <c r="B224" i="44"/>
  <c r="C726" i="44"/>
  <c r="B726" i="44"/>
  <c r="C674" i="44"/>
  <c r="B674" i="44"/>
  <c r="C936" i="44"/>
  <c r="B936" i="44"/>
  <c r="C392" i="44"/>
  <c r="B392" i="44"/>
  <c r="C462" i="44"/>
  <c r="B462" i="44"/>
  <c r="C695" i="44"/>
  <c r="B695" i="44"/>
  <c r="C548" i="44"/>
  <c r="B548" i="44"/>
  <c r="C416" i="44"/>
  <c r="B416" i="44"/>
  <c r="C132" i="44"/>
  <c r="B132" i="44"/>
  <c r="C344" i="44"/>
  <c r="B344" i="44"/>
  <c r="C266" i="44"/>
  <c r="B266" i="44"/>
  <c r="C199" i="44"/>
  <c r="B199" i="44"/>
  <c r="C591" i="44"/>
  <c r="B591" i="44"/>
  <c r="B778" i="44"/>
  <c r="C778" i="44"/>
  <c r="C655" i="44"/>
  <c r="B655" i="44"/>
  <c r="C850" i="44"/>
  <c r="B850" i="44"/>
  <c r="C636" i="44"/>
  <c r="B636" i="44"/>
  <c r="C675" i="44"/>
  <c r="B675" i="44"/>
  <c r="C827" i="44"/>
  <c r="B827" i="44"/>
  <c r="C871" i="44"/>
  <c r="B871" i="44"/>
  <c r="B793" i="44"/>
  <c r="C793" i="44"/>
  <c r="C380" i="44"/>
  <c r="B380" i="44"/>
  <c r="C889" i="44"/>
  <c r="B889" i="44"/>
  <c r="C522" i="44"/>
  <c r="B522" i="44"/>
  <c r="C447" i="44"/>
  <c r="B447" i="44"/>
  <c r="C816" i="44"/>
  <c r="B816" i="44"/>
  <c r="C810" i="44"/>
  <c r="B810" i="44"/>
  <c r="C917" i="44"/>
  <c r="B917" i="44"/>
  <c r="C820" i="44"/>
  <c r="B820" i="44"/>
  <c r="C870" i="44"/>
  <c r="B870" i="44"/>
  <c r="C551" i="44"/>
  <c r="B551" i="44"/>
  <c r="B780" i="44"/>
  <c r="C780" i="44"/>
  <c r="C314" i="44"/>
  <c r="B314" i="44"/>
  <c r="C693" i="44"/>
  <c r="B693" i="44"/>
  <c r="C268" i="44"/>
  <c r="B268" i="44"/>
  <c r="B813" i="44"/>
  <c r="C813" i="44"/>
  <c r="C608" i="44"/>
  <c r="B608" i="44"/>
  <c r="C383" i="44"/>
  <c r="B383" i="44"/>
  <c r="C770" i="44"/>
  <c r="B770" i="44"/>
  <c r="C188" i="44"/>
  <c r="B188" i="44"/>
  <c r="C371" i="44"/>
  <c r="B371" i="44"/>
  <c r="C523" i="44"/>
  <c r="B523" i="44"/>
  <c r="C766" i="44"/>
  <c r="B766" i="44"/>
  <c r="C533" i="44"/>
  <c r="B533" i="44"/>
  <c r="C254" i="44"/>
  <c r="B254" i="44"/>
  <c r="B456" i="44"/>
  <c r="C456" i="44"/>
  <c r="C436" i="44"/>
  <c r="B436" i="44"/>
  <c r="C886" i="44"/>
  <c r="B886" i="44"/>
  <c r="C918" i="44"/>
  <c r="B918" i="44"/>
  <c r="C453" i="44"/>
  <c r="B453" i="44"/>
  <c r="D819" i="44"/>
  <c r="A819" i="44"/>
  <c r="D355" i="44"/>
  <c r="A355" i="44"/>
  <c r="D388" i="44"/>
  <c r="A388" i="44"/>
  <c r="D903" i="44"/>
  <c r="A903" i="44"/>
  <c r="D36" i="44"/>
  <c r="A36" i="44"/>
  <c r="D927" i="44"/>
  <c r="A927" i="44"/>
  <c r="D696" i="44"/>
  <c r="A696" i="44"/>
  <c r="D781" i="44"/>
  <c r="A781" i="44"/>
  <c r="D747" i="44"/>
  <c r="A747" i="44"/>
  <c r="D775" i="44"/>
  <c r="A775" i="44"/>
  <c r="D433" i="44"/>
  <c r="A433" i="44"/>
  <c r="D467" i="44"/>
  <c r="A467" i="44"/>
  <c r="D553" i="44"/>
  <c r="A553" i="44"/>
  <c r="D663" i="44"/>
  <c r="A663" i="44"/>
  <c r="D704" i="44"/>
  <c r="A704" i="44"/>
  <c r="D139" i="44"/>
  <c r="A139" i="44"/>
  <c r="D599" i="44"/>
  <c r="A599" i="44"/>
  <c r="D33" i="44"/>
  <c r="A33" i="44"/>
  <c r="D391" i="44"/>
  <c r="A391" i="44"/>
  <c r="D475" i="44"/>
  <c r="A475" i="44"/>
  <c r="D612" i="44"/>
  <c r="A612" i="44"/>
  <c r="D22" i="44"/>
  <c r="A22" i="44"/>
  <c r="D725" i="44"/>
  <c r="A725" i="44"/>
  <c r="D131" i="44"/>
  <c r="A131" i="44"/>
  <c r="D868" i="44"/>
  <c r="A868" i="44"/>
  <c r="D343" i="44"/>
  <c r="A343" i="44"/>
  <c r="D880" i="44"/>
  <c r="A880" i="44"/>
  <c r="D412" i="44"/>
  <c r="A412" i="44"/>
  <c r="D322" i="44"/>
  <c r="A322" i="44"/>
  <c r="D107" i="44"/>
  <c r="A107" i="44"/>
  <c r="D619" i="44"/>
  <c r="A619" i="44"/>
  <c r="D786" i="44"/>
  <c r="A786" i="44"/>
  <c r="D187" i="44"/>
  <c r="A187" i="44"/>
  <c r="D581" i="44"/>
  <c r="A581" i="44"/>
  <c r="D536" i="44"/>
  <c r="A536" i="44"/>
  <c r="D641" i="44"/>
  <c r="A641" i="44"/>
  <c r="D366" i="44"/>
  <c r="A366" i="44"/>
  <c r="D712" i="44"/>
  <c r="A712" i="44"/>
  <c r="D10" i="44"/>
  <c r="A10" i="44"/>
  <c r="D195" i="44"/>
  <c r="A195" i="44"/>
  <c r="D596" i="44"/>
  <c r="A596" i="44"/>
  <c r="D117" i="44"/>
  <c r="A117" i="44"/>
  <c r="D358" i="44"/>
  <c r="A358" i="44"/>
  <c r="D280" i="44"/>
  <c r="A280" i="44"/>
  <c r="D96" i="44"/>
  <c r="A96" i="44"/>
  <c r="D256" i="44"/>
  <c r="A256" i="44"/>
  <c r="D39" i="44"/>
  <c r="A39" i="44"/>
  <c r="D561" i="44"/>
  <c r="A561" i="44"/>
  <c r="D19" i="44"/>
  <c r="A19" i="44"/>
  <c r="D849" i="44"/>
  <c r="A849" i="44"/>
  <c r="D714" i="44"/>
  <c r="A714" i="44"/>
  <c r="D585" i="44"/>
  <c r="A585" i="44"/>
  <c r="D147" i="44"/>
  <c r="A147" i="44"/>
  <c r="D342" i="44"/>
  <c r="A342" i="44"/>
  <c r="D332" i="44"/>
  <c r="A332" i="44"/>
  <c r="D665" i="44"/>
  <c r="A665" i="44"/>
  <c r="D590" i="44"/>
  <c r="A590" i="44"/>
  <c r="D95" i="44"/>
  <c r="A95" i="44"/>
  <c r="D45" i="44"/>
  <c r="A45" i="44"/>
  <c r="D303" i="44"/>
  <c r="A303" i="44"/>
  <c r="D94" i="44"/>
  <c r="A94" i="44"/>
  <c r="D525" i="44"/>
  <c r="A525" i="44"/>
  <c r="D86" i="44"/>
  <c r="A86" i="44"/>
  <c r="D397" i="44"/>
  <c r="A397" i="44"/>
  <c r="D213" i="44"/>
  <c r="A213" i="44"/>
  <c r="D105" i="44"/>
  <c r="A105" i="44"/>
  <c r="D623" i="44"/>
  <c r="A623" i="44"/>
  <c r="D677" i="44"/>
  <c r="A677" i="44"/>
  <c r="D68" i="44"/>
  <c r="A68" i="44"/>
  <c r="D629" i="44"/>
  <c r="A629" i="44"/>
  <c r="D74" i="44"/>
  <c r="A74" i="44"/>
  <c r="D17" i="44"/>
  <c r="A17" i="44"/>
  <c r="D616" i="44"/>
  <c r="A616" i="44"/>
  <c r="D234" i="44"/>
  <c r="A234" i="44"/>
  <c r="D228" i="44"/>
  <c r="A228" i="44"/>
  <c r="D597" i="44"/>
  <c r="A597" i="44"/>
  <c r="D913" i="44"/>
  <c r="A913" i="44"/>
  <c r="D389" i="44"/>
  <c r="A389" i="44"/>
  <c r="D211" i="44"/>
  <c r="A211" i="44"/>
  <c r="D653" i="44"/>
  <c r="A653" i="44"/>
  <c r="D825" i="44"/>
  <c r="A825" i="44"/>
  <c r="D196" i="44"/>
  <c r="A196" i="44"/>
  <c r="D539" i="44"/>
  <c r="A539" i="44"/>
  <c r="D534" i="44"/>
  <c r="A534" i="44"/>
  <c r="D697" i="44"/>
  <c r="A697" i="44"/>
  <c r="D400" i="44"/>
  <c r="A400" i="44"/>
  <c r="D818" i="44"/>
  <c r="A818" i="44"/>
  <c r="D700" i="44"/>
  <c r="A700" i="44"/>
  <c r="D173" i="44"/>
  <c r="A173" i="44"/>
  <c r="D828" i="44"/>
  <c r="A828" i="44"/>
  <c r="D181" i="44"/>
  <c r="A181" i="44"/>
  <c r="D104" i="44"/>
  <c r="A104" i="44"/>
  <c r="D749" i="44"/>
  <c r="A749" i="44"/>
  <c r="D261" i="44"/>
  <c r="A261" i="44"/>
  <c r="D631" i="44"/>
  <c r="A631" i="44"/>
  <c r="D615" i="44"/>
  <c r="A615" i="44"/>
  <c r="D649" i="44"/>
  <c r="A649" i="44"/>
  <c r="D626" i="44"/>
  <c r="A626" i="44"/>
  <c r="D89" i="44"/>
  <c r="A89" i="44"/>
  <c r="D113" i="44"/>
  <c r="A113" i="44"/>
  <c r="G92" i="56"/>
  <c r="H92" i="56"/>
  <c r="I92" i="56"/>
  <c r="J92" i="56"/>
  <c r="K92" i="56"/>
  <c r="L92" i="56"/>
  <c r="M92" i="56"/>
  <c r="N92" i="56"/>
  <c r="O92" i="56"/>
  <c r="G93" i="56"/>
  <c r="H93" i="56"/>
  <c r="I93" i="56"/>
  <c r="J93" i="56"/>
  <c r="K93" i="56"/>
  <c r="L93" i="56"/>
  <c r="M93" i="56"/>
  <c r="N93" i="56"/>
  <c r="O93" i="56"/>
  <c r="G94" i="56"/>
  <c r="H94" i="56"/>
  <c r="I94" i="56"/>
  <c r="J94" i="56"/>
  <c r="K94" i="56"/>
  <c r="L94" i="56"/>
  <c r="M94" i="56"/>
  <c r="N94" i="56"/>
  <c r="O94" i="56"/>
  <c r="G95" i="56"/>
  <c r="H95" i="56"/>
  <c r="I95" i="56"/>
  <c r="J95" i="56"/>
  <c r="K95" i="56"/>
  <c r="L95" i="56"/>
  <c r="M95" i="56"/>
  <c r="N95" i="56"/>
  <c r="O95" i="56"/>
  <c r="G96" i="56"/>
  <c r="H96" i="56"/>
  <c r="I96" i="56"/>
  <c r="J96" i="56"/>
  <c r="K96" i="56"/>
  <c r="L96" i="56"/>
  <c r="M96" i="56"/>
  <c r="N96" i="56"/>
  <c r="O96" i="56"/>
  <c r="C96" i="56"/>
  <c r="H9" i="56"/>
  <c r="I9" i="56"/>
  <c r="J9" i="56"/>
  <c r="K9" i="56"/>
  <c r="L9" i="56"/>
  <c r="M9" i="56"/>
  <c r="N9" i="56"/>
  <c r="O9" i="56"/>
  <c r="H10" i="56"/>
  <c r="I10" i="56"/>
  <c r="J10" i="56"/>
  <c r="K10" i="56"/>
  <c r="L10" i="56"/>
  <c r="M10" i="56"/>
  <c r="N10" i="56"/>
  <c r="O10" i="56"/>
  <c r="H11" i="56"/>
  <c r="I11" i="56"/>
  <c r="J11" i="56"/>
  <c r="K11" i="56"/>
  <c r="L11" i="56"/>
  <c r="M11" i="56"/>
  <c r="N11" i="56"/>
  <c r="O11" i="56"/>
  <c r="H12" i="56"/>
  <c r="I12" i="56"/>
  <c r="J12" i="56"/>
  <c r="K12" i="56"/>
  <c r="L12" i="56"/>
  <c r="M12" i="56"/>
  <c r="N12" i="56"/>
  <c r="O12" i="56"/>
  <c r="H13" i="56"/>
  <c r="I13" i="56"/>
  <c r="J13" i="56"/>
  <c r="K13" i="56"/>
  <c r="L13" i="56"/>
  <c r="M13" i="56"/>
  <c r="N13" i="56"/>
  <c r="O13" i="56"/>
  <c r="H14" i="56"/>
  <c r="I14" i="56"/>
  <c r="J14" i="56"/>
  <c r="K14" i="56"/>
  <c r="L14" i="56"/>
  <c r="M14" i="56"/>
  <c r="N14" i="56"/>
  <c r="O14" i="56"/>
  <c r="H15" i="56"/>
  <c r="I15" i="56"/>
  <c r="J15" i="56"/>
  <c r="K15" i="56"/>
  <c r="L15" i="56"/>
  <c r="M15" i="56"/>
  <c r="N15" i="56"/>
  <c r="O15" i="56"/>
  <c r="H16" i="56"/>
  <c r="I16" i="56"/>
  <c r="J16" i="56"/>
  <c r="K16" i="56"/>
  <c r="L16" i="56"/>
  <c r="M16" i="56"/>
  <c r="N16" i="56"/>
  <c r="O16" i="56"/>
  <c r="H17" i="56"/>
  <c r="I17" i="56"/>
  <c r="J17" i="56"/>
  <c r="K17" i="56"/>
  <c r="L17" i="56"/>
  <c r="M17" i="56"/>
  <c r="N17" i="56"/>
  <c r="O17" i="56"/>
  <c r="H18" i="56"/>
  <c r="I18" i="56"/>
  <c r="J18" i="56"/>
  <c r="K18" i="56"/>
  <c r="L18" i="56"/>
  <c r="M18" i="56"/>
  <c r="N18" i="56"/>
  <c r="O18" i="56"/>
  <c r="H19" i="56"/>
  <c r="I19" i="56"/>
  <c r="J19" i="56"/>
  <c r="K19" i="56"/>
  <c r="L19" i="56"/>
  <c r="M19" i="56"/>
  <c r="N19" i="56"/>
  <c r="O19" i="56"/>
  <c r="H20" i="56"/>
  <c r="I20" i="56"/>
  <c r="J20" i="56"/>
  <c r="K20" i="56"/>
  <c r="L20" i="56"/>
  <c r="M20" i="56"/>
  <c r="N20" i="56"/>
  <c r="O20" i="56"/>
  <c r="H21" i="56"/>
  <c r="I21" i="56"/>
  <c r="J21" i="56"/>
  <c r="K21" i="56"/>
  <c r="L21" i="56"/>
  <c r="M21" i="56"/>
  <c r="N21" i="56"/>
  <c r="O21" i="56"/>
  <c r="H22" i="56"/>
  <c r="I22" i="56"/>
  <c r="J22" i="56"/>
  <c r="K22" i="56"/>
  <c r="L22" i="56"/>
  <c r="M22" i="56"/>
  <c r="N22" i="56"/>
  <c r="O22" i="56"/>
  <c r="H23" i="56"/>
  <c r="I23" i="56"/>
  <c r="J23" i="56"/>
  <c r="K23" i="56"/>
  <c r="L23" i="56"/>
  <c r="M23" i="56"/>
  <c r="N23" i="56"/>
  <c r="O23" i="56"/>
  <c r="H24" i="56"/>
  <c r="I24" i="56"/>
  <c r="J24" i="56"/>
  <c r="K24" i="56"/>
  <c r="L24" i="56"/>
  <c r="M24" i="56"/>
  <c r="N24" i="56"/>
  <c r="O24" i="56"/>
  <c r="H25" i="56"/>
  <c r="I25" i="56"/>
  <c r="J25" i="56"/>
  <c r="K25" i="56"/>
  <c r="L25" i="56"/>
  <c r="M25" i="56"/>
  <c r="N25" i="56"/>
  <c r="O25" i="56"/>
  <c r="H26" i="56"/>
  <c r="I26" i="56"/>
  <c r="J26" i="56"/>
  <c r="K26" i="56"/>
  <c r="L26" i="56"/>
  <c r="M26" i="56"/>
  <c r="N26" i="56"/>
  <c r="O26" i="56"/>
  <c r="H27" i="56"/>
  <c r="I27" i="56"/>
  <c r="J27" i="56"/>
  <c r="K27" i="56"/>
  <c r="L27" i="56"/>
  <c r="M27" i="56"/>
  <c r="N27" i="56"/>
  <c r="O27" i="56"/>
  <c r="H28" i="56"/>
  <c r="I28" i="56"/>
  <c r="J28" i="56"/>
  <c r="K28" i="56"/>
  <c r="L28" i="56"/>
  <c r="M28" i="56"/>
  <c r="N28" i="56"/>
  <c r="O28" i="56"/>
  <c r="H29" i="56"/>
  <c r="I29" i="56"/>
  <c r="J29" i="56"/>
  <c r="K29" i="56"/>
  <c r="L29" i="56"/>
  <c r="M29" i="56"/>
  <c r="N29" i="56"/>
  <c r="O29" i="56"/>
  <c r="H30" i="56"/>
  <c r="I30" i="56"/>
  <c r="J30" i="56"/>
  <c r="K30" i="56"/>
  <c r="L30" i="56"/>
  <c r="M30" i="56"/>
  <c r="N30" i="56"/>
  <c r="O30" i="56"/>
  <c r="H31" i="56"/>
  <c r="I31" i="56"/>
  <c r="J31" i="56"/>
  <c r="K31" i="56"/>
  <c r="L31" i="56"/>
  <c r="M31" i="56"/>
  <c r="N31" i="56"/>
  <c r="O31" i="56"/>
  <c r="H32" i="56"/>
  <c r="I32" i="56"/>
  <c r="J32" i="56"/>
  <c r="K32" i="56"/>
  <c r="L32" i="56"/>
  <c r="M32" i="56"/>
  <c r="N32" i="56"/>
  <c r="O32" i="56"/>
  <c r="H33" i="56"/>
  <c r="I33" i="56"/>
  <c r="J33" i="56"/>
  <c r="K33" i="56"/>
  <c r="L33" i="56"/>
  <c r="M33" i="56"/>
  <c r="N33" i="56"/>
  <c r="O33" i="56"/>
  <c r="H34" i="56"/>
  <c r="I34" i="56"/>
  <c r="J34" i="56"/>
  <c r="K34" i="56"/>
  <c r="L34" i="56"/>
  <c r="M34" i="56"/>
  <c r="N34" i="56"/>
  <c r="O34" i="56"/>
  <c r="H35" i="56"/>
  <c r="I35" i="56"/>
  <c r="J35" i="56"/>
  <c r="K35" i="56"/>
  <c r="L35" i="56"/>
  <c r="M35" i="56"/>
  <c r="N35" i="56"/>
  <c r="O35" i="56"/>
  <c r="H36" i="56"/>
  <c r="I36" i="56"/>
  <c r="J36" i="56"/>
  <c r="K36" i="56"/>
  <c r="L36" i="56"/>
  <c r="M36" i="56"/>
  <c r="N36" i="56"/>
  <c r="O36" i="56"/>
  <c r="H37" i="56"/>
  <c r="I37" i="56"/>
  <c r="J37" i="56"/>
  <c r="K37" i="56"/>
  <c r="L37" i="56"/>
  <c r="M37" i="56"/>
  <c r="N37" i="56"/>
  <c r="O37" i="56"/>
  <c r="H38" i="56"/>
  <c r="I38" i="56"/>
  <c r="J38" i="56"/>
  <c r="K38" i="56"/>
  <c r="L38" i="56"/>
  <c r="M38" i="56"/>
  <c r="N38" i="56"/>
  <c r="O38" i="56"/>
  <c r="H39" i="56"/>
  <c r="I39" i="56"/>
  <c r="J39" i="56"/>
  <c r="K39" i="56"/>
  <c r="L39" i="56"/>
  <c r="M39" i="56"/>
  <c r="N39" i="56"/>
  <c r="O39" i="56"/>
  <c r="H40" i="56"/>
  <c r="I40" i="56"/>
  <c r="J40" i="56"/>
  <c r="K40" i="56"/>
  <c r="L40" i="56"/>
  <c r="M40" i="56"/>
  <c r="N40" i="56"/>
  <c r="O40" i="56"/>
  <c r="H41" i="56"/>
  <c r="I41" i="56"/>
  <c r="J41" i="56"/>
  <c r="K41" i="56"/>
  <c r="L41" i="56"/>
  <c r="M41" i="56"/>
  <c r="N41" i="56"/>
  <c r="O41" i="56"/>
  <c r="H42" i="56"/>
  <c r="I42" i="56"/>
  <c r="J42" i="56"/>
  <c r="K42" i="56"/>
  <c r="L42" i="56"/>
  <c r="M42" i="56"/>
  <c r="N42" i="56"/>
  <c r="O42" i="56"/>
  <c r="H43" i="56"/>
  <c r="I43" i="56"/>
  <c r="J43" i="56"/>
  <c r="K43" i="56"/>
  <c r="L43" i="56"/>
  <c r="M43" i="56"/>
  <c r="N43" i="56"/>
  <c r="O43" i="56"/>
  <c r="H44" i="56"/>
  <c r="I44" i="56"/>
  <c r="J44" i="56"/>
  <c r="K44" i="56"/>
  <c r="L44" i="56"/>
  <c r="M44" i="56"/>
  <c r="N44" i="56"/>
  <c r="O44" i="56"/>
  <c r="H45" i="56"/>
  <c r="I45" i="56"/>
  <c r="J45" i="56"/>
  <c r="K45" i="56"/>
  <c r="L45" i="56"/>
  <c r="M45" i="56"/>
  <c r="N45" i="56"/>
  <c r="O45" i="56"/>
  <c r="H46" i="56"/>
  <c r="I46" i="56"/>
  <c r="J46" i="56"/>
  <c r="K46" i="56"/>
  <c r="L46" i="56"/>
  <c r="M46" i="56"/>
  <c r="N46" i="56"/>
  <c r="O46" i="56"/>
  <c r="H47" i="56"/>
  <c r="I47" i="56"/>
  <c r="J47" i="56"/>
  <c r="K47" i="56"/>
  <c r="L47" i="56"/>
  <c r="M47" i="56"/>
  <c r="N47" i="56"/>
  <c r="O47" i="56"/>
  <c r="H48" i="56"/>
  <c r="I48" i="56"/>
  <c r="J48" i="56"/>
  <c r="K48" i="56"/>
  <c r="L48" i="56"/>
  <c r="M48" i="56"/>
  <c r="N48" i="56"/>
  <c r="O48" i="56"/>
  <c r="H49" i="56"/>
  <c r="I49" i="56"/>
  <c r="J49" i="56"/>
  <c r="K49" i="56"/>
  <c r="L49" i="56"/>
  <c r="M49" i="56"/>
  <c r="N49" i="56"/>
  <c r="O49" i="56"/>
  <c r="H50" i="56"/>
  <c r="I50" i="56"/>
  <c r="J50" i="56"/>
  <c r="K50" i="56"/>
  <c r="L50" i="56"/>
  <c r="M50" i="56"/>
  <c r="N50" i="56"/>
  <c r="O50" i="56"/>
  <c r="H51" i="56"/>
  <c r="I51" i="56"/>
  <c r="J51" i="56"/>
  <c r="K51" i="56"/>
  <c r="L51" i="56"/>
  <c r="M51" i="56"/>
  <c r="N51" i="56"/>
  <c r="O51" i="56"/>
  <c r="H52" i="56"/>
  <c r="I52" i="56"/>
  <c r="J52" i="56"/>
  <c r="K52" i="56"/>
  <c r="L52" i="56"/>
  <c r="M52" i="56"/>
  <c r="N52" i="56"/>
  <c r="O52" i="56"/>
  <c r="H53" i="56"/>
  <c r="I53" i="56"/>
  <c r="J53" i="56"/>
  <c r="K53" i="56"/>
  <c r="L53" i="56"/>
  <c r="M53" i="56"/>
  <c r="N53" i="56"/>
  <c r="O53" i="56"/>
  <c r="H54" i="56"/>
  <c r="I54" i="56"/>
  <c r="J54" i="56"/>
  <c r="K54" i="56"/>
  <c r="L54" i="56"/>
  <c r="M54" i="56"/>
  <c r="N54" i="56"/>
  <c r="O54" i="56"/>
  <c r="H55" i="56"/>
  <c r="I55" i="56"/>
  <c r="J55" i="56"/>
  <c r="K55" i="56"/>
  <c r="L55" i="56"/>
  <c r="M55" i="56"/>
  <c r="N55" i="56"/>
  <c r="O55" i="56"/>
  <c r="H56" i="56"/>
  <c r="I56" i="56"/>
  <c r="J56" i="56"/>
  <c r="K56" i="56"/>
  <c r="L56" i="56"/>
  <c r="M56" i="56"/>
  <c r="N56" i="56"/>
  <c r="O56" i="56"/>
  <c r="H57" i="56"/>
  <c r="I57" i="56"/>
  <c r="J57" i="56"/>
  <c r="K57" i="56"/>
  <c r="L57" i="56"/>
  <c r="M57" i="56"/>
  <c r="N57" i="56"/>
  <c r="O57" i="56"/>
  <c r="H58" i="56"/>
  <c r="I58" i="56"/>
  <c r="J58" i="56"/>
  <c r="K58" i="56"/>
  <c r="L58" i="56"/>
  <c r="M58" i="56"/>
  <c r="N58" i="56"/>
  <c r="O58" i="56"/>
  <c r="H59" i="56"/>
  <c r="I59" i="56"/>
  <c r="J59" i="56"/>
  <c r="K59" i="56"/>
  <c r="L59" i="56"/>
  <c r="M59" i="56"/>
  <c r="N59" i="56"/>
  <c r="O59" i="56"/>
  <c r="H60" i="56"/>
  <c r="I60" i="56"/>
  <c r="J60" i="56"/>
  <c r="K60" i="56"/>
  <c r="L60" i="56"/>
  <c r="M60" i="56"/>
  <c r="N60" i="56"/>
  <c r="O60" i="56"/>
  <c r="H61" i="56"/>
  <c r="I61" i="56"/>
  <c r="J61" i="56"/>
  <c r="K61" i="56"/>
  <c r="L61" i="56"/>
  <c r="M61" i="56"/>
  <c r="N61" i="56"/>
  <c r="O61" i="56"/>
  <c r="H62" i="56"/>
  <c r="I62" i="56"/>
  <c r="J62" i="56"/>
  <c r="K62" i="56"/>
  <c r="L62" i="56"/>
  <c r="M62" i="56"/>
  <c r="N62" i="56"/>
  <c r="O62" i="56"/>
  <c r="H63" i="56"/>
  <c r="I63" i="56"/>
  <c r="J63" i="56"/>
  <c r="K63" i="56"/>
  <c r="L63" i="56"/>
  <c r="M63" i="56"/>
  <c r="N63" i="56"/>
  <c r="O63" i="56"/>
  <c r="H64" i="56"/>
  <c r="I64" i="56"/>
  <c r="J64" i="56"/>
  <c r="K64" i="56"/>
  <c r="L64" i="56"/>
  <c r="M64" i="56"/>
  <c r="N64" i="56"/>
  <c r="O64" i="56"/>
  <c r="H65" i="56"/>
  <c r="I65" i="56"/>
  <c r="J65" i="56"/>
  <c r="K65" i="56"/>
  <c r="L65" i="56"/>
  <c r="M65" i="56"/>
  <c r="N65" i="56"/>
  <c r="O65" i="56"/>
  <c r="H66" i="56"/>
  <c r="I66" i="56"/>
  <c r="J66" i="56"/>
  <c r="K66" i="56"/>
  <c r="L66" i="56"/>
  <c r="M66" i="56"/>
  <c r="N66" i="56"/>
  <c r="O66" i="56"/>
  <c r="H67" i="56"/>
  <c r="I67" i="56"/>
  <c r="J67" i="56"/>
  <c r="K67" i="56"/>
  <c r="L67" i="56"/>
  <c r="M67" i="56"/>
  <c r="N67" i="56"/>
  <c r="O67" i="56"/>
  <c r="H68" i="56"/>
  <c r="I68" i="56"/>
  <c r="J68" i="56"/>
  <c r="K68" i="56"/>
  <c r="L68" i="56"/>
  <c r="M68" i="56"/>
  <c r="N68" i="56"/>
  <c r="O68" i="56"/>
  <c r="H69" i="56"/>
  <c r="I69" i="56"/>
  <c r="J69" i="56"/>
  <c r="K69" i="56"/>
  <c r="L69" i="56"/>
  <c r="M69" i="56"/>
  <c r="N69" i="56"/>
  <c r="O69" i="56"/>
  <c r="H70" i="56"/>
  <c r="I70" i="56"/>
  <c r="J70" i="56"/>
  <c r="K70" i="56"/>
  <c r="L70" i="56"/>
  <c r="M70" i="56"/>
  <c r="N70" i="56"/>
  <c r="O70" i="56"/>
  <c r="H71" i="56"/>
  <c r="I71" i="56"/>
  <c r="J71" i="56"/>
  <c r="K71" i="56"/>
  <c r="L71" i="56"/>
  <c r="M71" i="56"/>
  <c r="N71" i="56"/>
  <c r="O71" i="56"/>
  <c r="H72" i="56"/>
  <c r="I72" i="56"/>
  <c r="J72" i="56"/>
  <c r="K72" i="56"/>
  <c r="L72" i="56"/>
  <c r="M72" i="56"/>
  <c r="N72" i="56"/>
  <c r="O72" i="56"/>
  <c r="H73" i="56"/>
  <c r="I73" i="56"/>
  <c r="J73" i="56"/>
  <c r="K73" i="56"/>
  <c r="L73" i="56"/>
  <c r="M73" i="56"/>
  <c r="N73" i="56"/>
  <c r="O73" i="56"/>
  <c r="H74" i="56"/>
  <c r="I74" i="56"/>
  <c r="J74" i="56"/>
  <c r="K74" i="56"/>
  <c r="L74" i="56"/>
  <c r="M74" i="56"/>
  <c r="N74" i="56"/>
  <c r="O74" i="56"/>
  <c r="H75" i="56"/>
  <c r="I75" i="56"/>
  <c r="J75" i="56"/>
  <c r="K75" i="56"/>
  <c r="L75" i="56"/>
  <c r="M75" i="56"/>
  <c r="N75" i="56"/>
  <c r="O75" i="56"/>
  <c r="H76" i="56"/>
  <c r="I76" i="56"/>
  <c r="J76" i="56"/>
  <c r="K76" i="56"/>
  <c r="L76" i="56"/>
  <c r="M76" i="56"/>
  <c r="N76" i="56"/>
  <c r="O76" i="56"/>
  <c r="H77" i="56"/>
  <c r="I77" i="56"/>
  <c r="J77" i="56"/>
  <c r="K77" i="56"/>
  <c r="L77" i="56"/>
  <c r="M77" i="56"/>
  <c r="N77" i="56"/>
  <c r="O77" i="56"/>
  <c r="H78" i="56"/>
  <c r="I78" i="56"/>
  <c r="J78" i="56"/>
  <c r="K78" i="56"/>
  <c r="L78" i="56"/>
  <c r="M78" i="56"/>
  <c r="N78" i="56"/>
  <c r="O78" i="56"/>
  <c r="H79" i="56"/>
  <c r="I79" i="56"/>
  <c r="J79" i="56"/>
  <c r="K79" i="56"/>
  <c r="L79" i="56"/>
  <c r="M79" i="56"/>
  <c r="N79" i="56"/>
  <c r="O79" i="56"/>
  <c r="H80" i="56"/>
  <c r="I80" i="56"/>
  <c r="J80" i="56"/>
  <c r="K80" i="56"/>
  <c r="L80" i="56"/>
  <c r="M80" i="56"/>
  <c r="N80" i="56"/>
  <c r="O80" i="56"/>
  <c r="H81" i="56"/>
  <c r="I81" i="56"/>
  <c r="J81" i="56"/>
  <c r="K81" i="56"/>
  <c r="L81" i="56"/>
  <c r="M81" i="56"/>
  <c r="N81" i="56"/>
  <c r="O81" i="56"/>
  <c r="H82" i="56"/>
  <c r="I82" i="56"/>
  <c r="J82" i="56"/>
  <c r="K82" i="56"/>
  <c r="L82" i="56"/>
  <c r="M82" i="56"/>
  <c r="N82" i="56"/>
  <c r="O82" i="56"/>
  <c r="H83" i="56"/>
  <c r="I83" i="56"/>
  <c r="J83" i="56"/>
  <c r="K83" i="56"/>
  <c r="L83" i="56"/>
  <c r="M83" i="56"/>
  <c r="N83" i="56"/>
  <c r="O83" i="56"/>
  <c r="H84" i="56"/>
  <c r="I84" i="56"/>
  <c r="J84" i="56"/>
  <c r="K84" i="56"/>
  <c r="L84" i="56"/>
  <c r="M84" i="56"/>
  <c r="N84" i="56"/>
  <c r="O84" i="56"/>
  <c r="H85" i="56"/>
  <c r="I85" i="56"/>
  <c r="J85" i="56"/>
  <c r="K85" i="56"/>
  <c r="L85" i="56"/>
  <c r="M85" i="56"/>
  <c r="N85" i="56"/>
  <c r="O85" i="56"/>
  <c r="H86" i="56"/>
  <c r="I86" i="56"/>
  <c r="J86" i="56"/>
  <c r="K86" i="56"/>
  <c r="L86" i="56"/>
  <c r="M86" i="56"/>
  <c r="N86" i="56"/>
  <c r="O86" i="56"/>
  <c r="H87" i="56"/>
  <c r="I87" i="56"/>
  <c r="J87" i="56"/>
  <c r="K87" i="56"/>
  <c r="L87" i="56"/>
  <c r="M87" i="56"/>
  <c r="N87" i="56"/>
  <c r="O87" i="56"/>
  <c r="H88" i="56"/>
  <c r="I88" i="56"/>
  <c r="J88" i="56"/>
  <c r="K88" i="56"/>
  <c r="L88" i="56"/>
  <c r="M88" i="56"/>
  <c r="N88" i="56"/>
  <c r="O88" i="56"/>
  <c r="H89" i="56"/>
  <c r="I89" i="56"/>
  <c r="J89" i="56"/>
  <c r="K89" i="56"/>
  <c r="L89" i="56"/>
  <c r="M89" i="56"/>
  <c r="N89" i="56"/>
  <c r="O89" i="56"/>
  <c r="H90" i="56"/>
  <c r="I90" i="56"/>
  <c r="J90" i="56"/>
  <c r="K90" i="56"/>
  <c r="L90" i="56"/>
  <c r="M90" i="56"/>
  <c r="N90" i="56"/>
  <c r="O90" i="56"/>
  <c r="H91" i="56"/>
  <c r="I91" i="56"/>
  <c r="J91" i="56"/>
  <c r="K91" i="56"/>
  <c r="L91" i="56"/>
  <c r="M91" i="56"/>
  <c r="N91" i="56"/>
  <c r="O91" i="56"/>
  <c r="H97" i="56"/>
  <c r="I97" i="56"/>
  <c r="J97" i="56"/>
  <c r="K97" i="56"/>
  <c r="L97" i="56"/>
  <c r="M97" i="56"/>
  <c r="N97" i="56"/>
  <c r="O97" i="56"/>
  <c r="H98" i="56"/>
  <c r="I98" i="56"/>
  <c r="J98" i="56"/>
  <c r="K98" i="56"/>
  <c r="L98" i="56"/>
  <c r="M98" i="56"/>
  <c r="N98" i="56"/>
  <c r="O98" i="56"/>
  <c r="H99" i="56"/>
  <c r="I99" i="56"/>
  <c r="J99" i="56"/>
  <c r="K99" i="56"/>
  <c r="L99" i="56"/>
  <c r="M99" i="56"/>
  <c r="N99" i="56"/>
  <c r="O99" i="56"/>
  <c r="H100" i="56"/>
  <c r="I100" i="56"/>
  <c r="J100" i="56"/>
  <c r="K100" i="56"/>
  <c r="L100" i="56"/>
  <c r="M100" i="56"/>
  <c r="N100" i="56"/>
  <c r="O100" i="56"/>
  <c r="H101" i="56"/>
  <c r="I101" i="56"/>
  <c r="J101" i="56"/>
  <c r="K101" i="56"/>
  <c r="L101" i="56"/>
  <c r="M101" i="56"/>
  <c r="N101" i="56"/>
  <c r="O101" i="56"/>
  <c r="H102" i="56"/>
  <c r="I102" i="56"/>
  <c r="J102" i="56"/>
  <c r="K102" i="56"/>
  <c r="L102" i="56"/>
  <c r="M102" i="56"/>
  <c r="N102" i="56"/>
  <c r="O102" i="56"/>
  <c r="H103" i="56"/>
  <c r="I103" i="56"/>
  <c r="J103" i="56"/>
  <c r="K103" i="56"/>
  <c r="L103" i="56"/>
  <c r="M103" i="56"/>
  <c r="N103" i="56"/>
  <c r="O103" i="56"/>
  <c r="H104" i="56"/>
  <c r="I104" i="56"/>
  <c r="J104" i="56"/>
  <c r="K104" i="56"/>
  <c r="L104" i="56"/>
  <c r="M104" i="56"/>
  <c r="N104" i="56"/>
  <c r="O104" i="56"/>
  <c r="H105" i="56"/>
  <c r="I105" i="56"/>
  <c r="J105" i="56"/>
  <c r="K105" i="56"/>
  <c r="L105" i="56"/>
  <c r="M105" i="56"/>
  <c r="N105" i="56"/>
  <c r="O105" i="56"/>
  <c r="H106" i="56"/>
  <c r="I106" i="56"/>
  <c r="J106" i="56"/>
  <c r="K106" i="56"/>
  <c r="L106" i="56"/>
  <c r="M106" i="56"/>
  <c r="N106" i="56"/>
  <c r="O106" i="56"/>
  <c r="H107" i="56"/>
  <c r="I107" i="56"/>
  <c r="J107" i="56"/>
  <c r="K107" i="56"/>
  <c r="L107" i="56"/>
  <c r="M107" i="56"/>
  <c r="N107" i="56"/>
  <c r="O107" i="56"/>
  <c r="H108" i="56"/>
  <c r="I108" i="56"/>
  <c r="J108" i="56"/>
  <c r="K108" i="56"/>
  <c r="L108" i="56"/>
  <c r="M108" i="56"/>
  <c r="N108" i="56"/>
  <c r="O108" i="56"/>
  <c r="H109" i="56"/>
  <c r="I109" i="56"/>
  <c r="J109" i="56"/>
  <c r="K109" i="56"/>
  <c r="L109" i="56"/>
  <c r="M109" i="56"/>
  <c r="N109" i="56"/>
  <c r="O109" i="56"/>
  <c r="H110" i="56"/>
  <c r="I110" i="56"/>
  <c r="J110" i="56"/>
  <c r="K110" i="56"/>
  <c r="L110" i="56"/>
  <c r="M110" i="56"/>
  <c r="N110" i="56"/>
  <c r="O110" i="56"/>
  <c r="H111" i="56"/>
  <c r="I111" i="56"/>
  <c r="J111" i="56"/>
  <c r="K111" i="56"/>
  <c r="L111" i="56"/>
  <c r="M111" i="56"/>
  <c r="N111" i="56"/>
  <c r="O111" i="56"/>
  <c r="H112" i="56"/>
  <c r="I112" i="56"/>
  <c r="J112" i="56"/>
  <c r="K112" i="56"/>
  <c r="L112" i="56"/>
  <c r="M112" i="56"/>
  <c r="N112" i="56"/>
  <c r="O112" i="56"/>
  <c r="A333" i="44"/>
  <c r="D333" i="44"/>
  <c r="A817" i="44"/>
  <c r="D817" i="44"/>
  <c r="A460" i="44"/>
  <c r="D460" i="44"/>
  <c r="A382" i="44"/>
  <c r="D382" i="44"/>
  <c r="A764" i="44"/>
  <c r="D764" i="44"/>
  <c r="A438" i="44"/>
  <c r="D438" i="44"/>
  <c r="A218" i="44"/>
  <c r="D218" i="44"/>
  <c r="A15" i="44"/>
  <c r="D15" i="44"/>
  <c r="A657" i="44"/>
  <c r="D657" i="44"/>
  <c r="A313" i="44"/>
  <c r="D313" i="44"/>
  <c r="A511" i="44"/>
  <c r="D511" i="44"/>
  <c r="A294" i="44"/>
  <c r="D294" i="44"/>
  <c r="A848" i="44"/>
  <c r="D848" i="44"/>
  <c r="A485" i="44"/>
  <c r="D485" i="44"/>
  <c r="A843" i="44"/>
  <c r="D843" i="44"/>
  <c r="A148" i="44"/>
  <c r="D148" i="44"/>
  <c r="A71" i="44"/>
  <c r="D71" i="44"/>
  <c r="A646" i="44"/>
  <c r="D646" i="44"/>
  <c r="A756" i="44"/>
  <c r="D756" i="44"/>
  <c r="A424" i="44"/>
  <c r="D424" i="44"/>
  <c r="A361" i="44"/>
  <c r="D361" i="44"/>
  <c r="A916" i="44"/>
  <c r="D916" i="44"/>
  <c r="A310" i="44"/>
  <c r="D310" i="44"/>
  <c r="A398" i="44"/>
  <c r="D398" i="44"/>
  <c r="A327" i="44"/>
  <c r="D327" i="44"/>
  <c r="A304" i="44"/>
  <c r="D304" i="44"/>
  <c r="A922" i="44"/>
  <c r="D922" i="44"/>
  <c r="A9" i="44"/>
  <c r="D9" i="44"/>
  <c r="A367" i="44"/>
  <c r="D367" i="44"/>
  <c r="A513" i="44"/>
  <c r="D513" i="44"/>
  <c r="A580" i="44"/>
  <c r="D580" i="44"/>
  <c r="A801" i="44"/>
  <c r="D801" i="44"/>
  <c r="A429" i="44"/>
  <c r="D429" i="44"/>
  <c r="A395" i="44"/>
  <c r="D395" i="44"/>
  <c r="A492" i="44"/>
  <c r="D492" i="44"/>
  <c r="A20" i="44"/>
  <c r="D20" i="44"/>
  <c r="A934" i="44"/>
  <c r="D934" i="44"/>
  <c r="A97" i="44"/>
  <c r="D97" i="44"/>
  <c r="A666" i="44"/>
  <c r="D666" i="44"/>
  <c r="A906" i="44"/>
  <c r="D906" i="44"/>
  <c r="A408" i="44"/>
  <c r="D408" i="44"/>
  <c r="A145" i="44"/>
  <c r="D145" i="44"/>
  <c r="A75" i="44"/>
  <c r="D75" i="44"/>
  <c r="A476" i="44"/>
  <c r="D476" i="44"/>
  <c r="A427" i="44"/>
  <c r="D427" i="44"/>
  <c r="A571" i="44"/>
  <c r="D571" i="44"/>
  <c r="A499" i="44"/>
  <c r="D499" i="44"/>
  <c r="A592" i="44"/>
  <c r="D592" i="44"/>
  <c r="A47" i="44"/>
  <c r="D47" i="44"/>
  <c r="A898" i="44"/>
  <c r="D898" i="44"/>
  <c r="A721" i="44"/>
  <c r="D721" i="44"/>
  <c r="A409" i="44"/>
  <c r="D409" i="44"/>
  <c r="D777" i="44"/>
  <c r="A662" i="44"/>
  <c r="D662" i="44"/>
  <c r="A603" i="44"/>
  <c r="D603" i="44"/>
  <c r="A288" i="44"/>
  <c r="D288" i="44"/>
  <c r="A80" i="44"/>
  <c r="D80" i="44"/>
  <c r="A449" i="44"/>
  <c r="D449" i="44"/>
  <c r="A785" i="44"/>
  <c r="D785" i="44"/>
  <c r="A668" i="44"/>
  <c r="D668" i="44"/>
  <c r="A610" i="44"/>
  <c r="D610" i="44"/>
  <c r="A923" i="44"/>
  <c r="D923" i="44"/>
  <c r="A157" i="44"/>
  <c r="D157" i="44"/>
  <c r="A632" i="44"/>
  <c r="D632" i="44"/>
  <c r="A265" i="44"/>
  <c r="D265" i="44"/>
  <c r="A796" i="44"/>
  <c r="D796" i="44"/>
  <c r="A63" i="44"/>
  <c r="D63" i="44"/>
  <c r="A18" i="44"/>
  <c r="D18" i="44"/>
  <c r="A49" i="44"/>
  <c r="D49" i="44"/>
  <c r="A55" i="44"/>
  <c r="D55" i="44"/>
  <c r="A283" i="44"/>
  <c r="D283" i="44"/>
  <c r="A836" i="44"/>
  <c r="D836" i="44"/>
  <c r="A257" i="44"/>
  <c r="D257" i="44"/>
  <c r="A444" i="44"/>
  <c r="D444" i="44"/>
  <c r="A170" i="44"/>
  <c r="D170" i="44"/>
  <c r="C111" i="56"/>
  <c r="C104" i="56"/>
  <c r="C47" i="56"/>
  <c r="C54" i="56"/>
  <c r="C37" i="56"/>
  <c r="C17" i="56"/>
  <c r="C12" i="56"/>
  <c r="V34" i="58"/>
  <c r="V35" i="58" s="1"/>
  <c r="V36" i="58" s="1"/>
  <c r="Y29" i="58"/>
  <c r="Y30" i="58" s="1"/>
  <c r="V29" i="58"/>
  <c r="V30" i="58" s="1"/>
  <c r="Y28" i="58"/>
  <c r="V28" i="58"/>
  <c r="Y22" i="58"/>
  <c r="Y23" i="58" s="1"/>
  <c r="Y24" i="58" s="1"/>
  <c r="V22" i="58"/>
  <c r="V23" i="58" s="1"/>
  <c r="V24" i="58" s="1"/>
  <c r="Y17" i="58"/>
  <c r="Y18" i="58" s="1"/>
  <c r="V17" i="58"/>
  <c r="V18" i="58" s="1"/>
  <c r="Y16" i="58"/>
  <c r="V16" i="58"/>
  <c r="V15" i="58"/>
  <c r="V14" i="58"/>
  <c r="V13" i="58"/>
  <c r="V12" i="58"/>
  <c r="Y11" i="58"/>
  <c r="Y12" i="58" s="1"/>
  <c r="V11" i="58"/>
  <c r="Y10" i="58"/>
  <c r="V10" i="58"/>
  <c r="V9" i="58"/>
  <c r="V8" i="58"/>
  <c r="V7" i="58"/>
  <c r="V6" i="58"/>
  <c r="C6" i="58"/>
  <c r="C9" i="58" s="1"/>
  <c r="E9" i="58" s="1"/>
  <c r="Y5" i="58"/>
  <c r="Y6" i="58" s="1"/>
  <c r="V5" i="58"/>
  <c r="Y4" i="58"/>
  <c r="V4" i="58"/>
  <c r="G112" i="56"/>
  <c r="G111" i="56"/>
  <c r="G110" i="56"/>
  <c r="G109" i="56"/>
  <c r="G108" i="56"/>
  <c r="G107" i="56"/>
  <c r="G91" i="56"/>
  <c r="G90" i="56"/>
  <c r="G89" i="56"/>
  <c r="G88" i="56"/>
  <c r="G87" i="56"/>
  <c r="G86" i="56"/>
  <c r="G85" i="56"/>
  <c r="G84" i="56"/>
  <c r="G83" i="56"/>
  <c r="G82" i="56"/>
  <c r="G81" i="56"/>
  <c r="G80" i="56"/>
  <c r="G79" i="56"/>
  <c r="G78" i="56"/>
  <c r="G77" i="56"/>
  <c r="G76" i="56"/>
  <c r="G75" i="56"/>
  <c r="G74" i="56"/>
  <c r="G73" i="56"/>
  <c r="G54" i="56"/>
  <c r="G12" i="56"/>
  <c r="G106" i="56"/>
  <c r="G105" i="56"/>
  <c r="G104" i="56"/>
  <c r="G103" i="56"/>
  <c r="G102" i="56"/>
  <c r="G101" i="56"/>
  <c r="G100" i="56"/>
  <c r="G99" i="56"/>
  <c r="G98" i="56"/>
  <c r="G97" i="56"/>
  <c r="G72" i="56"/>
  <c r="G71" i="56"/>
  <c r="G70" i="56"/>
  <c r="G69" i="56"/>
  <c r="G68" i="56"/>
  <c r="G67" i="56"/>
  <c r="G66" i="56"/>
  <c r="G65" i="56"/>
  <c r="G64" i="56"/>
  <c r="G63" i="56"/>
  <c r="G62" i="56"/>
  <c r="G61" i="56"/>
  <c r="G60" i="56"/>
  <c r="G59" i="56"/>
  <c r="G58" i="56"/>
  <c r="G57" i="56"/>
  <c r="G56" i="56"/>
  <c r="G55" i="56"/>
  <c r="G53" i="56"/>
  <c r="G52" i="56"/>
  <c r="G51" i="56"/>
  <c r="G50" i="56"/>
  <c r="G49" i="56"/>
  <c r="G48" i="56"/>
  <c r="G47" i="56"/>
  <c r="G46" i="56"/>
  <c r="G45" i="56"/>
  <c r="G44" i="56"/>
  <c r="G43" i="56"/>
  <c r="G42" i="56"/>
  <c r="G41" i="56"/>
  <c r="G40" i="56"/>
  <c r="G39" i="56"/>
  <c r="G38" i="56"/>
  <c r="G37" i="56"/>
  <c r="G36" i="56"/>
  <c r="G35" i="56"/>
  <c r="G34" i="56"/>
  <c r="G33" i="56"/>
  <c r="G32" i="56"/>
  <c r="G31" i="56"/>
  <c r="G30" i="56"/>
  <c r="G29" i="56"/>
  <c r="G28" i="56"/>
  <c r="G27" i="56"/>
  <c r="G26" i="56"/>
  <c r="G25" i="56"/>
  <c r="G24" i="56"/>
  <c r="G23" i="56"/>
  <c r="G22" i="56"/>
  <c r="G21" i="56"/>
  <c r="G20" i="56"/>
  <c r="G19" i="56"/>
  <c r="G18" i="56"/>
  <c r="G17" i="56"/>
  <c r="G16" i="56"/>
  <c r="G15" i="56"/>
  <c r="G14" i="56"/>
  <c r="G13" i="56"/>
  <c r="G11" i="56"/>
  <c r="G10" i="56"/>
  <c r="G9" i="56"/>
  <c r="D873" i="44"/>
  <c r="A873" i="44"/>
  <c r="D468" i="44"/>
  <c r="A468" i="44"/>
  <c r="D245" i="44"/>
  <c r="A245" i="44"/>
  <c r="D70" i="44"/>
  <c r="A70" i="44"/>
  <c r="D495" i="44"/>
  <c r="A495" i="44"/>
  <c r="D217" i="44"/>
  <c r="A217" i="44"/>
  <c r="D680" i="44"/>
  <c r="A680" i="44"/>
  <c r="D150" i="44"/>
  <c r="A150" i="44"/>
  <c r="D356" i="44"/>
  <c r="A356" i="44"/>
  <c r="D496" i="44"/>
  <c r="A496" i="44"/>
  <c r="D481" i="44"/>
  <c r="A481" i="44"/>
  <c r="D779" i="44"/>
  <c r="A779" i="44"/>
  <c r="D713" i="44"/>
  <c r="A713" i="44"/>
  <c r="D823" i="44"/>
  <c r="A823" i="44"/>
  <c r="D350" i="44"/>
  <c r="A350" i="44"/>
  <c r="D717" i="44"/>
  <c r="A717" i="44"/>
  <c r="D23" i="44"/>
  <c r="A23" i="44"/>
  <c r="D185" i="44"/>
  <c r="A185" i="44"/>
  <c r="D360" i="44"/>
  <c r="A360" i="44"/>
  <c r="D711" i="44"/>
  <c r="A711" i="44"/>
  <c r="D437" i="44"/>
  <c r="A437" i="44"/>
  <c r="D638" i="44"/>
  <c r="A638" i="44"/>
  <c r="D517" i="44"/>
  <c r="A517" i="44"/>
  <c r="D64" i="44"/>
  <c r="A64" i="44"/>
  <c r="D899" i="44"/>
  <c r="A899" i="44"/>
  <c r="D661" i="44"/>
  <c r="A661" i="44"/>
  <c r="D497" i="44"/>
  <c r="A497" i="44"/>
  <c r="D703" i="44"/>
  <c r="A703" i="44"/>
  <c r="D487" i="44"/>
  <c r="A487" i="44"/>
  <c r="D295" i="44"/>
  <c r="A295" i="44"/>
  <c r="D702" i="44"/>
  <c r="A702" i="44"/>
  <c r="D882" i="44"/>
  <c r="A882" i="44"/>
  <c r="D647" i="44"/>
  <c r="A647" i="44"/>
  <c r="D168" i="44"/>
  <c r="A168" i="44"/>
  <c r="D156" i="44"/>
  <c r="A156" i="44"/>
  <c r="D569" i="44"/>
  <c r="A569" i="44"/>
  <c r="D92" i="44"/>
  <c r="A92" i="44"/>
  <c r="D555" i="44"/>
  <c r="A555" i="44"/>
  <c r="D578" i="44"/>
  <c r="A578" i="44"/>
  <c r="D44" i="44"/>
  <c r="A44" i="44"/>
  <c r="D651" i="44"/>
  <c r="A651" i="44"/>
  <c r="D43" i="44"/>
  <c r="A43" i="44"/>
  <c r="D463" i="44"/>
  <c r="A463" i="44"/>
  <c r="D494" i="44"/>
  <c r="A494" i="44"/>
  <c r="D558" i="44"/>
  <c r="A558" i="44"/>
  <c r="D141" i="44"/>
  <c r="A141" i="44"/>
  <c r="D193" i="44"/>
  <c r="A193" i="44"/>
  <c r="D222" i="44"/>
  <c r="A222" i="44"/>
  <c r="D375" i="44"/>
  <c r="A375" i="44"/>
  <c r="D215" i="44"/>
  <c r="A215" i="44"/>
  <c r="D136" i="44"/>
  <c r="A136" i="44"/>
  <c r="D562" i="44"/>
  <c r="A562" i="44"/>
  <c r="D48" i="44"/>
  <c r="A48" i="44"/>
  <c r="D69" i="44"/>
  <c r="A69" i="44"/>
  <c r="D335" i="44"/>
  <c r="A335" i="44"/>
  <c r="D506" i="44"/>
  <c r="A506" i="44"/>
  <c r="D633" i="44"/>
  <c r="A633" i="44"/>
  <c r="D59" i="44"/>
  <c r="A59" i="44"/>
  <c r="D121" i="44"/>
  <c r="A121" i="44"/>
  <c r="D570" i="44"/>
  <c r="A570" i="44"/>
  <c r="D241" i="44"/>
  <c r="A241" i="44"/>
  <c r="D459" i="44"/>
  <c r="A459" i="44"/>
  <c r="D645" i="44"/>
  <c r="A645" i="44"/>
  <c r="D7" i="44"/>
  <c r="A7" i="44"/>
  <c r="D532" i="44"/>
  <c r="A532" i="44"/>
  <c r="D182" i="44"/>
  <c r="A182" i="44"/>
  <c r="D719" i="44"/>
  <c r="A719" i="44"/>
  <c r="D579" i="44"/>
  <c r="A579" i="44"/>
  <c r="D128" i="44"/>
  <c r="A128" i="44"/>
  <c r="D319" i="44"/>
  <c r="A319" i="44"/>
  <c r="D593" i="44"/>
  <c r="A593" i="44"/>
  <c r="D14" i="44"/>
  <c r="A14" i="44"/>
  <c r="D423" i="44"/>
  <c r="A423" i="44"/>
  <c r="D724" i="44"/>
  <c r="A724" i="44"/>
  <c r="D31" i="44"/>
  <c r="A31" i="44"/>
  <c r="D722" i="44"/>
  <c r="A722" i="44"/>
  <c r="D887" i="44"/>
  <c r="A887" i="44"/>
  <c r="D386" i="44"/>
  <c r="A386" i="44"/>
  <c r="D112" i="44"/>
  <c r="A112" i="44"/>
  <c r="D247" i="44"/>
  <c r="A247" i="44"/>
  <c r="D376" i="44"/>
  <c r="A376" i="44"/>
  <c r="D835" i="44"/>
  <c r="A835" i="44"/>
  <c r="D826" i="44"/>
  <c r="A826" i="44"/>
  <c r="D857" i="44"/>
  <c r="A857" i="44"/>
  <c r="D161" i="44"/>
  <c r="A161" i="44"/>
  <c r="D425" i="44"/>
  <c r="A425" i="44"/>
  <c r="D271" i="44"/>
  <c r="A271" i="44"/>
  <c r="D586" i="44"/>
  <c r="A586" i="44"/>
  <c r="D733" i="44"/>
  <c r="A733" i="44"/>
  <c r="B271" i="44" l="1"/>
  <c r="C271" i="44"/>
  <c r="C826" i="44"/>
  <c r="B826" i="44"/>
  <c r="C112" i="44"/>
  <c r="B112" i="44"/>
  <c r="C31" i="44"/>
  <c r="B31" i="44"/>
  <c r="C593" i="44"/>
  <c r="B593" i="44"/>
  <c r="C532" i="44"/>
  <c r="B532" i="44"/>
  <c r="C241" i="44"/>
  <c r="B241" i="44"/>
  <c r="C633" i="44"/>
  <c r="B633" i="44"/>
  <c r="C48" i="44"/>
  <c r="B48" i="44"/>
  <c r="C375" i="44"/>
  <c r="B375" i="44"/>
  <c r="C558" i="44"/>
  <c r="B558" i="44"/>
  <c r="C651" i="44"/>
  <c r="B651" i="44"/>
  <c r="C92" i="44"/>
  <c r="B92" i="44"/>
  <c r="C647" i="44"/>
  <c r="B647" i="44"/>
  <c r="C487" i="44"/>
  <c r="B487" i="44"/>
  <c r="C661" i="44"/>
  <c r="B661" i="44"/>
  <c r="C638" i="44"/>
  <c r="B638" i="44"/>
  <c r="B185" i="44"/>
  <c r="C185" i="44"/>
  <c r="C823" i="44"/>
  <c r="B823" i="44"/>
  <c r="C496" i="44"/>
  <c r="B496" i="44"/>
  <c r="C217" i="44"/>
  <c r="B217" i="44"/>
  <c r="B245" i="44"/>
  <c r="C245" i="44"/>
  <c r="B409" i="44"/>
  <c r="C409" i="44"/>
  <c r="C592" i="44"/>
  <c r="B592" i="44"/>
  <c r="C476" i="44"/>
  <c r="B476" i="44"/>
  <c r="C906" i="44"/>
  <c r="B906" i="44"/>
  <c r="B934" i="44"/>
  <c r="C934" i="44"/>
  <c r="C429" i="44"/>
  <c r="B429" i="44"/>
  <c r="C367" i="44"/>
  <c r="B367" i="44"/>
  <c r="B327" i="44"/>
  <c r="C327" i="44"/>
  <c r="C361" i="44"/>
  <c r="B361" i="44"/>
  <c r="C71" i="44"/>
  <c r="B71" i="44"/>
  <c r="C848" i="44"/>
  <c r="B848" i="44"/>
  <c r="C657" i="44"/>
  <c r="B657" i="44"/>
  <c r="C764" i="44"/>
  <c r="B764" i="44"/>
  <c r="B333" i="44"/>
  <c r="C333" i="44"/>
  <c r="C55" i="44"/>
  <c r="B55" i="44"/>
  <c r="C796" i="44"/>
  <c r="B796" i="44"/>
  <c r="C449" i="44"/>
  <c r="B449" i="44"/>
  <c r="C261" i="44"/>
  <c r="B261" i="44"/>
  <c r="C400" i="44"/>
  <c r="B400" i="44"/>
  <c r="C389" i="44"/>
  <c r="B389" i="44"/>
  <c r="C629" i="44"/>
  <c r="B629" i="44"/>
  <c r="C525" i="44"/>
  <c r="B525" i="44"/>
  <c r="C332" i="44"/>
  <c r="B332" i="44"/>
  <c r="C561" i="44"/>
  <c r="B561" i="44"/>
  <c r="B195" i="44"/>
  <c r="C195" i="44"/>
  <c r="C786" i="44"/>
  <c r="B786" i="44"/>
  <c r="C131" i="44"/>
  <c r="B131" i="44"/>
  <c r="B139" i="44"/>
  <c r="C139" i="44"/>
  <c r="C747" i="44"/>
  <c r="B747" i="44"/>
  <c r="C927" i="44"/>
  <c r="B927" i="44"/>
  <c r="C722" i="44"/>
  <c r="B722" i="44"/>
  <c r="C182" i="44"/>
  <c r="B182" i="44"/>
  <c r="B69" i="44"/>
  <c r="C69" i="44"/>
  <c r="B43" i="44"/>
  <c r="C43" i="44"/>
  <c r="C295" i="44"/>
  <c r="B295" i="44"/>
  <c r="B360" i="44"/>
  <c r="C360" i="44"/>
  <c r="C481" i="44"/>
  <c r="B481" i="44"/>
  <c r="C427" i="44"/>
  <c r="B427" i="44"/>
  <c r="C395" i="44"/>
  <c r="B395" i="44"/>
  <c r="C916" i="44"/>
  <c r="B916" i="44"/>
  <c r="C313" i="44"/>
  <c r="B313" i="44"/>
  <c r="C257" i="44"/>
  <c r="B257" i="44"/>
  <c r="B265" i="44"/>
  <c r="C265" i="44"/>
  <c r="B80" i="44"/>
  <c r="C80" i="44"/>
  <c r="C649" i="44"/>
  <c r="B649" i="44"/>
  <c r="C173" i="44"/>
  <c r="B173" i="44"/>
  <c r="C825" i="44"/>
  <c r="B825" i="44"/>
  <c r="C616" i="44"/>
  <c r="B616" i="44"/>
  <c r="B213" i="44"/>
  <c r="C213" i="44"/>
  <c r="C95" i="44"/>
  <c r="B95" i="44"/>
  <c r="C39" i="44"/>
  <c r="B39" i="44"/>
  <c r="B10" i="44"/>
  <c r="C10" i="44"/>
  <c r="C619" i="44"/>
  <c r="B619" i="44"/>
  <c r="C880" i="44"/>
  <c r="B880" i="44"/>
  <c r="B725" i="44"/>
  <c r="C725" i="44"/>
  <c r="C704" i="44"/>
  <c r="B704" i="44"/>
  <c r="B467" i="44"/>
  <c r="C467" i="44"/>
  <c r="C781" i="44"/>
  <c r="B781" i="44"/>
  <c r="C36" i="44"/>
  <c r="B36" i="44"/>
  <c r="C355" i="44"/>
  <c r="B355" i="44"/>
  <c r="B857" i="44"/>
  <c r="C857" i="44"/>
  <c r="C14" i="44"/>
  <c r="B14" i="44"/>
  <c r="C459" i="44"/>
  <c r="B459" i="44"/>
  <c r="C215" i="44"/>
  <c r="B215" i="44"/>
  <c r="B555" i="44"/>
  <c r="C555" i="44"/>
  <c r="B497" i="44"/>
  <c r="C497" i="44"/>
  <c r="B350" i="44"/>
  <c r="C350" i="44"/>
  <c r="C408" i="44"/>
  <c r="B408" i="44"/>
  <c r="C513" i="44"/>
  <c r="B513" i="44"/>
  <c r="C646" i="44"/>
  <c r="B646" i="44"/>
  <c r="C438" i="44"/>
  <c r="B438" i="44"/>
  <c r="C49" i="44"/>
  <c r="B49" i="44"/>
  <c r="B610" i="44"/>
  <c r="C610" i="44"/>
  <c r="C777" i="44"/>
  <c r="B777" i="44"/>
  <c r="C749" i="44"/>
  <c r="B749" i="44"/>
  <c r="C697" i="44"/>
  <c r="B697" i="44"/>
  <c r="C913" i="44"/>
  <c r="B913" i="44"/>
  <c r="C68" i="44"/>
  <c r="B68" i="44"/>
  <c r="C94" i="44"/>
  <c r="B94" i="44"/>
  <c r="C342" i="44"/>
  <c r="B342" i="44"/>
  <c r="C358" i="44"/>
  <c r="B358" i="44"/>
  <c r="C536" i="44"/>
  <c r="B536" i="44"/>
  <c r="B391" i="44"/>
  <c r="C391" i="44"/>
  <c r="C836" i="44"/>
  <c r="B836" i="44"/>
  <c r="C18" i="44"/>
  <c r="B18" i="44"/>
  <c r="C632" i="44"/>
  <c r="B632" i="44"/>
  <c r="C668" i="44"/>
  <c r="B668" i="44"/>
  <c r="C288" i="44"/>
  <c r="B288" i="44"/>
  <c r="C113" i="44"/>
  <c r="B113" i="44"/>
  <c r="C615" i="44"/>
  <c r="B615" i="44"/>
  <c r="C104" i="44"/>
  <c r="B104" i="44"/>
  <c r="B700" i="44"/>
  <c r="C700" i="44"/>
  <c r="C534" i="44"/>
  <c r="B534" i="44"/>
  <c r="C653" i="44"/>
  <c r="B653" i="44"/>
  <c r="C597" i="44"/>
  <c r="B597" i="44"/>
  <c r="B17" i="44"/>
  <c r="C17" i="44"/>
  <c r="B677" i="44"/>
  <c r="C677" i="44"/>
  <c r="C397" i="44"/>
  <c r="B397" i="44"/>
  <c r="B303" i="44"/>
  <c r="C303" i="44"/>
  <c r="C590" i="44"/>
  <c r="B590" i="44"/>
  <c r="C147" i="44"/>
  <c r="B147" i="44"/>
  <c r="C849" i="44"/>
  <c r="B849" i="44"/>
  <c r="C256" i="44"/>
  <c r="B256" i="44"/>
  <c r="B117" i="44"/>
  <c r="C117" i="44"/>
  <c r="C712" i="44"/>
  <c r="B712" i="44"/>
  <c r="C581" i="44"/>
  <c r="B581" i="44"/>
  <c r="C107" i="44"/>
  <c r="B107" i="44"/>
  <c r="C343" i="44"/>
  <c r="B343" i="44"/>
  <c r="C22" i="44"/>
  <c r="B22" i="44"/>
  <c r="C33" i="44"/>
  <c r="B33" i="44"/>
  <c r="C663" i="44"/>
  <c r="B663" i="44"/>
  <c r="C433" i="44"/>
  <c r="B433" i="44"/>
  <c r="C696" i="44"/>
  <c r="B696" i="44"/>
  <c r="C903" i="44"/>
  <c r="B903" i="44"/>
  <c r="C819" i="44"/>
  <c r="B819" i="44"/>
  <c r="C425" i="44"/>
  <c r="B425" i="44"/>
  <c r="C835" i="44"/>
  <c r="B835" i="44"/>
  <c r="C386" i="44"/>
  <c r="B386" i="44"/>
  <c r="C724" i="44"/>
  <c r="B724" i="44"/>
  <c r="C319" i="44"/>
  <c r="B319" i="44"/>
  <c r="C579" i="44"/>
  <c r="B579" i="44"/>
  <c r="C7" i="44"/>
  <c r="B7" i="44"/>
  <c r="C570" i="44"/>
  <c r="B570" i="44"/>
  <c r="C506" i="44"/>
  <c r="B506" i="44"/>
  <c r="B562" i="44"/>
  <c r="C562" i="44"/>
  <c r="C222" i="44"/>
  <c r="B222" i="44"/>
  <c r="C494" i="44"/>
  <c r="B494" i="44"/>
  <c r="B44" i="44"/>
  <c r="C44" i="44"/>
  <c r="C569" i="44"/>
  <c r="B569" i="44"/>
  <c r="C882" i="44"/>
  <c r="B882" i="44"/>
  <c r="C703" i="44"/>
  <c r="B703" i="44"/>
  <c r="C899" i="44"/>
  <c r="B899" i="44"/>
  <c r="C437" i="44"/>
  <c r="B437" i="44"/>
  <c r="C23" i="44"/>
  <c r="B23" i="44"/>
  <c r="B713" i="44"/>
  <c r="C713" i="44"/>
  <c r="C356" i="44"/>
  <c r="B356" i="44"/>
  <c r="C495" i="44"/>
  <c r="B495" i="44"/>
  <c r="C468" i="44"/>
  <c r="B468" i="44"/>
  <c r="B721" i="44"/>
  <c r="C721" i="44"/>
  <c r="C499" i="44"/>
  <c r="B499" i="44"/>
  <c r="C75" i="44"/>
  <c r="B75" i="44"/>
  <c r="C20" i="44"/>
  <c r="B20" i="44"/>
  <c r="C801" i="44"/>
  <c r="B801" i="44"/>
  <c r="B9" i="44"/>
  <c r="C9" i="44"/>
  <c r="C398" i="44"/>
  <c r="B398" i="44"/>
  <c r="C424" i="44"/>
  <c r="B424" i="44"/>
  <c r="C148" i="44"/>
  <c r="B148" i="44"/>
  <c r="C294" i="44"/>
  <c r="B294" i="44"/>
  <c r="C15" i="44"/>
  <c r="B15" i="44"/>
  <c r="C382" i="44"/>
  <c r="B382" i="44"/>
  <c r="C170" i="44"/>
  <c r="B170" i="44"/>
  <c r="C283" i="44"/>
  <c r="B283" i="44"/>
  <c r="B63" i="44"/>
  <c r="C63" i="44"/>
  <c r="C157" i="44"/>
  <c r="B157" i="44"/>
  <c r="B785" i="44"/>
  <c r="C785" i="44"/>
  <c r="C603" i="44"/>
  <c r="B603" i="44"/>
  <c r="C89" i="44"/>
  <c r="B89" i="44"/>
  <c r="C631" i="44"/>
  <c r="B631" i="44"/>
  <c r="C181" i="44"/>
  <c r="B181" i="44"/>
  <c r="C818" i="44"/>
  <c r="B818" i="44"/>
  <c r="C539" i="44"/>
  <c r="B539" i="44"/>
  <c r="C211" i="44"/>
  <c r="B211" i="44"/>
  <c r="C228" i="44"/>
  <c r="B228" i="44"/>
  <c r="C74" i="44"/>
  <c r="B74" i="44"/>
  <c r="C623" i="44"/>
  <c r="B623" i="44"/>
  <c r="C86" i="44"/>
  <c r="B86" i="44"/>
  <c r="C45" i="44"/>
  <c r="B45" i="44"/>
  <c r="B665" i="44"/>
  <c r="C665" i="44"/>
  <c r="C585" i="44"/>
  <c r="B585" i="44"/>
  <c r="B19" i="44"/>
  <c r="C19" i="44"/>
  <c r="B96" i="44"/>
  <c r="C96" i="44"/>
  <c r="C596" i="44"/>
  <c r="B596" i="44"/>
  <c r="B366" i="44"/>
  <c r="C366" i="44"/>
  <c r="C187" i="44"/>
  <c r="B187" i="44"/>
  <c r="C322" i="44"/>
  <c r="B322" i="44"/>
  <c r="C868" i="44"/>
  <c r="B868" i="44"/>
  <c r="C612" i="44"/>
  <c r="B612" i="44"/>
  <c r="B599" i="44"/>
  <c r="C599" i="44"/>
  <c r="C553" i="44"/>
  <c r="B553" i="44"/>
  <c r="C775" i="44"/>
  <c r="B775" i="44"/>
  <c r="C388" i="44"/>
  <c r="B388" i="44"/>
  <c r="C733" i="44"/>
  <c r="B733" i="44"/>
  <c r="C161" i="44"/>
  <c r="B161" i="44"/>
  <c r="C376" i="44"/>
  <c r="B376" i="44"/>
  <c r="C887" i="44"/>
  <c r="B887" i="44"/>
  <c r="C423" i="44"/>
  <c r="B423" i="44"/>
  <c r="C128" i="44"/>
  <c r="B128" i="44"/>
  <c r="C719" i="44"/>
  <c r="B719" i="44"/>
  <c r="C645" i="44"/>
  <c r="B645" i="44"/>
  <c r="C121" i="44"/>
  <c r="B121" i="44"/>
  <c r="C335" i="44"/>
  <c r="B335" i="44"/>
  <c r="C136" i="44"/>
  <c r="B136" i="44"/>
  <c r="C193" i="44"/>
  <c r="B193" i="44"/>
  <c r="C463" i="44"/>
  <c r="B463" i="44"/>
  <c r="C578" i="44"/>
  <c r="B578" i="44"/>
  <c r="B156" i="44"/>
  <c r="C156" i="44"/>
  <c r="C702" i="44"/>
  <c r="B702" i="44"/>
  <c r="C64" i="44"/>
  <c r="B64" i="44"/>
  <c r="B711" i="44"/>
  <c r="C711" i="44"/>
  <c r="C717" i="44"/>
  <c r="B717" i="44"/>
  <c r="C779" i="44"/>
  <c r="B779" i="44"/>
  <c r="C150" i="44"/>
  <c r="B150" i="44"/>
  <c r="C70" i="44"/>
  <c r="B70" i="44"/>
  <c r="C873" i="44"/>
  <c r="B873" i="44"/>
  <c r="B898" i="44"/>
  <c r="C898" i="44"/>
  <c r="C571" i="44"/>
  <c r="B571" i="44"/>
  <c r="C145" i="44"/>
  <c r="B145" i="44"/>
  <c r="B666" i="44"/>
  <c r="C666" i="44"/>
  <c r="C492" i="44"/>
  <c r="B492" i="44"/>
  <c r="C580" i="44"/>
  <c r="B580" i="44"/>
  <c r="C922" i="44"/>
  <c r="B922" i="44"/>
  <c r="C310" i="44"/>
  <c r="B310" i="44"/>
  <c r="C756" i="44"/>
  <c r="B756" i="44"/>
  <c r="C843" i="44"/>
  <c r="B843" i="44"/>
  <c r="C511" i="44"/>
  <c r="B511" i="44"/>
  <c r="C218" i="44"/>
  <c r="B218" i="44"/>
  <c r="C460" i="44"/>
  <c r="B460" i="44"/>
  <c r="C444" i="44"/>
  <c r="B444" i="44"/>
  <c r="B923" i="44"/>
  <c r="C923" i="44"/>
  <c r="C662" i="44"/>
  <c r="B662" i="44"/>
  <c r="C626" i="44"/>
  <c r="B626" i="44"/>
  <c r="C828" i="44"/>
  <c r="B828" i="44"/>
  <c r="C196" i="44"/>
  <c r="B196" i="44"/>
  <c r="B234" i="44"/>
  <c r="C234" i="44"/>
  <c r="C105" i="44"/>
  <c r="B105" i="44"/>
  <c r="C714" i="44"/>
  <c r="B714" i="44"/>
  <c r="C280" i="44"/>
  <c r="B280" i="44"/>
  <c r="C641" i="44"/>
  <c r="B641" i="44"/>
  <c r="C412" i="44"/>
  <c r="B412" i="44"/>
  <c r="C475" i="44"/>
  <c r="B475" i="44"/>
  <c r="C586" i="44"/>
  <c r="B586" i="44"/>
  <c r="C247" i="44"/>
  <c r="B247" i="44"/>
  <c r="C59" i="44"/>
  <c r="B59" i="44"/>
  <c r="C141" i="44"/>
  <c r="B141" i="44"/>
  <c r="C168" i="44"/>
  <c r="B168" i="44"/>
  <c r="C517" i="44"/>
  <c r="B517" i="44"/>
  <c r="C680" i="44"/>
  <c r="B680" i="44"/>
  <c r="C47" i="44"/>
  <c r="B47" i="44"/>
  <c r="C97" i="44"/>
  <c r="B97" i="44"/>
  <c r="C304" i="44"/>
  <c r="B304" i="44"/>
  <c r="C485" i="44"/>
  <c r="B485" i="44"/>
  <c r="C817" i="44"/>
  <c r="B817" i="44"/>
  <c r="Y34" i="58"/>
  <c r="Y35" i="58" s="1"/>
  <c r="Y36" i="58" s="1"/>
  <c r="B6" i="56"/>
  <c r="D30" i="44"/>
  <c r="A30" i="44"/>
  <c r="D600" i="44"/>
  <c r="A600" i="44"/>
  <c r="D811" i="44"/>
  <c r="A811" i="44"/>
  <c r="D122" i="44"/>
  <c r="A122" i="44"/>
  <c r="D802" i="44"/>
  <c r="A802" i="44"/>
  <c r="D57" i="44"/>
  <c r="A57" i="44"/>
  <c r="D29" i="44"/>
  <c r="A29" i="44"/>
  <c r="D743" i="44"/>
  <c r="A743" i="44"/>
  <c r="D180" i="44"/>
  <c r="A180" i="44"/>
  <c r="D99" i="44"/>
  <c r="A99" i="44"/>
  <c r="D799" i="44"/>
  <c r="A799" i="44"/>
  <c r="D27" i="44"/>
  <c r="A27" i="44"/>
  <c r="D478" i="44"/>
  <c r="A478" i="44"/>
  <c r="D761" i="44"/>
  <c r="A761" i="44"/>
  <c r="D165" i="44"/>
  <c r="A165" i="44"/>
  <c r="D788" i="44"/>
  <c r="A788" i="44"/>
  <c r="D220" i="44"/>
  <c r="A220" i="44"/>
  <c r="D480" i="44"/>
  <c r="A480" i="44"/>
  <c r="D318" i="44"/>
  <c r="A318" i="44"/>
  <c r="D130" i="44"/>
  <c r="A130" i="44"/>
  <c r="D289" i="44"/>
  <c r="A289" i="44"/>
  <c r="D877" i="44"/>
  <c r="A877" i="44"/>
  <c r="D565" i="44"/>
  <c r="A565" i="44"/>
  <c r="D108" i="44"/>
  <c r="A108" i="44"/>
  <c r="D741" i="44"/>
  <c r="A741" i="44"/>
  <c r="D25" i="44"/>
  <c r="A25" i="44"/>
  <c r="D658" i="44"/>
  <c r="A658" i="44"/>
  <c r="D445" i="44"/>
  <c r="A445" i="44"/>
  <c r="D530" i="44"/>
  <c r="A530" i="44"/>
  <c r="D894" i="44"/>
  <c r="A894" i="44"/>
  <c r="D372" i="44"/>
  <c r="A372" i="44"/>
  <c r="D270" i="44"/>
  <c r="A270" i="44"/>
  <c r="D694" i="44"/>
  <c r="A694" i="44"/>
  <c r="D773" i="44"/>
  <c r="A773" i="44"/>
  <c r="D832" i="44"/>
  <c r="A832" i="44"/>
  <c r="D852" i="44"/>
  <c r="A852" i="44"/>
  <c r="D275" i="44"/>
  <c r="A275" i="44"/>
  <c r="D381" i="44"/>
  <c r="A381" i="44"/>
  <c r="D557" i="44"/>
  <c r="A557" i="44"/>
  <c r="D854" i="44"/>
  <c r="A854" i="44"/>
  <c r="D753" i="44"/>
  <c r="A753" i="44"/>
  <c r="D538" i="44"/>
  <c r="A538" i="44"/>
  <c r="D856" i="44"/>
  <c r="A856" i="44"/>
  <c r="D205" i="44"/>
  <c r="A205" i="44"/>
  <c r="D172" i="44"/>
  <c r="A172" i="44"/>
  <c r="D860" i="44"/>
  <c r="A860" i="44"/>
  <c r="D483" i="44"/>
  <c r="A483" i="44"/>
  <c r="D745" i="44"/>
  <c r="A745" i="44"/>
  <c r="D507" i="44"/>
  <c r="A507" i="44"/>
  <c r="D144" i="44"/>
  <c r="A144" i="44"/>
  <c r="D838" i="44"/>
  <c r="A838" i="44"/>
  <c r="D171" i="44"/>
  <c r="A171" i="44"/>
  <c r="D685" i="44"/>
  <c r="A685" i="44"/>
  <c r="D377" i="44"/>
  <c r="A377" i="44"/>
  <c r="D41" i="44"/>
  <c r="A41" i="44"/>
  <c r="D208" i="44"/>
  <c r="A208" i="44"/>
  <c r="D640" i="44"/>
  <c r="A640" i="44"/>
  <c r="D728" i="44"/>
  <c r="A728" i="44"/>
  <c r="D752" i="44"/>
  <c r="A752" i="44"/>
  <c r="D339" i="44"/>
  <c r="A339" i="44"/>
  <c r="D297" i="44"/>
  <c r="A297" i="44"/>
  <c r="D830" i="44"/>
  <c r="A830" i="44"/>
  <c r="D201" i="44"/>
  <c r="A201" i="44"/>
  <c r="D734" i="44"/>
  <c r="A734" i="44"/>
  <c r="D341" i="44"/>
  <c r="A341" i="44"/>
  <c r="D759" i="44"/>
  <c r="A759" i="44"/>
  <c r="D628" i="44"/>
  <c r="A628" i="44"/>
  <c r="D125" i="44"/>
  <c r="A125" i="44"/>
  <c r="D844" i="44"/>
  <c r="A844" i="44"/>
  <c r="D670" i="44"/>
  <c r="A670" i="44"/>
  <c r="D357" i="44"/>
  <c r="A357" i="44"/>
  <c r="D82" i="44"/>
  <c r="A82" i="44"/>
  <c r="D908" i="44"/>
  <c r="A908" i="44"/>
  <c r="D174" i="44"/>
  <c r="A174" i="44"/>
  <c r="D405" i="44"/>
  <c r="A405" i="44"/>
  <c r="D123" i="44"/>
  <c r="A123" i="44"/>
  <c r="D353" i="44"/>
  <c r="A353" i="44"/>
  <c r="D255" i="44"/>
  <c r="A255" i="44"/>
  <c r="D907" i="44"/>
  <c r="A907" i="44"/>
  <c r="D248" i="44"/>
  <c r="A248" i="44"/>
  <c r="D133" i="44"/>
  <c r="A133" i="44"/>
  <c r="D21" i="44"/>
  <c r="A21" i="44"/>
  <c r="D482" i="44"/>
  <c r="A482" i="44"/>
  <c r="D206" i="44"/>
  <c r="A206" i="44"/>
  <c r="D698" i="44"/>
  <c r="A698" i="44"/>
  <c r="D905" i="44"/>
  <c r="A905" i="44"/>
  <c r="D250" i="44"/>
  <c r="A250" i="44"/>
  <c r="D504" i="44"/>
  <c r="A504" i="44"/>
  <c r="D118" i="44"/>
  <c r="A118" i="44"/>
  <c r="D576" i="44"/>
  <c r="A576" i="44"/>
  <c r="D805" i="44"/>
  <c r="A805" i="44"/>
  <c r="D330" i="44"/>
  <c r="A330" i="44"/>
  <c r="D238" i="44"/>
  <c r="A238" i="44"/>
  <c r="D821" i="44"/>
  <c r="A821" i="44"/>
  <c r="D568" i="44"/>
  <c r="A568" i="44"/>
  <c r="D502" i="44"/>
  <c r="A502" i="44"/>
  <c r="D755" i="44"/>
  <c r="A755" i="44"/>
  <c r="D537" i="44"/>
  <c r="A537" i="44"/>
  <c r="D274" i="44"/>
  <c r="A274" i="44"/>
  <c r="D715" i="44"/>
  <c r="A715" i="44"/>
  <c r="D277" i="44"/>
  <c r="A277" i="44"/>
  <c r="D524" i="44"/>
  <c r="A524" i="44"/>
  <c r="D352" i="44"/>
  <c r="A352" i="44"/>
  <c r="D428" i="44"/>
  <c r="A428" i="44"/>
  <c r="D730" i="44"/>
  <c r="A730" i="44"/>
  <c r="D938" i="44"/>
  <c r="A938" i="44"/>
  <c r="D535" i="44"/>
  <c r="A535" i="44"/>
  <c r="D328" i="44"/>
  <c r="A328" i="44"/>
  <c r="D943" i="44"/>
  <c r="A943" i="44"/>
  <c r="D760" i="44"/>
  <c r="A760" i="44"/>
  <c r="D264" i="44"/>
  <c r="A264" i="44"/>
  <c r="D252" i="44"/>
  <c r="A252" i="44"/>
  <c r="D230" i="44"/>
  <c r="A230" i="44"/>
  <c r="D656" i="44"/>
  <c r="A656" i="44"/>
  <c r="D325" i="44"/>
  <c r="A325" i="44"/>
  <c r="D783" i="44"/>
  <c r="A783" i="44"/>
  <c r="D667" i="44"/>
  <c r="A667" i="44"/>
  <c r="D229" i="44"/>
  <c r="A229" i="44"/>
  <c r="D365" i="44"/>
  <c r="A365" i="44"/>
  <c r="D42" i="44"/>
  <c r="A42" i="44"/>
  <c r="D824" i="44"/>
  <c r="A824" i="44"/>
  <c r="D127" i="44"/>
  <c r="A127" i="44"/>
  <c r="D754" i="44"/>
  <c r="A754" i="44"/>
  <c r="D336" i="44"/>
  <c r="A336" i="44"/>
  <c r="D648" i="44"/>
  <c r="A648" i="44"/>
  <c r="D151" i="44"/>
  <c r="A151" i="44"/>
  <c r="D520" i="44"/>
  <c r="A520" i="44"/>
  <c r="D414" i="44"/>
  <c r="A414" i="44"/>
  <c r="D152" i="44"/>
  <c r="A152" i="44"/>
  <c r="D149" i="44"/>
  <c r="A149" i="44"/>
  <c r="D214" i="44"/>
  <c r="A214" i="44"/>
  <c r="D160" i="44"/>
  <c r="A160" i="44"/>
  <c r="D243" i="44"/>
  <c r="A243" i="44"/>
  <c r="D308" i="44"/>
  <c r="A308" i="44"/>
  <c r="D588" i="44"/>
  <c r="A588" i="44"/>
  <c r="D885" i="44"/>
  <c r="A885" i="44"/>
  <c r="D198" i="44"/>
  <c r="A198" i="44"/>
  <c r="D312" i="44"/>
  <c r="A312" i="44"/>
  <c r="D594" i="44"/>
  <c r="A594" i="44"/>
  <c r="D79" i="44"/>
  <c r="A79" i="44"/>
  <c r="D281" i="44"/>
  <c r="A281" i="44"/>
  <c r="D466" i="44"/>
  <c r="A466" i="44"/>
  <c r="D900" i="44"/>
  <c r="A900" i="44"/>
  <c r="D67" i="44"/>
  <c r="A67" i="44"/>
  <c r="D710" i="44"/>
  <c r="A710" i="44"/>
  <c r="D348" i="44"/>
  <c r="A348" i="44"/>
  <c r="D814" i="44"/>
  <c r="A814" i="44"/>
  <c r="D441" i="44"/>
  <c r="A441" i="44"/>
  <c r="D681" i="44"/>
  <c r="A681" i="44"/>
  <c r="D443" i="44"/>
  <c r="A443" i="44"/>
  <c r="D484" i="44"/>
  <c r="A484" i="44"/>
  <c r="D396" i="44"/>
  <c r="A396" i="44"/>
  <c r="D116" i="44"/>
  <c r="A116" i="44"/>
  <c r="D432" i="44"/>
  <c r="A432" i="44"/>
  <c r="D678" i="44"/>
  <c r="A678" i="44"/>
  <c r="D273" i="44"/>
  <c r="A273" i="44"/>
  <c r="D622" i="44"/>
  <c r="A622" i="44"/>
  <c r="D411" i="44"/>
  <c r="A411" i="44"/>
  <c r="D926" i="44"/>
  <c r="A926" i="44"/>
  <c r="D564" i="44"/>
  <c r="A564" i="44"/>
  <c r="D403" i="44"/>
  <c r="A403" i="44"/>
  <c r="D354" i="44"/>
  <c r="A354" i="44"/>
  <c r="D448" i="44"/>
  <c r="A448" i="44"/>
  <c r="D556" i="44"/>
  <c r="A556" i="44"/>
  <c r="D676" i="44"/>
  <c r="A676" i="44"/>
  <c r="D672" i="44"/>
  <c r="A672" i="44"/>
  <c r="D869" i="44"/>
  <c r="A869" i="44"/>
  <c r="D431" i="44"/>
  <c r="A431" i="44"/>
  <c r="D644" i="44"/>
  <c r="A644" i="44"/>
  <c r="D787" i="44"/>
  <c r="A787" i="44"/>
  <c r="D914" i="44"/>
  <c r="A914" i="44"/>
  <c r="D286" i="44"/>
  <c r="A286" i="44"/>
  <c r="D574" i="44"/>
  <c r="A574" i="44"/>
  <c r="D583" i="44"/>
  <c r="A583" i="44"/>
  <c r="D851" i="44"/>
  <c r="A851" i="44"/>
  <c r="D183" i="44"/>
  <c r="A183" i="44"/>
  <c r="D690" i="44"/>
  <c r="A690" i="44"/>
  <c r="D509" i="44"/>
  <c r="A509" i="44"/>
  <c r="D204" i="44"/>
  <c r="A204" i="44"/>
  <c r="D240" i="44"/>
  <c r="A240" i="44"/>
  <c r="D164" i="44"/>
  <c r="A164" i="44"/>
  <c r="D28" i="44"/>
  <c r="A28" i="44"/>
  <c r="D269" i="44"/>
  <c r="A269" i="44"/>
  <c r="D930" i="44"/>
  <c r="A930" i="44"/>
  <c r="D862" i="44"/>
  <c r="A862" i="44"/>
  <c r="D440" i="44"/>
  <c r="A440" i="44"/>
  <c r="D285" i="44"/>
  <c r="A285" i="44"/>
  <c r="D748" i="44"/>
  <c r="A748" i="44"/>
  <c r="D6" i="44"/>
  <c r="A6" i="44"/>
  <c r="D338" i="44"/>
  <c r="A338" i="44"/>
  <c r="D191" i="44"/>
  <c r="A191" i="44"/>
  <c r="D290" i="44"/>
  <c r="A290" i="44"/>
  <c r="D735" i="44"/>
  <c r="A735" i="44"/>
  <c r="D236" i="44"/>
  <c r="A236" i="44"/>
  <c r="D910" i="44"/>
  <c r="A910" i="44"/>
  <c r="D142" i="44"/>
  <c r="A142" i="44"/>
  <c r="D347" i="44"/>
  <c r="A347" i="44"/>
  <c r="D111" i="44"/>
  <c r="A111" i="44"/>
  <c r="D76" i="44"/>
  <c r="A76" i="44"/>
  <c r="D784" i="44"/>
  <c r="A784" i="44"/>
  <c r="D890" i="44"/>
  <c r="A890" i="44"/>
  <c r="D543" i="44"/>
  <c r="A543" i="44"/>
  <c r="D514" i="44"/>
  <c r="A514" i="44"/>
  <c r="D263" i="44"/>
  <c r="A263" i="44"/>
  <c r="D563" i="44"/>
  <c r="A563" i="44"/>
  <c r="D901" i="44"/>
  <c r="A901" i="44"/>
  <c r="D430" i="44"/>
  <c r="A430" i="44"/>
  <c r="D197" i="44"/>
  <c r="A197" i="44"/>
  <c r="D394" i="44"/>
  <c r="A394" i="44"/>
  <c r="D302" i="44"/>
  <c r="A302" i="44"/>
  <c r="D554" i="44"/>
  <c r="A554" i="44"/>
  <c r="D679" i="44"/>
  <c r="A679" i="44"/>
  <c r="D491" i="44"/>
  <c r="A491" i="44"/>
  <c r="D244" i="44"/>
  <c r="A244" i="44"/>
  <c r="D692" i="44"/>
  <c r="A692" i="44"/>
  <c r="D654" i="44"/>
  <c r="A654" i="44"/>
  <c r="D346" i="44"/>
  <c r="A346" i="44"/>
  <c r="D876" i="44"/>
  <c r="A876" i="44"/>
  <c r="D803" i="44"/>
  <c r="A803" i="44"/>
  <c r="D767" i="44"/>
  <c r="A767" i="44"/>
  <c r="D471" i="44"/>
  <c r="A471" i="44"/>
  <c r="D451" i="44"/>
  <c r="A451" i="44"/>
  <c r="D329" i="44"/>
  <c r="A329" i="44"/>
  <c r="D762" i="44"/>
  <c r="A762" i="44"/>
  <c r="D809" i="44"/>
  <c r="A809" i="44"/>
  <c r="D119" i="44"/>
  <c r="A119" i="44"/>
  <c r="D259" i="44"/>
  <c r="A259" i="44"/>
  <c r="D439" i="44"/>
  <c r="A439" i="44"/>
  <c r="D740" i="44"/>
  <c r="A740" i="44"/>
  <c r="D227" i="44"/>
  <c r="A227" i="44"/>
  <c r="D489" i="44"/>
  <c r="A489" i="44"/>
  <c r="D50" i="44"/>
  <c r="A50" i="44"/>
  <c r="D422" i="44"/>
  <c r="A422" i="44"/>
  <c r="D13" i="44"/>
  <c r="A13" i="44"/>
  <c r="D203" i="44"/>
  <c r="A203" i="44"/>
  <c r="D194" i="44"/>
  <c r="A194" i="44"/>
  <c r="D541" i="44"/>
  <c r="A541" i="44"/>
  <c r="D744" i="44"/>
  <c r="A744" i="44"/>
  <c r="D293" i="44"/>
  <c r="A293" i="44"/>
  <c r="D5" i="44"/>
  <c r="A5" i="44"/>
  <c r="D858" i="44"/>
  <c r="A858" i="44"/>
  <c r="D606" i="44"/>
  <c r="A606" i="44"/>
  <c r="D298" i="44"/>
  <c r="A298" i="44"/>
  <c r="D720" i="44"/>
  <c r="A720" i="44"/>
  <c r="D226" i="44"/>
  <c r="A226" i="44"/>
  <c r="D287" i="44"/>
  <c r="A287" i="44"/>
  <c r="D258" i="44"/>
  <c r="A258" i="44"/>
  <c r="D373" i="44"/>
  <c r="A373" i="44"/>
  <c r="D488" i="44"/>
  <c r="A488" i="44"/>
  <c r="D4" i="44"/>
  <c r="A4" i="44"/>
  <c r="D72" i="44"/>
  <c r="A72" i="44"/>
  <c r="D687" i="44"/>
  <c r="A687" i="44"/>
  <c r="D508" i="44"/>
  <c r="A508" i="44"/>
  <c r="D442" i="44"/>
  <c r="A442" i="44"/>
  <c r="D162" i="44"/>
  <c r="A162" i="44"/>
  <c r="D192" i="44"/>
  <c r="A192" i="44"/>
  <c r="D607" i="44"/>
  <c r="A607" i="44"/>
  <c r="D716" i="44"/>
  <c r="A716" i="44"/>
  <c r="D279" i="44"/>
  <c r="A279" i="44"/>
  <c r="D387" i="44"/>
  <c r="A387" i="44"/>
  <c r="D669" i="44"/>
  <c r="A669" i="44"/>
  <c r="D501" i="44"/>
  <c r="A501" i="44"/>
  <c r="D402" i="44"/>
  <c r="A402" i="44"/>
  <c r="D718" i="44"/>
  <c r="A718" i="44"/>
  <c r="D166" i="44"/>
  <c r="A166" i="44"/>
  <c r="D102" i="44"/>
  <c r="A102" i="44"/>
  <c r="D364" i="44"/>
  <c r="A364" i="44"/>
  <c r="D175" i="44"/>
  <c r="A175" i="44"/>
  <c r="D630" i="44"/>
  <c r="A630" i="44"/>
  <c r="D452" i="44"/>
  <c r="A452" i="44"/>
  <c r="D307" i="44"/>
  <c r="A307" i="44"/>
  <c r="D942" i="44"/>
  <c r="A942" i="44"/>
  <c r="D190" i="44"/>
  <c r="A190" i="44"/>
  <c r="D705" i="44"/>
  <c r="A705" i="44"/>
  <c r="D845" i="44"/>
  <c r="A845" i="44"/>
  <c r="D527" i="44"/>
  <c r="A527" i="44"/>
  <c r="D446" i="44"/>
  <c r="A446" i="44"/>
  <c r="D490" i="44"/>
  <c r="A490" i="44"/>
  <c r="D891" i="44"/>
  <c r="A891" i="44"/>
  <c r="D134" i="44"/>
  <c r="A134" i="44"/>
  <c r="D701" i="44"/>
  <c r="A701" i="44"/>
  <c r="D38" i="44"/>
  <c r="A38" i="44"/>
  <c r="D253" i="44"/>
  <c r="A253" i="44"/>
  <c r="D169" i="44"/>
  <c r="A169" i="44"/>
  <c r="D340" i="44"/>
  <c r="A340" i="44"/>
  <c r="D794" i="44"/>
  <c r="A794" i="44"/>
  <c r="D369" i="44"/>
  <c r="A369" i="44"/>
  <c r="D320" i="44"/>
  <c r="A320" i="44"/>
  <c r="D673" i="44"/>
  <c r="A673" i="44"/>
  <c r="D939" i="44"/>
  <c r="A939" i="44"/>
  <c r="D688" i="44"/>
  <c r="A688" i="44"/>
  <c r="D729" i="44"/>
  <c r="A729" i="44"/>
  <c r="D52" i="44"/>
  <c r="A52" i="44"/>
  <c r="D542" i="44"/>
  <c r="A542" i="44"/>
  <c r="D708" i="44"/>
  <c r="A708" i="44"/>
  <c r="D262" i="44"/>
  <c r="A262" i="44"/>
  <c r="D209" i="44"/>
  <c r="A209" i="44"/>
  <c r="D789" i="44"/>
  <c r="A789" i="44"/>
  <c r="D465" i="44"/>
  <c r="A465" i="44"/>
  <c r="D519" i="44"/>
  <c r="A519" i="44"/>
  <c r="D892" i="44"/>
  <c r="A892" i="44"/>
  <c r="D660" i="44"/>
  <c r="A660" i="44"/>
  <c r="D834" i="44"/>
  <c r="A834" i="44"/>
  <c r="D58" i="44"/>
  <c r="A58" i="44"/>
  <c r="D53" i="44"/>
  <c r="A53" i="44"/>
  <c r="D737" i="44"/>
  <c r="A737" i="44"/>
  <c r="D345" i="44"/>
  <c r="A345" i="44"/>
  <c r="D159" i="44"/>
  <c r="A159" i="44"/>
  <c r="D110" i="44"/>
  <c r="A110" i="44"/>
  <c r="D315" i="44"/>
  <c r="A315" i="44"/>
  <c r="D839" i="44"/>
  <c r="A839" i="44"/>
  <c r="D331" i="44"/>
  <c r="A331" i="44"/>
  <c r="D8" i="44"/>
  <c r="A8" i="44"/>
  <c r="D337" i="44"/>
  <c r="A337" i="44"/>
  <c r="D604" i="44"/>
  <c r="A604" i="44"/>
  <c r="D434" i="44"/>
  <c r="A434" i="44"/>
  <c r="D210" i="44"/>
  <c r="A210" i="44"/>
  <c r="D771" i="44"/>
  <c r="A771" i="44"/>
  <c r="D300" i="44"/>
  <c r="A300" i="44"/>
  <c r="D798" i="44"/>
  <c r="A798" i="44"/>
  <c r="D65" i="44"/>
  <c r="A65" i="44"/>
  <c r="D35" i="44"/>
  <c r="A35" i="44"/>
  <c r="D765" i="44"/>
  <c r="A765" i="44"/>
  <c r="D624" i="44"/>
  <c r="A624" i="44"/>
  <c r="D11" i="44"/>
  <c r="A11" i="44"/>
  <c r="D528" i="44"/>
  <c r="A528" i="44"/>
  <c r="D212" i="44"/>
  <c r="A212" i="44"/>
  <c r="D242" i="44"/>
  <c r="A242" i="44"/>
  <c r="D727" i="44"/>
  <c r="A727" i="44"/>
  <c r="D216" i="44"/>
  <c r="A216" i="44"/>
  <c r="D85" i="44"/>
  <c r="A85" i="44"/>
  <c r="D627" i="44"/>
  <c r="A627" i="44"/>
  <c r="D929" i="44"/>
  <c r="A929" i="44"/>
  <c r="D567" i="44"/>
  <c r="A567" i="44"/>
  <c r="D189" i="44"/>
  <c r="A189" i="44"/>
  <c r="D795" i="44"/>
  <c r="A795" i="44"/>
  <c r="D884" i="44"/>
  <c r="A884" i="44"/>
  <c r="D861" i="44"/>
  <c r="A861" i="44"/>
  <c r="D531" i="44"/>
  <c r="A531" i="44"/>
  <c r="D587" i="44"/>
  <c r="A587" i="44"/>
  <c r="D611" i="44"/>
  <c r="A611" i="44"/>
  <c r="D309" i="44"/>
  <c r="A309" i="44"/>
  <c r="D505" i="44"/>
  <c r="A505" i="44"/>
  <c r="D750" i="44"/>
  <c r="A750" i="44"/>
  <c r="D634" i="44"/>
  <c r="A634" i="44"/>
  <c r="D37" i="44"/>
  <c r="A37" i="44"/>
  <c r="D547" i="44"/>
  <c r="A547" i="44"/>
  <c r="D91" i="44"/>
  <c r="A91" i="44"/>
  <c r="D249" i="44"/>
  <c r="A249" i="44"/>
  <c r="D602" i="44"/>
  <c r="A602" i="44"/>
  <c r="D306" i="44"/>
  <c r="A306" i="44"/>
  <c r="D935" i="44"/>
  <c r="A935" i="44"/>
  <c r="D878" i="44"/>
  <c r="A878" i="44"/>
  <c r="D546" i="44"/>
  <c r="A546" i="44"/>
  <c r="D846" i="44"/>
  <c r="A846" i="44"/>
  <c r="D368" i="44"/>
  <c r="A368" i="44"/>
  <c r="D598" i="44"/>
  <c r="A598" i="44"/>
  <c r="D552" i="44"/>
  <c r="A552" i="44"/>
  <c r="D177" i="44"/>
  <c r="A177" i="44"/>
  <c r="D393" i="44"/>
  <c r="A393" i="44"/>
  <c r="D370" i="44"/>
  <c r="A370" i="44"/>
  <c r="D32" i="44"/>
  <c r="A32" i="44"/>
  <c r="D103" i="44"/>
  <c r="A103" i="44"/>
  <c r="D639" i="44"/>
  <c r="A639" i="44"/>
  <c r="D768" i="44"/>
  <c r="A768" i="44"/>
  <c r="D374" i="44"/>
  <c r="A374" i="44"/>
  <c r="D883" i="44"/>
  <c r="A883" i="44"/>
  <c r="D479" i="44"/>
  <c r="A479" i="44"/>
  <c r="D246" i="44"/>
  <c r="A246" i="44"/>
  <c r="D559" i="44"/>
  <c r="A559" i="44"/>
  <c r="D544" i="44"/>
  <c r="A544" i="44"/>
  <c r="D732" i="44"/>
  <c r="A732" i="44"/>
  <c r="D26" i="44"/>
  <c r="A26" i="44"/>
  <c r="D3" i="44"/>
  <c r="A3" i="44"/>
  <c r="D840" i="44"/>
  <c r="A840" i="44"/>
  <c r="D137" i="44"/>
  <c r="A137" i="44"/>
  <c r="D474" i="44"/>
  <c r="A474" i="44"/>
  <c r="D461" i="44"/>
  <c r="A461" i="44"/>
  <c r="D415" i="44"/>
  <c r="A415" i="44"/>
  <c r="D231" i="44"/>
  <c r="A231" i="44"/>
  <c r="D516" i="44"/>
  <c r="A516" i="44"/>
  <c r="D301" i="44"/>
  <c r="A301" i="44"/>
  <c r="D909" i="44"/>
  <c r="A909" i="44"/>
  <c r="D62" i="44"/>
  <c r="A62" i="44"/>
  <c r="D691" i="44"/>
  <c r="A691" i="44"/>
  <c r="D469" i="44"/>
  <c r="A469" i="44"/>
  <c r="D518" i="44"/>
  <c r="A518" i="44"/>
  <c r="D200" i="44"/>
  <c r="A200" i="44"/>
  <c r="D493" i="44"/>
  <c r="A493" i="44"/>
  <c r="D642" i="44"/>
  <c r="A642" i="44"/>
  <c r="D941" i="44"/>
  <c r="A941" i="44"/>
  <c r="D219" i="44"/>
  <c r="A219" i="44"/>
  <c r="D682" i="44"/>
  <c r="A682" i="44"/>
  <c r="D115" i="44"/>
  <c r="A115" i="44"/>
  <c r="D515" i="44"/>
  <c r="A515" i="44"/>
  <c r="D560" i="44"/>
  <c r="A560" i="44"/>
  <c r="D635" i="44"/>
  <c r="A635" i="44"/>
  <c r="D709" i="44"/>
  <c r="A709" i="44"/>
  <c r="D418" i="44"/>
  <c r="A418" i="44"/>
  <c r="D512" i="44"/>
  <c r="A512" i="44"/>
  <c r="D390" i="44"/>
  <c r="A390" i="44"/>
  <c r="D84" i="44"/>
  <c r="A84" i="44"/>
  <c r="D176" i="44"/>
  <c r="A176" i="44"/>
  <c r="D605" i="44"/>
  <c r="A605" i="44"/>
  <c r="D684" i="44"/>
  <c r="A684" i="44"/>
  <c r="D186" i="44"/>
  <c r="A186" i="44"/>
  <c r="D420" i="44"/>
  <c r="A420" i="44"/>
  <c r="D457" i="44"/>
  <c r="A457" i="44"/>
  <c r="D723" i="44"/>
  <c r="A723" i="44"/>
  <c r="D359" i="44"/>
  <c r="C359" i="44" s="1"/>
  <c r="A359" i="44"/>
  <c r="D60" i="44"/>
  <c r="A60" i="44"/>
  <c r="D529" i="44"/>
  <c r="A529" i="44"/>
  <c r="D404" i="44"/>
  <c r="A404" i="44"/>
  <c r="D455" i="44"/>
  <c r="A455" i="44"/>
  <c r="D738" i="44"/>
  <c r="A738" i="44"/>
  <c r="D575" i="44"/>
  <c r="A575" i="44"/>
  <c r="D207" i="44"/>
  <c r="A207" i="44"/>
  <c r="D652" i="44"/>
  <c r="A652" i="44"/>
  <c r="D867" i="44"/>
  <c r="A867" i="44"/>
  <c r="D601" i="44"/>
  <c r="A601" i="44"/>
  <c r="D763" i="44"/>
  <c r="A763" i="44"/>
  <c r="D893" i="44"/>
  <c r="A893" i="44"/>
  <c r="D378" i="44"/>
  <c r="A378" i="44"/>
  <c r="D324" i="44"/>
  <c r="A324" i="44"/>
  <c r="D473" i="44"/>
  <c r="A473" i="44"/>
  <c r="D401" i="44"/>
  <c r="A401" i="44"/>
  <c r="D621" i="44"/>
  <c r="A621" i="44"/>
  <c r="D305" i="44"/>
  <c r="A305" i="44"/>
  <c r="D251" i="44"/>
  <c r="A251" i="44"/>
  <c r="D584" i="44"/>
  <c r="A584" i="44"/>
  <c r="D363" i="44"/>
  <c r="A363" i="44"/>
  <c r="D498" i="44"/>
  <c r="A498" i="44"/>
  <c r="D928" i="44"/>
  <c r="A928" i="44"/>
  <c r="D758" i="44"/>
  <c r="A758" i="44"/>
  <c r="D34" i="44"/>
  <c r="A34" i="44"/>
  <c r="D417" i="44"/>
  <c r="A417" i="44"/>
  <c r="D16" i="44"/>
  <c r="A16" i="44"/>
  <c r="D323" i="44"/>
  <c r="A323" i="44"/>
  <c r="D643" i="44"/>
  <c r="A643" i="44"/>
  <c r="D100" i="44"/>
  <c r="A100" i="44"/>
  <c r="D143" i="44"/>
  <c r="A143" i="44"/>
  <c r="D595" i="44"/>
  <c r="A595" i="44"/>
  <c r="D800" i="44"/>
  <c r="A800" i="44"/>
  <c r="D276" i="44"/>
  <c r="A276" i="44"/>
  <c r="D40" i="44"/>
  <c r="A40" i="44"/>
  <c r="D454" i="44"/>
  <c r="A454" i="44"/>
  <c r="D56" i="44"/>
  <c r="A56" i="44"/>
  <c r="D706" i="44"/>
  <c r="A706" i="44"/>
  <c r="D88" i="44"/>
  <c r="A88" i="44"/>
  <c r="D815" i="44"/>
  <c r="A815" i="44"/>
  <c r="D12" i="44"/>
  <c r="A12" i="44"/>
  <c r="D902" i="44"/>
  <c r="A902" i="44"/>
  <c r="D829" i="44"/>
  <c r="A829" i="44"/>
  <c r="D614" i="44"/>
  <c r="A614" i="44"/>
  <c r="D399" i="44"/>
  <c r="A399" i="44"/>
  <c r="D573" i="44"/>
  <c r="A573" i="44"/>
  <c r="D106" i="44"/>
  <c r="A106" i="44"/>
  <c r="D620" i="44"/>
  <c r="A620" i="44"/>
  <c r="D872" i="44"/>
  <c r="A872" i="44"/>
  <c r="D61" i="44"/>
  <c r="A61" i="44"/>
  <c r="D292" i="44"/>
  <c r="A292" i="44"/>
  <c r="D163" i="44"/>
  <c r="A163" i="44"/>
  <c r="D135" i="44"/>
  <c r="A135" i="44"/>
  <c r="D77" i="44"/>
  <c r="A77" i="44"/>
  <c r="D93" i="44"/>
  <c r="A93" i="44"/>
  <c r="D618" i="44"/>
  <c r="A618" i="44"/>
  <c r="D689" i="44"/>
  <c r="A689" i="44"/>
  <c r="D897" i="44"/>
  <c r="A897" i="44"/>
  <c r="D154" i="44"/>
  <c r="A154" i="44"/>
  <c r="D46" i="44"/>
  <c r="A46" i="44"/>
  <c r="D260" i="44"/>
  <c r="A260" i="44"/>
  <c r="D326" i="44"/>
  <c r="A326" i="44"/>
  <c r="D90" i="44"/>
  <c r="A90" i="44"/>
  <c r="D510" i="44"/>
  <c r="A510" i="44"/>
  <c r="D549" i="44"/>
  <c r="A549" i="44"/>
  <c r="D896" i="44"/>
  <c r="A896" i="44"/>
  <c r="D859" i="44"/>
  <c r="A859" i="44"/>
  <c r="D500" i="44"/>
  <c r="A500" i="44"/>
  <c r="D114" i="44"/>
  <c r="A114" i="44"/>
  <c r="D321" i="44"/>
  <c r="A321" i="44"/>
  <c r="D98" i="44"/>
  <c r="A98" i="44"/>
  <c r="D351" i="44"/>
  <c r="A351" i="44"/>
  <c r="D278" i="44"/>
  <c r="A278" i="44"/>
  <c r="D167" i="44"/>
  <c r="A167" i="44"/>
  <c r="D503" i="44"/>
  <c r="A503" i="44"/>
  <c r="D589" i="44"/>
  <c r="A589" i="44"/>
  <c r="D582" i="44"/>
  <c r="A582" i="44"/>
  <c r="D349" i="44"/>
  <c r="A349" i="44"/>
  <c r="D572" i="44"/>
  <c r="A572" i="44"/>
  <c r="D699" i="44"/>
  <c r="A699" i="44"/>
  <c r="D2" i="44"/>
  <c r="A2" i="44"/>
  <c r="D267" i="44"/>
  <c r="A267" i="44"/>
  <c r="D233" i="44"/>
  <c r="A233" i="44"/>
  <c r="D671" i="44"/>
  <c r="A671" i="44"/>
  <c r="D804" i="44"/>
  <c r="A804" i="44"/>
  <c r="D426" i="44"/>
  <c r="A426" i="44"/>
  <c r="D87" i="44"/>
  <c r="A87" i="44"/>
  <c r="C2" i="44" l="1"/>
  <c r="B2" i="44"/>
  <c r="C582" i="44"/>
  <c r="B582" i="44"/>
  <c r="C896" i="44"/>
  <c r="B896" i="44"/>
  <c r="C77" i="44"/>
  <c r="B77" i="44"/>
  <c r="C902" i="44"/>
  <c r="B902" i="44"/>
  <c r="B100" i="44"/>
  <c r="C100" i="44"/>
  <c r="B324" i="44"/>
  <c r="C324" i="44"/>
  <c r="C529" i="44"/>
  <c r="B529" i="44"/>
  <c r="B605" i="44"/>
  <c r="C605" i="44"/>
  <c r="C560" i="44"/>
  <c r="B560" i="44"/>
  <c r="C62" i="44"/>
  <c r="B62" i="44"/>
  <c r="C732" i="44"/>
  <c r="B732" i="44"/>
  <c r="C393" i="44"/>
  <c r="B393" i="44"/>
  <c r="C935" i="44"/>
  <c r="B935" i="44"/>
  <c r="B750" i="44"/>
  <c r="C750" i="44"/>
  <c r="B627" i="44"/>
  <c r="C627" i="44"/>
  <c r="C798" i="44"/>
  <c r="B798" i="44"/>
  <c r="B110" i="44"/>
  <c r="C110" i="44"/>
  <c r="C209" i="44"/>
  <c r="B209" i="44"/>
  <c r="C340" i="44"/>
  <c r="B340" i="44"/>
  <c r="C190" i="44"/>
  <c r="B190" i="44"/>
  <c r="C166" i="44"/>
  <c r="B166" i="44"/>
  <c r="C607" i="44"/>
  <c r="B607" i="44"/>
  <c r="C226" i="44"/>
  <c r="B226" i="44"/>
  <c r="C13" i="44"/>
  <c r="B13" i="44"/>
  <c r="C451" i="44"/>
  <c r="B451" i="44"/>
  <c r="C302" i="44"/>
  <c r="B302" i="44"/>
  <c r="B236" i="44"/>
  <c r="C236" i="44"/>
  <c r="C440" i="44"/>
  <c r="B440" i="44"/>
  <c r="C583" i="44"/>
  <c r="B583" i="44"/>
  <c r="B672" i="44"/>
  <c r="C672" i="44"/>
  <c r="C678" i="44"/>
  <c r="B678" i="44"/>
  <c r="C900" i="44"/>
  <c r="B900" i="44"/>
  <c r="C214" i="44"/>
  <c r="B214" i="44"/>
  <c r="C824" i="44"/>
  <c r="B824" i="44"/>
  <c r="C230" i="44"/>
  <c r="B230" i="44"/>
  <c r="C277" i="44"/>
  <c r="B277" i="44"/>
  <c r="C118" i="44"/>
  <c r="B118" i="44"/>
  <c r="C353" i="44"/>
  <c r="B353" i="44"/>
  <c r="C670" i="44"/>
  <c r="B670" i="44"/>
  <c r="B752" i="44"/>
  <c r="C752" i="44"/>
  <c r="C557" i="44"/>
  <c r="B557" i="44"/>
  <c r="C445" i="44"/>
  <c r="B445" i="44"/>
  <c r="C289" i="44"/>
  <c r="B289" i="44"/>
  <c r="C180" i="44"/>
  <c r="B180" i="44"/>
  <c r="C30" i="44"/>
  <c r="B30" i="44"/>
  <c r="B699" i="44"/>
  <c r="C699" i="44"/>
  <c r="C278" i="44"/>
  <c r="B278" i="44"/>
  <c r="B549" i="44"/>
  <c r="C549" i="44"/>
  <c r="C689" i="44"/>
  <c r="B689" i="44"/>
  <c r="C872" i="44"/>
  <c r="B872" i="44"/>
  <c r="C12" i="44"/>
  <c r="B12" i="44"/>
  <c r="C800" i="44"/>
  <c r="B800" i="44"/>
  <c r="B34" i="44"/>
  <c r="C34" i="44"/>
  <c r="C621" i="44"/>
  <c r="B621" i="44"/>
  <c r="C378" i="44"/>
  <c r="B378" i="44"/>
  <c r="B738" i="44"/>
  <c r="C738" i="44"/>
  <c r="C420" i="44"/>
  <c r="B420" i="44"/>
  <c r="B418" i="44"/>
  <c r="C418" i="44"/>
  <c r="C941" i="44"/>
  <c r="B941" i="44"/>
  <c r="C909" i="44"/>
  <c r="B909" i="44"/>
  <c r="B544" i="44"/>
  <c r="C544" i="44"/>
  <c r="C883" i="44"/>
  <c r="B883" i="44"/>
  <c r="C846" i="44"/>
  <c r="B846" i="44"/>
  <c r="C547" i="44"/>
  <c r="B547" i="44"/>
  <c r="C531" i="44"/>
  <c r="B531" i="44"/>
  <c r="C85" i="44"/>
  <c r="B85" i="44"/>
  <c r="C300" i="44"/>
  <c r="B300" i="44"/>
  <c r="C604" i="44"/>
  <c r="B604" i="44"/>
  <c r="C159" i="44"/>
  <c r="B159" i="44"/>
  <c r="C519" i="44"/>
  <c r="B519" i="44"/>
  <c r="B729" i="44"/>
  <c r="C729" i="44"/>
  <c r="B169" i="44"/>
  <c r="C169" i="44"/>
  <c r="C527" i="44"/>
  <c r="B527" i="44"/>
  <c r="C175" i="44"/>
  <c r="B175" i="44"/>
  <c r="C387" i="44"/>
  <c r="B387" i="44"/>
  <c r="C687" i="44"/>
  <c r="B687" i="44"/>
  <c r="B720" i="44"/>
  <c r="C720" i="44"/>
  <c r="C541" i="44"/>
  <c r="B541" i="44"/>
  <c r="C740" i="44"/>
  <c r="B740" i="44"/>
  <c r="C471" i="44"/>
  <c r="B471" i="44"/>
  <c r="C491" i="44"/>
  <c r="B491" i="44"/>
  <c r="C563" i="44"/>
  <c r="B563" i="44"/>
  <c r="B347" i="44"/>
  <c r="C347" i="44"/>
  <c r="C6" i="44"/>
  <c r="B6" i="44"/>
  <c r="C164" i="44"/>
  <c r="B164" i="44"/>
  <c r="C574" i="44"/>
  <c r="B574" i="44"/>
  <c r="C676" i="44"/>
  <c r="B676" i="44"/>
  <c r="C411" i="44"/>
  <c r="B411" i="44"/>
  <c r="C443" i="44"/>
  <c r="B443" i="44"/>
  <c r="C348" i="44"/>
  <c r="B348" i="44"/>
  <c r="C312" i="44"/>
  <c r="B312" i="44"/>
  <c r="C149" i="44"/>
  <c r="B149" i="44"/>
  <c r="C754" i="44"/>
  <c r="B754" i="44"/>
  <c r="B42" i="44"/>
  <c r="C42" i="44"/>
  <c r="C328" i="44"/>
  <c r="B328" i="44"/>
  <c r="C715" i="44"/>
  <c r="B715" i="44"/>
  <c r="B330" i="44"/>
  <c r="C330" i="44"/>
  <c r="C206" i="44"/>
  <c r="B206" i="44"/>
  <c r="C123" i="44"/>
  <c r="B123" i="44"/>
  <c r="C844" i="44"/>
  <c r="B844" i="44"/>
  <c r="B377" i="44"/>
  <c r="C377" i="44"/>
  <c r="C860" i="44"/>
  <c r="B860" i="44"/>
  <c r="C538" i="44"/>
  <c r="B538" i="44"/>
  <c r="C381" i="44"/>
  <c r="B381" i="44"/>
  <c r="C773" i="44"/>
  <c r="B773" i="44"/>
  <c r="B108" i="44"/>
  <c r="C108" i="44"/>
  <c r="C130" i="44"/>
  <c r="B130" i="44"/>
  <c r="C27" i="44"/>
  <c r="B27" i="44"/>
  <c r="C743" i="44"/>
  <c r="B743" i="44"/>
  <c r="B122" i="44"/>
  <c r="C122" i="44"/>
  <c r="C321" i="44"/>
  <c r="B321" i="44"/>
  <c r="C897" i="44"/>
  <c r="B897" i="44"/>
  <c r="C61" i="44"/>
  <c r="B61" i="44"/>
  <c r="C276" i="44"/>
  <c r="B276" i="44"/>
  <c r="C498" i="44"/>
  <c r="B498" i="44"/>
  <c r="C601" i="44"/>
  <c r="B601" i="44"/>
  <c r="C457" i="44"/>
  <c r="B457" i="44"/>
  <c r="C219" i="44"/>
  <c r="B219" i="44"/>
  <c r="B231" i="44"/>
  <c r="C231" i="44"/>
  <c r="C479" i="44"/>
  <c r="B479" i="44"/>
  <c r="C368" i="44"/>
  <c r="B368" i="44"/>
  <c r="C587" i="44"/>
  <c r="B587" i="44"/>
  <c r="C624" i="44"/>
  <c r="B624" i="44"/>
  <c r="C331" i="44"/>
  <c r="B331" i="44"/>
  <c r="C53" i="44"/>
  <c r="B53" i="44"/>
  <c r="C673" i="44"/>
  <c r="B673" i="44"/>
  <c r="C446" i="44"/>
  <c r="B446" i="44"/>
  <c r="C630" i="44"/>
  <c r="B630" i="44"/>
  <c r="C508" i="44"/>
  <c r="B508" i="44"/>
  <c r="C858" i="44"/>
  <c r="B858" i="44"/>
  <c r="C119" i="44"/>
  <c r="B119" i="44"/>
  <c r="C876" i="44"/>
  <c r="B876" i="44"/>
  <c r="B901" i="44"/>
  <c r="C901" i="44"/>
  <c r="C111" i="44"/>
  <c r="B111" i="44"/>
  <c r="C28" i="44"/>
  <c r="B28" i="44"/>
  <c r="C787" i="44"/>
  <c r="B787" i="44"/>
  <c r="C448" i="44"/>
  <c r="B448" i="44"/>
  <c r="C484" i="44"/>
  <c r="B484" i="44"/>
  <c r="C588" i="44"/>
  <c r="B588" i="44"/>
  <c r="C336" i="44"/>
  <c r="B336" i="44"/>
  <c r="C943" i="44"/>
  <c r="B943" i="44"/>
  <c r="C755" i="44"/>
  <c r="B755" i="44"/>
  <c r="C698" i="44"/>
  <c r="B698" i="44"/>
  <c r="C908" i="44"/>
  <c r="B908" i="44"/>
  <c r="C759" i="44"/>
  <c r="B759" i="44"/>
  <c r="C41" i="44"/>
  <c r="B41" i="44"/>
  <c r="C483" i="44"/>
  <c r="B483" i="44"/>
  <c r="C832" i="44"/>
  <c r="B832" i="44"/>
  <c r="B478" i="44"/>
  <c r="C478" i="44"/>
  <c r="C671" i="44"/>
  <c r="B671" i="44"/>
  <c r="C589" i="44"/>
  <c r="B589" i="44"/>
  <c r="C114" i="44"/>
  <c r="B114" i="44"/>
  <c r="C260" i="44"/>
  <c r="B260" i="44"/>
  <c r="C135" i="44"/>
  <c r="B135" i="44"/>
  <c r="B399" i="44"/>
  <c r="C399" i="44"/>
  <c r="C56" i="44"/>
  <c r="B56" i="44"/>
  <c r="C643" i="44"/>
  <c r="B643" i="44"/>
  <c r="C363" i="44"/>
  <c r="B363" i="44"/>
  <c r="B867" i="44"/>
  <c r="C867" i="44"/>
  <c r="B60" i="44"/>
  <c r="C60" i="44"/>
  <c r="C176" i="44"/>
  <c r="B176" i="44"/>
  <c r="B515" i="44"/>
  <c r="C515" i="44"/>
  <c r="B518" i="44"/>
  <c r="C518" i="44"/>
  <c r="C415" i="44"/>
  <c r="B415" i="44"/>
  <c r="C840" i="44"/>
  <c r="B840" i="44"/>
  <c r="C103" i="44"/>
  <c r="B103" i="44"/>
  <c r="C177" i="44"/>
  <c r="B177" i="44"/>
  <c r="C306" i="44"/>
  <c r="B306" i="44"/>
  <c r="B505" i="44"/>
  <c r="C505" i="44"/>
  <c r="C189" i="44"/>
  <c r="B189" i="44"/>
  <c r="C212" i="44"/>
  <c r="B212" i="44"/>
  <c r="C765" i="44"/>
  <c r="B765" i="44"/>
  <c r="C839" i="44"/>
  <c r="B839" i="44"/>
  <c r="C58" i="44"/>
  <c r="B58" i="44"/>
  <c r="B262" i="44"/>
  <c r="C262" i="44"/>
  <c r="C320" i="44"/>
  <c r="B320" i="44"/>
  <c r="B134" i="44"/>
  <c r="C134" i="44"/>
  <c r="C942" i="44"/>
  <c r="B942" i="44"/>
  <c r="C718" i="44"/>
  <c r="B718" i="44"/>
  <c r="B192" i="44"/>
  <c r="C192" i="44"/>
  <c r="C373" i="44"/>
  <c r="B373" i="44"/>
  <c r="C5" i="44"/>
  <c r="B5" i="44"/>
  <c r="B422" i="44"/>
  <c r="C422" i="44"/>
  <c r="C809" i="44"/>
  <c r="B809" i="44"/>
  <c r="C346" i="44"/>
  <c r="B346" i="44"/>
  <c r="C394" i="44"/>
  <c r="B394" i="44"/>
  <c r="C890" i="44"/>
  <c r="B890" i="44"/>
  <c r="B735" i="44"/>
  <c r="C735" i="44"/>
  <c r="C862" i="44"/>
  <c r="B862" i="44"/>
  <c r="C690" i="44"/>
  <c r="B690" i="44"/>
  <c r="C644" i="44"/>
  <c r="B644" i="44"/>
  <c r="B354" i="44"/>
  <c r="C354" i="44"/>
  <c r="C432" i="44"/>
  <c r="B432" i="44"/>
  <c r="C466" i="44"/>
  <c r="B466" i="44"/>
  <c r="C308" i="44"/>
  <c r="B308" i="44"/>
  <c r="B520" i="44"/>
  <c r="C520" i="44"/>
  <c r="C783" i="44"/>
  <c r="B783" i="44"/>
  <c r="C252" i="44"/>
  <c r="B252" i="44"/>
  <c r="C428" i="44"/>
  <c r="B428" i="44"/>
  <c r="C502" i="44"/>
  <c r="B502" i="44"/>
  <c r="C504" i="44"/>
  <c r="B504" i="44"/>
  <c r="C248" i="44"/>
  <c r="B248" i="44"/>
  <c r="C82" i="44"/>
  <c r="B82" i="44"/>
  <c r="C341" i="44"/>
  <c r="B341" i="44"/>
  <c r="C728" i="44"/>
  <c r="B728" i="44"/>
  <c r="C144" i="44"/>
  <c r="B144" i="44"/>
  <c r="C372" i="44"/>
  <c r="B372" i="44"/>
  <c r="C788" i="44"/>
  <c r="B788" i="44"/>
  <c r="C804" i="44"/>
  <c r="B804" i="44"/>
  <c r="C167" i="44"/>
  <c r="B167" i="44"/>
  <c r="B326" i="44"/>
  <c r="C326" i="44"/>
  <c r="C573" i="44"/>
  <c r="B573" i="44"/>
  <c r="C706" i="44"/>
  <c r="B706" i="44"/>
  <c r="C417" i="44"/>
  <c r="B417" i="44"/>
  <c r="B305" i="44"/>
  <c r="C305" i="44"/>
  <c r="C575" i="44"/>
  <c r="B575" i="44"/>
  <c r="C512" i="44"/>
  <c r="B512" i="44"/>
  <c r="B200" i="44"/>
  <c r="C200" i="44"/>
  <c r="C137" i="44"/>
  <c r="B137" i="44"/>
  <c r="C639" i="44"/>
  <c r="B639" i="44"/>
  <c r="C91" i="44"/>
  <c r="B91" i="44"/>
  <c r="C795" i="44"/>
  <c r="B795" i="44"/>
  <c r="C242" i="44"/>
  <c r="B242" i="44"/>
  <c r="C434" i="44"/>
  <c r="B434" i="44"/>
  <c r="C892" i="44"/>
  <c r="B892" i="44"/>
  <c r="B52" i="44"/>
  <c r="C52" i="44"/>
  <c r="C701" i="44"/>
  <c r="B701" i="44"/>
  <c r="C669" i="44"/>
  <c r="B669" i="44"/>
  <c r="C488" i="44"/>
  <c r="B488" i="44"/>
  <c r="C227" i="44"/>
  <c r="B227" i="44"/>
  <c r="C244" i="44"/>
  <c r="B244" i="44"/>
  <c r="C543" i="44"/>
  <c r="B543" i="44"/>
  <c r="C338" i="44"/>
  <c r="B338" i="44"/>
  <c r="C509" i="44"/>
  <c r="B509" i="44"/>
  <c r="C926" i="44"/>
  <c r="B926" i="44"/>
  <c r="C814" i="44"/>
  <c r="B814" i="44"/>
  <c r="C594" i="44"/>
  <c r="B594" i="44"/>
  <c r="C414" i="44"/>
  <c r="B414" i="44"/>
  <c r="C667" i="44"/>
  <c r="B667" i="44"/>
  <c r="B730" i="44"/>
  <c r="C730" i="44"/>
  <c r="C238" i="44"/>
  <c r="B238" i="44"/>
  <c r="C133" i="44"/>
  <c r="B133" i="44"/>
  <c r="C830" i="44"/>
  <c r="B830" i="44"/>
  <c r="C838" i="44"/>
  <c r="B838" i="44"/>
  <c r="C856" i="44"/>
  <c r="B856" i="44"/>
  <c r="C741" i="44"/>
  <c r="B741" i="44"/>
  <c r="C220" i="44"/>
  <c r="B220" i="44"/>
  <c r="C802" i="44"/>
  <c r="B802" i="44"/>
  <c r="C87" i="44"/>
  <c r="B87" i="44"/>
  <c r="C233" i="44"/>
  <c r="B233" i="44"/>
  <c r="C572" i="44"/>
  <c r="B572" i="44"/>
  <c r="C351" i="44"/>
  <c r="B351" i="44"/>
  <c r="C500" i="44"/>
  <c r="B500" i="44"/>
  <c r="C510" i="44"/>
  <c r="B510" i="44"/>
  <c r="C46" i="44"/>
  <c r="B46" i="44"/>
  <c r="B618" i="44"/>
  <c r="C618" i="44"/>
  <c r="C163" i="44"/>
  <c r="B163" i="44"/>
  <c r="C620" i="44"/>
  <c r="B620" i="44"/>
  <c r="C614" i="44"/>
  <c r="B614" i="44"/>
  <c r="C815" i="44"/>
  <c r="B815" i="44"/>
  <c r="C454" i="44"/>
  <c r="B454" i="44"/>
  <c r="C595" i="44"/>
  <c r="B595" i="44"/>
  <c r="B323" i="44"/>
  <c r="C323" i="44"/>
  <c r="C758" i="44"/>
  <c r="B758" i="44"/>
  <c r="C584" i="44"/>
  <c r="B584" i="44"/>
  <c r="C401" i="44"/>
  <c r="B401" i="44"/>
  <c r="C893" i="44"/>
  <c r="B893" i="44"/>
  <c r="B652" i="44"/>
  <c r="C652" i="44"/>
  <c r="C455" i="44"/>
  <c r="B455" i="44"/>
  <c r="B186" i="44"/>
  <c r="C186" i="44"/>
  <c r="C84" i="44"/>
  <c r="B84" i="44"/>
  <c r="C709" i="44"/>
  <c r="B709" i="44"/>
  <c r="B115" i="44"/>
  <c r="C115" i="44"/>
  <c r="C642" i="44"/>
  <c r="B642" i="44"/>
  <c r="C469" i="44"/>
  <c r="B469" i="44"/>
  <c r="B301" i="44"/>
  <c r="C301" i="44"/>
  <c r="C461" i="44"/>
  <c r="B461" i="44"/>
  <c r="C3" i="44"/>
  <c r="B3" i="44"/>
  <c r="C559" i="44"/>
  <c r="B559" i="44"/>
  <c r="C374" i="44"/>
  <c r="B374" i="44"/>
  <c r="C32" i="44"/>
  <c r="B32" i="44"/>
  <c r="C552" i="44"/>
  <c r="B552" i="44"/>
  <c r="C546" i="44"/>
  <c r="B546" i="44"/>
  <c r="C602" i="44"/>
  <c r="B602" i="44"/>
  <c r="C37" i="44"/>
  <c r="B37" i="44"/>
  <c r="C309" i="44"/>
  <c r="B309" i="44"/>
  <c r="C861" i="44"/>
  <c r="B861" i="44"/>
  <c r="C567" i="44"/>
  <c r="B567" i="44"/>
  <c r="B216" i="44"/>
  <c r="C216" i="44"/>
  <c r="C528" i="44"/>
  <c r="B528" i="44"/>
  <c r="B35" i="44"/>
  <c r="C35" i="44"/>
  <c r="C771" i="44"/>
  <c r="B771" i="44"/>
  <c r="B337" i="44"/>
  <c r="C337" i="44"/>
  <c r="B345" i="44"/>
  <c r="C345" i="44"/>
  <c r="C834" i="44"/>
  <c r="B834" i="44"/>
  <c r="C465" i="44"/>
  <c r="B465" i="44"/>
  <c r="C708" i="44"/>
  <c r="B708" i="44"/>
  <c r="C688" i="44"/>
  <c r="B688" i="44"/>
  <c r="C369" i="44"/>
  <c r="B369" i="44"/>
  <c r="C253" i="44"/>
  <c r="B253" i="44"/>
  <c r="B891" i="44"/>
  <c r="C891" i="44"/>
  <c r="B845" i="44"/>
  <c r="C845" i="44"/>
  <c r="B307" i="44"/>
  <c r="C307" i="44"/>
  <c r="C364" i="44"/>
  <c r="B364" i="44"/>
  <c r="C402" i="44"/>
  <c r="B402" i="44"/>
  <c r="C279" i="44"/>
  <c r="B279" i="44"/>
  <c r="B162" i="44"/>
  <c r="C162" i="44"/>
  <c r="B72" i="44"/>
  <c r="C72" i="44"/>
  <c r="C258" i="44"/>
  <c r="B258" i="44"/>
  <c r="B298" i="44"/>
  <c r="C298" i="44"/>
  <c r="C293" i="44"/>
  <c r="B293" i="44"/>
  <c r="C194" i="44"/>
  <c r="B194" i="44"/>
  <c r="C50" i="44"/>
  <c r="B50" i="44"/>
  <c r="C439" i="44"/>
  <c r="B439" i="44"/>
  <c r="C762" i="44"/>
  <c r="B762" i="44"/>
  <c r="B767" i="44"/>
  <c r="C767" i="44"/>
  <c r="B654" i="44"/>
  <c r="C654" i="44"/>
  <c r="C679" i="44"/>
  <c r="B679" i="44"/>
  <c r="C197" i="44"/>
  <c r="B197" i="44"/>
  <c r="C263" i="44"/>
  <c r="B263" i="44"/>
  <c r="C784" i="44"/>
  <c r="B784" i="44"/>
  <c r="B142" i="44"/>
  <c r="C142" i="44"/>
  <c r="C290" i="44"/>
  <c r="B290" i="44"/>
  <c r="C748" i="44"/>
  <c r="B748" i="44"/>
  <c r="C930" i="44"/>
  <c r="B930" i="44"/>
  <c r="C240" i="44"/>
  <c r="B240" i="44"/>
  <c r="B183" i="44"/>
  <c r="C183" i="44"/>
  <c r="C286" i="44"/>
  <c r="B286" i="44"/>
  <c r="C431" i="44"/>
  <c r="B431" i="44"/>
  <c r="C556" i="44"/>
  <c r="B556" i="44"/>
  <c r="C403" i="44"/>
  <c r="B403" i="44"/>
  <c r="B622" i="44"/>
  <c r="C622" i="44"/>
  <c r="C116" i="44"/>
  <c r="B116" i="44"/>
  <c r="B681" i="44"/>
  <c r="C681" i="44"/>
  <c r="C710" i="44"/>
  <c r="B710" i="44"/>
  <c r="C281" i="44"/>
  <c r="B281" i="44"/>
  <c r="C198" i="44"/>
  <c r="B198" i="44"/>
  <c r="B243" i="44"/>
  <c r="C243" i="44"/>
  <c r="B151" i="44"/>
  <c r="C151" i="44"/>
  <c r="C365" i="44"/>
  <c r="B365" i="44"/>
  <c r="C325" i="44"/>
  <c r="B325" i="44"/>
  <c r="B264" i="44"/>
  <c r="C264" i="44"/>
  <c r="C535" i="44"/>
  <c r="B535" i="44"/>
  <c r="B352" i="44"/>
  <c r="C352" i="44"/>
  <c r="C274" i="44"/>
  <c r="B274" i="44"/>
  <c r="C568" i="44"/>
  <c r="B568" i="44"/>
  <c r="C805" i="44"/>
  <c r="B805" i="44"/>
  <c r="B250" i="44"/>
  <c r="C250" i="44"/>
  <c r="B482" i="44"/>
  <c r="C482" i="44"/>
  <c r="C907" i="44"/>
  <c r="B907" i="44"/>
  <c r="C405" i="44"/>
  <c r="B405" i="44"/>
  <c r="B125" i="44"/>
  <c r="C125" i="44"/>
  <c r="C734" i="44"/>
  <c r="B734" i="44"/>
  <c r="C297" i="44"/>
  <c r="B297" i="44"/>
  <c r="C640" i="44"/>
  <c r="B640" i="44"/>
  <c r="C685" i="44"/>
  <c r="B685" i="44"/>
  <c r="C507" i="44"/>
  <c r="B507" i="44"/>
  <c r="C172" i="44"/>
  <c r="B172" i="44"/>
  <c r="C753" i="44"/>
  <c r="B753" i="44"/>
  <c r="C275" i="44"/>
  <c r="B275" i="44"/>
  <c r="B694" i="44"/>
  <c r="C694" i="44"/>
  <c r="C894" i="44"/>
  <c r="B894" i="44"/>
  <c r="C658" i="44"/>
  <c r="B658" i="44"/>
  <c r="C565" i="44"/>
  <c r="B565" i="44"/>
  <c r="C318" i="44"/>
  <c r="B318" i="44"/>
  <c r="B165" i="44"/>
  <c r="C165" i="44"/>
  <c r="C799" i="44"/>
  <c r="B799" i="44"/>
  <c r="C29" i="44"/>
  <c r="B29" i="44"/>
  <c r="C811" i="44"/>
  <c r="B811" i="44"/>
  <c r="C426" i="44"/>
  <c r="B426" i="44"/>
  <c r="C267" i="44"/>
  <c r="B267" i="44"/>
  <c r="C349" i="44"/>
  <c r="B349" i="44"/>
  <c r="C503" i="44"/>
  <c r="B503" i="44"/>
  <c r="B98" i="44"/>
  <c r="C98" i="44"/>
  <c r="C859" i="44"/>
  <c r="B859" i="44"/>
  <c r="C90" i="44"/>
  <c r="B90" i="44"/>
  <c r="C154" i="44"/>
  <c r="B154" i="44"/>
  <c r="C93" i="44"/>
  <c r="B93" i="44"/>
  <c r="C292" i="44"/>
  <c r="B292" i="44"/>
  <c r="C106" i="44"/>
  <c r="B106" i="44"/>
  <c r="C829" i="44"/>
  <c r="B829" i="44"/>
  <c r="C88" i="44"/>
  <c r="B88" i="44"/>
  <c r="B40" i="44"/>
  <c r="C40" i="44"/>
  <c r="C143" i="44"/>
  <c r="B143" i="44"/>
  <c r="B16" i="44"/>
  <c r="C16" i="44"/>
  <c r="C928" i="44"/>
  <c r="B928" i="44"/>
  <c r="C251" i="44"/>
  <c r="B251" i="44"/>
  <c r="C473" i="44"/>
  <c r="B473" i="44"/>
  <c r="C763" i="44"/>
  <c r="B763" i="44"/>
  <c r="C207" i="44"/>
  <c r="B207" i="44"/>
  <c r="B404" i="44"/>
  <c r="C404" i="44"/>
  <c r="C723" i="44"/>
  <c r="B723" i="44"/>
  <c r="C684" i="44"/>
  <c r="B684" i="44"/>
  <c r="C390" i="44"/>
  <c r="B390" i="44"/>
  <c r="B635" i="44"/>
  <c r="C635" i="44"/>
  <c r="C682" i="44"/>
  <c r="B682" i="44"/>
  <c r="C493" i="44"/>
  <c r="B493" i="44"/>
  <c r="C691" i="44"/>
  <c r="B691" i="44"/>
  <c r="C516" i="44"/>
  <c r="B516" i="44"/>
  <c r="C474" i="44"/>
  <c r="B474" i="44"/>
  <c r="B26" i="44"/>
  <c r="C26" i="44"/>
  <c r="B246" i="44"/>
  <c r="C246" i="44"/>
  <c r="C768" i="44"/>
  <c r="B768" i="44"/>
  <c r="C370" i="44"/>
  <c r="B370" i="44"/>
  <c r="C598" i="44"/>
  <c r="B598" i="44"/>
  <c r="B878" i="44"/>
  <c r="C878" i="44"/>
  <c r="C249" i="44"/>
  <c r="B249" i="44"/>
  <c r="C634" i="44"/>
  <c r="B634" i="44"/>
  <c r="B611" i="44"/>
  <c r="C611" i="44"/>
  <c r="C884" i="44"/>
  <c r="B884" i="44"/>
  <c r="C929" i="44"/>
  <c r="B929" i="44"/>
  <c r="C727" i="44"/>
  <c r="B727" i="44"/>
  <c r="B11" i="44"/>
  <c r="C11" i="44"/>
  <c r="C65" i="44"/>
  <c r="B65" i="44"/>
  <c r="B210" i="44"/>
  <c r="C210" i="44"/>
  <c r="C8" i="44"/>
  <c r="B8" i="44"/>
  <c r="C315" i="44"/>
  <c r="B315" i="44"/>
  <c r="C737" i="44"/>
  <c r="B737" i="44"/>
  <c r="B660" i="44"/>
  <c r="C660" i="44"/>
  <c r="C789" i="44"/>
  <c r="B789" i="44"/>
  <c r="C542" i="44"/>
  <c r="B542" i="44"/>
  <c r="C939" i="44"/>
  <c r="B939" i="44"/>
  <c r="C794" i="44"/>
  <c r="B794" i="44"/>
  <c r="C38" i="44"/>
  <c r="B38" i="44"/>
  <c r="C490" i="44"/>
  <c r="B490" i="44"/>
  <c r="B705" i="44"/>
  <c r="C705" i="44"/>
  <c r="C452" i="44"/>
  <c r="B452" i="44"/>
  <c r="C102" i="44"/>
  <c r="B102" i="44"/>
  <c r="C501" i="44"/>
  <c r="B501" i="44"/>
  <c r="B716" i="44"/>
  <c r="C716" i="44"/>
  <c r="C442" i="44"/>
  <c r="B442" i="44"/>
  <c r="C4" i="44"/>
  <c r="B4" i="44"/>
  <c r="B287" i="44"/>
  <c r="C287" i="44"/>
  <c r="C606" i="44"/>
  <c r="B606" i="44"/>
  <c r="B744" i="44"/>
  <c r="C744" i="44"/>
  <c r="C203" i="44"/>
  <c r="B203" i="44"/>
  <c r="C489" i="44"/>
  <c r="B489" i="44"/>
  <c r="C259" i="44"/>
  <c r="B259" i="44"/>
  <c r="C329" i="44"/>
  <c r="B329" i="44"/>
  <c r="C803" i="44"/>
  <c r="B803" i="44"/>
  <c r="C692" i="44"/>
  <c r="B692" i="44"/>
  <c r="C554" i="44"/>
  <c r="B554" i="44"/>
  <c r="C430" i="44"/>
  <c r="B430" i="44"/>
  <c r="C514" i="44"/>
  <c r="B514" i="44"/>
  <c r="C76" i="44"/>
  <c r="B76" i="44"/>
  <c r="C910" i="44"/>
  <c r="B910" i="44"/>
  <c r="C191" i="44"/>
  <c r="B191" i="44"/>
  <c r="C285" i="44"/>
  <c r="B285" i="44"/>
  <c r="B269" i="44"/>
  <c r="C269" i="44"/>
  <c r="C204" i="44"/>
  <c r="B204" i="44"/>
  <c r="C851" i="44"/>
  <c r="B851" i="44"/>
  <c r="C914" i="44"/>
  <c r="B914" i="44"/>
  <c r="B869" i="44"/>
  <c r="C869" i="44"/>
  <c r="C564" i="44"/>
  <c r="B564" i="44"/>
  <c r="C273" i="44"/>
  <c r="B273" i="44"/>
  <c r="B396" i="44"/>
  <c r="C396" i="44"/>
  <c r="C441" i="44"/>
  <c r="B441" i="44"/>
  <c r="C67" i="44"/>
  <c r="B67" i="44"/>
  <c r="C79" i="44"/>
  <c r="B79" i="44"/>
  <c r="C885" i="44"/>
  <c r="B885" i="44"/>
  <c r="C160" i="44"/>
  <c r="B160" i="44"/>
  <c r="C152" i="44"/>
  <c r="B152" i="44"/>
  <c r="C648" i="44"/>
  <c r="B648" i="44"/>
  <c r="B127" i="44"/>
  <c r="C127" i="44"/>
  <c r="B229" i="44"/>
  <c r="C229" i="44"/>
  <c r="C656" i="44"/>
  <c r="B656" i="44"/>
  <c r="C760" i="44"/>
  <c r="B760" i="44"/>
  <c r="C938" i="44"/>
  <c r="B938" i="44"/>
  <c r="C524" i="44"/>
  <c r="B524" i="44"/>
  <c r="C537" i="44"/>
  <c r="B537" i="44"/>
  <c r="C821" i="44"/>
  <c r="B821" i="44"/>
  <c r="C576" i="44"/>
  <c r="B576" i="44"/>
  <c r="C905" i="44"/>
  <c r="B905" i="44"/>
  <c r="C21" i="44"/>
  <c r="B21" i="44"/>
  <c r="C255" i="44"/>
  <c r="B255" i="44"/>
  <c r="C174" i="44"/>
  <c r="B174" i="44"/>
  <c r="C357" i="44"/>
  <c r="B357" i="44"/>
  <c r="C628" i="44"/>
  <c r="B628" i="44"/>
  <c r="C201" i="44"/>
  <c r="B201" i="44"/>
  <c r="C339" i="44"/>
  <c r="B339" i="44"/>
  <c r="B208" i="44"/>
  <c r="C208" i="44"/>
  <c r="B171" i="44"/>
  <c r="C171" i="44"/>
  <c r="C745" i="44"/>
  <c r="B745" i="44"/>
  <c r="C205" i="44"/>
  <c r="B205" i="44"/>
  <c r="C854" i="44"/>
  <c r="B854" i="44"/>
  <c r="C852" i="44"/>
  <c r="B852" i="44"/>
  <c r="C270" i="44"/>
  <c r="B270" i="44"/>
  <c r="C530" i="44"/>
  <c r="B530" i="44"/>
  <c r="B25" i="44"/>
  <c r="C25" i="44"/>
  <c r="B877" i="44"/>
  <c r="C877" i="44"/>
  <c r="C480" i="44"/>
  <c r="B480" i="44"/>
  <c r="C761" i="44"/>
  <c r="B761" i="44"/>
  <c r="C99" i="44"/>
  <c r="B99" i="44"/>
  <c r="B57" i="44"/>
  <c r="C57" i="44"/>
  <c r="C600" i="44"/>
  <c r="B600" i="44"/>
  <c r="B359" i="44"/>
  <c r="D124" i="44" l="1"/>
  <c r="D232" i="44"/>
  <c r="D334" i="44"/>
  <c r="D526" i="44"/>
  <c r="D225" i="44"/>
  <c r="D83" i="44"/>
  <c r="D904" i="44"/>
  <c r="D736" i="44"/>
  <c r="D888" i="44"/>
  <c r="D924" i="44"/>
  <c r="D895" i="44"/>
  <c r="D435" i="44"/>
  <c r="D625" i="44"/>
  <c r="D664" i="44"/>
  <c r="D920" i="44"/>
  <c r="D221" i="44"/>
  <c r="D609" i="44"/>
  <c r="D291" i="44"/>
  <c r="D686" i="44"/>
  <c r="D410" i="44"/>
  <c r="D421" i="44"/>
  <c r="D486" i="44"/>
  <c r="D239" i="44"/>
  <c r="D296" i="44"/>
  <c r="D202" i="44"/>
  <c r="D81" i="44"/>
  <c r="D472" i="44"/>
  <c r="D470" i="44"/>
  <c r="D864" i="44"/>
  <c r="D66" i="44"/>
  <c r="D126" i="44"/>
  <c r="D637" i="44"/>
  <c r="D109" i="44"/>
  <c r="D925" i="44"/>
  <c r="D855" i="44"/>
  <c r="D24" i="44"/>
  <c r="D129" i="44"/>
  <c r="D707" i="44"/>
  <c r="D406" i="44"/>
  <c r="D101" i="44"/>
  <c r="D155" i="44"/>
  <c r="D407" i="44"/>
  <c r="D650" i="44"/>
  <c r="D384" i="44"/>
  <c r="D120" i="44"/>
  <c r="D158" i="44"/>
  <c r="D54" i="44"/>
  <c r="D545" i="44"/>
  <c r="D153" i="44"/>
  <c r="D284" i="44"/>
  <c r="D51" i="44"/>
  <c r="D450" i="44"/>
  <c r="D419" i="44"/>
  <c r="D751" i="44"/>
  <c r="D78" i="44"/>
  <c r="D792" i="44"/>
  <c r="D237" i="44"/>
  <c r="A124" i="44"/>
  <c r="A232" i="44"/>
  <c r="A334" i="44"/>
  <c r="A526" i="44"/>
  <c r="A225" i="44"/>
  <c r="A83" i="44"/>
  <c r="A904" i="44"/>
  <c r="A736" i="44"/>
  <c r="A888" i="44"/>
  <c r="A924" i="44"/>
  <c r="A895" i="44"/>
  <c r="A435" i="44"/>
  <c r="A625" i="44"/>
  <c r="A664" i="44"/>
  <c r="A920" i="44"/>
  <c r="A221" i="44"/>
  <c r="A609" i="44"/>
  <c r="A291" i="44"/>
  <c r="A686" i="44"/>
  <c r="A410" i="44"/>
  <c r="A421" i="44"/>
  <c r="A486" i="44"/>
  <c r="A239" i="44"/>
  <c r="A296" i="44"/>
  <c r="A202" i="44"/>
  <c r="A81" i="44"/>
  <c r="A472" i="44"/>
  <c r="A470" i="44"/>
  <c r="A864" i="44"/>
  <c r="A66" i="44"/>
  <c r="A126" i="44"/>
  <c r="A637" i="44"/>
  <c r="A109" i="44"/>
  <c r="A925" i="44"/>
  <c r="A855" i="44"/>
  <c r="A24" i="44"/>
  <c r="A129" i="44"/>
  <c r="A707" i="44"/>
  <c r="A406" i="44"/>
  <c r="A101" i="44"/>
  <c r="A155" i="44"/>
  <c r="A407" i="44"/>
  <c r="A650" i="44"/>
  <c r="A384" i="44"/>
  <c r="A120" i="44"/>
  <c r="A158" i="44"/>
  <c r="A54" i="44"/>
  <c r="A545" i="44"/>
  <c r="A153" i="44"/>
  <c r="A284" i="44"/>
  <c r="A51" i="44"/>
  <c r="A450" i="44"/>
  <c r="A419" i="44"/>
  <c r="A751" i="44"/>
  <c r="A78" i="44"/>
  <c r="A792" i="44"/>
  <c r="A237" i="44"/>
  <c r="C384" i="44" l="1"/>
  <c r="B384" i="44"/>
  <c r="C470" i="44"/>
  <c r="B470" i="44"/>
  <c r="C625" i="44"/>
  <c r="B625" i="44"/>
  <c r="C284" i="44"/>
  <c r="B284" i="44"/>
  <c r="C855" i="44"/>
  <c r="B855" i="44"/>
  <c r="C410" i="44"/>
  <c r="B410" i="44"/>
  <c r="C153" i="44"/>
  <c r="B153" i="44"/>
  <c r="C407" i="44"/>
  <c r="B407" i="44"/>
  <c r="C686" i="44"/>
  <c r="B686" i="44"/>
  <c r="C526" i="44"/>
  <c r="B526" i="44"/>
  <c r="C792" i="44"/>
  <c r="B792" i="44"/>
  <c r="C155" i="44"/>
  <c r="B155" i="44"/>
  <c r="C202" i="44"/>
  <c r="B202" i="44"/>
  <c r="C334" i="44"/>
  <c r="B334" i="44"/>
  <c r="C54" i="44"/>
  <c r="B54" i="44"/>
  <c r="C101" i="44"/>
  <c r="B101" i="44"/>
  <c r="C296" i="44"/>
  <c r="B296" i="44"/>
  <c r="C924" i="44"/>
  <c r="B924" i="44"/>
  <c r="C158" i="44"/>
  <c r="B158" i="44"/>
  <c r="C126" i="44"/>
  <c r="B126" i="44"/>
  <c r="C239" i="44"/>
  <c r="B239" i="44"/>
  <c r="C124" i="44"/>
  <c r="B124" i="44"/>
  <c r="B419" i="44"/>
  <c r="C419" i="44"/>
  <c r="C120" i="44"/>
  <c r="B120" i="44"/>
  <c r="C707" i="44"/>
  <c r="B707" i="44"/>
  <c r="C66" i="44"/>
  <c r="B66" i="44"/>
  <c r="B920" i="44"/>
  <c r="C920" i="44"/>
  <c r="C736" i="44"/>
  <c r="B736" i="44"/>
  <c r="C51" i="44"/>
  <c r="B51" i="44"/>
  <c r="C24" i="44"/>
  <c r="B24" i="44"/>
  <c r="C421" i="44"/>
  <c r="B421" i="44"/>
  <c r="B83" i="44"/>
  <c r="C83" i="44"/>
  <c r="C650" i="44"/>
  <c r="B650" i="44"/>
  <c r="C472" i="44"/>
  <c r="B472" i="44"/>
  <c r="B225" i="44"/>
  <c r="C225" i="44"/>
  <c r="C237" i="44"/>
  <c r="B237" i="44"/>
  <c r="C925" i="44"/>
  <c r="B925" i="44"/>
  <c r="B81" i="44"/>
  <c r="C81" i="44"/>
  <c r="B435" i="44"/>
  <c r="C435" i="44"/>
  <c r="C545" i="44"/>
  <c r="B545" i="44"/>
  <c r="C109" i="44"/>
  <c r="B109" i="44"/>
  <c r="C291" i="44"/>
  <c r="B291" i="44"/>
  <c r="C895" i="44"/>
  <c r="B895" i="44"/>
  <c r="B78" i="44"/>
  <c r="C78" i="44"/>
  <c r="C637" i="44"/>
  <c r="B637" i="44"/>
  <c r="C609" i="44"/>
  <c r="B609" i="44"/>
  <c r="B232" i="44"/>
  <c r="C232" i="44"/>
  <c r="C751" i="44"/>
  <c r="B751" i="44"/>
  <c r="C406" i="44"/>
  <c r="B406" i="44"/>
  <c r="C221" i="44"/>
  <c r="B221" i="44"/>
  <c r="C888" i="44"/>
  <c r="B888" i="44"/>
  <c r="C450" i="44"/>
  <c r="B450" i="44"/>
  <c r="B129" i="44"/>
  <c r="C129" i="44"/>
  <c r="C864" i="44"/>
  <c r="B864" i="44"/>
  <c r="C486" i="44"/>
  <c r="B486" i="44"/>
  <c r="C664" i="44"/>
  <c r="B664" i="44"/>
  <c r="C904" i="44"/>
  <c r="B904" i="44"/>
  <c r="E9" i="35"/>
  <c r="V34" i="32"/>
  <c r="Y28" i="32"/>
  <c r="V28" i="32"/>
  <c r="Y22" i="32"/>
  <c r="V22" i="32"/>
  <c r="Y16" i="32"/>
  <c r="V16" i="32"/>
  <c r="V15" i="32"/>
  <c r="V14" i="32"/>
  <c r="V13" i="32"/>
  <c r="V12" i="32"/>
  <c r="V11" i="32"/>
  <c r="Y10" i="32"/>
  <c r="Y11" i="32" s="1"/>
  <c r="Y12" i="32" s="1"/>
  <c r="V10" i="32"/>
  <c r="V9" i="32"/>
  <c r="V8" i="32"/>
  <c r="V7" i="32"/>
  <c r="V6" i="32"/>
  <c r="V5" i="32"/>
  <c r="Y4" i="32"/>
  <c r="Y5" i="32" s="1"/>
  <c r="Y6" i="32" s="1"/>
  <c r="V4" i="32"/>
  <c r="F30" i="35"/>
  <c r="E30" i="35"/>
  <c r="R27" i="35"/>
  <c r="F27" i="35"/>
  <c r="E27" i="35"/>
  <c r="R24" i="35"/>
  <c r="N24" i="35"/>
  <c r="H24" i="35"/>
  <c r="F24" i="35"/>
  <c r="E24" i="35"/>
  <c r="C24" i="35"/>
  <c r="R21" i="35"/>
  <c r="P21" i="35"/>
  <c r="O21" i="35"/>
  <c r="N21" i="35"/>
  <c r="L21" i="35"/>
  <c r="J21" i="35"/>
  <c r="H21" i="35"/>
  <c r="F21" i="35"/>
  <c r="E21" i="35"/>
  <c r="C21" i="35"/>
  <c r="R18" i="35"/>
  <c r="P18" i="35"/>
  <c r="O18" i="35"/>
  <c r="N18" i="35"/>
  <c r="L18" i="35"/>
  <c r="J18" i="35"/>
  <c r="H18" i="35"/>
  <c r="F18" i="35"/>
  <c r="E18" i="35"/>
  <c r="C18" i="35"/>
  <c r="R15" i="35"/>
  <c r="P15" i="35"/>
  <c r="N15" i="35"/>
  <c r="O15" i="35"/>
  <c r="L15" i="35"/>
  <c r="J15" i="35"/>
  <c r="H15" i="35"/>
  <c r="F15" i="35"/>
  <c r="E15" i="35"/>
  <c r="C15" i="35"/>
  <c r="V35" i="32"/>
  <c r="V36" i="32" s="1"/>
  <c r="Y29" i="32"/>
  <c r="Y30" i="32" s="1"/>
  <c r="V29" i="32"/>
  <c r="V30" i="32" s="1"/>
  <c r="Y23" i="32"/>
  <c r="Y24" i="32" s="1"/>
  <c r="V23" i="32"/>
  <c r="V24" i="32" s="1"/>
  <c r="Y17" i="32"/>
  <c r="Y18" i="32" s="1"/>
  <c r="V17" i="32"/>
  <c r="V18" i="32" s="1"/>
  <c r="V34" i="31"/>
  <c r="Y28" i="31"/>
  <c r="V28" i="31"/>
  <c r="V29" i="31" s="1"/>
  <c r="V30" i="31" s="1"/>
  <c r="Y22" i="31"/>
  <c r="Y34" i="31" s="1"/>
  <c r="Y35" i="31" s="1"/>
  <c r="Y36" i="31" s="1"/>
  <c r="V22" i="31"/>
  <c r="Y16" i="31"/>
  <c r="Y17" i="31" s="1"/>
  <c r="Y18" i="31" s="1"/>
  <c r="V16" i="31"/>
  <c r="V17" i="31" s="1"/>
  <c r="V18" i="31" s="1"/>
  <c r="V15" i="31"/>
  <c r="V14" i="31"/>
  <c r="V13" i="31"/>
  <c r="V12" i="31"/>
  <c r="V11" i="31"/>
  <c r="Y10" i="31"/>
  <c r="V10" i="31"/>
  <c r="V9" i="31"/>
  <c r="V8" i="31"/>
  <c r="V7" i="31"/>
  <c r="V6" i="31"/>
  <c r="V5" i="31"/>
  <c r="Y4" i="31"/>
  <c r="Y5" i="31" s="1"/>
  <c r="Y6" i="31" s="1"/>
  <c r="V4" i="31"/>
  <c r="V35" i="31"/>
  <c r="V36" i="31" s="1"/>
  <c r="Y29" i="31"/>
  <c r="Y30" i="31" s="1"/>
  <c r="V23" i="31"/>
  <c r="V24" i="31" s="1"/>
  <c r="Y11" i="31"/>
  <c r="Y12" i="31" s="1"/>
  <c r="V34" i="30"/>
  <c r="Y28" i="30"/>
  <c r="Y29" i="30" s="1"/>
  <c r="Y30" i="30" s="1"/>
  <c r="V28" i="30"/>
  <c r="V29" i="30" s="1"/>
  <c r="V30" i="30" s="1"/>
  <c r="Y22" i="30"/>
  <c r="Y23" i="30" s="1"/>
  <c r="Y24" i="30" s="1"/>
  <c r="V22" i="30"/>
  <c r="V23" i="30" s="1"/>
  <c r="V24" i="30" s="1"/>
  <c r="Y16" i="30"/>
  <c r="Y17" i="30" s="1"/>
  <c r="Y18" i="30" s="1"/>
  <c r="V16" i="30"/>
  <c r="V15" i="30"/>
  <c r="V14" i="30"/>
  <c r="V13" i="30"/>
  <c r="V12" i="30"/>
  <c r="V11" i="30"/>
  <c r="Y10" i="30"/>
  <c r="Y11" i="30" s="1"/>
  <c r="Y12" i="30" s="1"/>
  <c r="V10" i="30"/>
  <c r="V9" i="30"/>
  <c r="V8" i="30"/>
  <c r="V7" i="30"/>
  <c r="V6" i="30"/>
  <c r="V5" i="30"/>
  <c r="Y4" i="30"/>
  <c r="V4" i="30"/>
  <c r="V35" i="30"/>
  <c r="V36" i="30" s="1"/>
  <c r="V17" i="30"/>
  <c r="V18" i="30" s="1"/>
  <c r="Y5" i="30"/>
  <c r="Y6" i="30" s="1"/>
  <c r="V34" i="29"/>
  <c r="V35" i="29" s="1"/>
  <c r="V36" i="29" s="1"/>
  <c r="Y28" i="29"/>
  <c r="Y29" i="29" s="1"/>
  <c r="Y30" i="29" s="1"/>
  <c r="V28" i="29"/>
  <c r="Y22" i="29"/>
  <c r="V22" i="29"/>
  <c r="Y16" i="29"/>
  <c r="V16" i="29"/>
  <c r="V17" i="29" s="1"/>
  <c r="V18" i="29" s="1"/>
  <c r="V15" i="29"/>
  <c r="V14" i="29"/>
  <c r="V13" i="29"/>
  <c r="V12" i="29"/>
  <c r="V11" i="29"/>
  <c r="Y10" i="29"/>
  <c r="Y11" i="29" s="1"/>
  <c r="Y12" i="29" s="1"/>
  <c r="V10" i="29"/>
  <c r="V9" i="29"/>
  <c r="V8" i="29"/>
  <c r="V7" i="29"/>
  <c r="V6" i="29"/>
  <c r="V5" i="29"/>
  <c r="Y4" i="29"/>
  <c r="V4" i="29"/>
  <c r="V29" i="29"/>
  <c r="V30" i="29" s="1"/>
  <c r="V23" i="29"/>
  <c r="V24" i="29" s="1"/>
  <c r="Y23" i="29"/>
  <c r="Y24" i="29" s="1"/>
  <c r="Y17" i="29"/>
  <c r="Y18" i="29" s="1"/>
  <c r="Y5" i="29"/>
  <c r="Y6" i="29" s="1"/>
  <c r="V34" i="28"/>
  <c r="Y28" i="28"/>
  <c r="Y29" i="28" s="1"/>
  <c r="V28" i="28"/>
  <c r="V29" i="28" s="1"/>
  <c r="V30" i="28" s="1"/>
  <c r="Y22" i="28"/>
  <c r="Y23" i="28" s="1"/>
  <c r="Y24" i="28" s="1"/>
  <c r="V22" i="28"/>
  <c r="V23" i="28" s="1"/>
  <c r="V24" i="28" s="1"/>
  <c r="Y16" i="28"/>
  <c r="Y17" i="28" s="1"/>
  <c r="Y18" i="28" s="1"/>
  <c r="V16" i="28"/>
  <c r="V15" i="28"/>
  <c r="V14" i="28"/>
  <c r="V13" i="28"/>
  <c r="V12" i="28"/>
  <c r="V11" i="28"/>
  <c r="Y10" i="28"/>
  <c r="Y11" i="28" s="1"/>
  <c r="Y12" i="28" s="1"/>
  <c r="V10" i="28"/>
  <c r="V9" i="28"/>
  <c r="V8" i="28"/>
  <c r="V7" i="28"/>
  <c r="V6" i="28"/>
  <c r="V5" i="28"/>
  <c r="Y4" i="28"/>
  <c r="Y5" i="28" s="1"/>
  <c r="Y6" i="28" s="1"/>
  <c r="V4" i="28"/>
  <c r="V35" i="28"/>
  <c r="V36" i="28" s="1"/>
  <c r="V17" i="28"/>
  <c r="V18" i="28" s="1"/>
  <c r="V34" i="27"/>
  <c r="V35" i="27" s="1"/>
  <c r="V36" i="27" s="1"/>
  <c r="Y28" i="27"/>
  <c r="Y34" i="27" s="1"/>
  <c r="Y35" i="27" s="1"/>
  <c r="V28" i="27"/>
  <c r="V29" i="27" s="1"/>
  <c r="V30" i="27" s="1"/>
  <c r="Y22" i="27"/>
  <c r="V22" i="27"/>
  <c r="V23" i="27" s="1"/>
  <c r="V24" i="27" s="1"/>
  <c r="Y16" i="27"/>
  <c r="Y17" i="27" s="1"/>
  <c r="Y18" i="27" s="1"/>
  <c r="V16" i="27"/>
  <c r="V15" i="27"/>
  <c r="V14" i="27"/>
  <c r="V13" i="27"/>
  <c r="V12" i="27"/>
  <c r="V11" i="27"/>
  <c r="Y10" i="27"/>
  <c r="V10" i="27"/>
  <c r="V9" i="27"/>
  <c r="V8" i="27"/>
  <c r="V7" i="27"/>
  <c r="V6" i="27"/>
  <c r="V5" i="27"/>
  <c r="Y4" i="27"/>
  <c r="Y5" i="27" s="1"/>
  <c r="Y6" i="27" s="1"/>
  <c r="V4" i="27"/>
  <c r="V17" i="27"/>
  <c r="V18" i="27" s="1"/>
  <c r="Y11" i="27"/>
  <c r="Y12" i="27" s="1"/>
  <c r="V34" i="19"/>
  <c r="V35" i="19" s="1"/>
  <c r="V36" i="19" s="1"/>
  <c r="Y28" i="19"/>
  <c r="Y34" i="19" s="1"/>
  <c r="Y35" i="19" s="1"/>
  <c r="Y36" i="19" s="1"/>
  <c r="V28" i="19"/>
  <c r="Y22" i="19"/>
  <c r="V22" i="19"/>
  <c r="Y16" i="19"/>
  <c r="Y17" i="19" s="1"/>
  <c r="Y18" i="19" s="1"/>
  <c r="V16" i="19"/>
  <c r="V17" i="19" s="1"/>
  <c r="V18" i="19" s="1"/>
  <c r="V15" i="19"/>
  <c r="V14" i="19"/>
  <c r="V13" i="19"/>
  <c r="V12" i="19"/>
  <c r="V11" i="19"/>
  <c r="Y10" i="19"/>
  <c r="V10" i="19"/>
  <c r="V9" i="19"/>
  <c r="V8" i="19"/>
  <c r="V7" i="19"/>
  <c r="V6" i="19"/>
  <c r="V5" i="19"/>
  <c r="Y4" i="19"/>
  <c r="Y5" i="19" s="1"/>
  <c r="Y6" i="19" s="1"/>
  <c r="V4" i="19"/>
  <c r="V29" i="19"/>
  <c r="V30" i="19" s="1"/>
  <c r="V23" i="19"/>
  <c r="V24" i="19" s="1"/>
  <c r="Y23" i="19"/>
  <c r="Y24" i="19" s="1"/>
  <c r="Y11" i="19"/>
  <c r="Y12" i="19" s="1"/>
  <c r="V34" i="1"/>
  <c r="V35" i="1" s="1"/>
  <c r="V36" i="1" s="1"/>
  <c r="Y28" i="1"/>
  <c r="V28" i="1"/>
  <c r="V29" i="1" s="1"/>
  <c r="V30" i="1" s="1"/>
  <c r="Y22" i="1"/>
  <c r="Y23" i="1" s="1"/>
  <c r="Y24" i="1" s="1"/>
  <c r="V22" i="1"/>
  <c r="V23" i="1" s="1"/>
  <c r="V24" i="1" s="1"/>
  <c r="Y16" i="1"/>
  <c r="Y17" i="1" s="1"/>
  <c r="Y18" i="1" s="1"/>
  <c r="V16" i="1"/>
  <c r="V17" i="1" s="1"/>
  <c r="V18" i="1" s="1"/>
  <c r="V15" i="1"/>
  <c r="V14" i="1"/>
  <c r="V13" i="1"/>
  <c r="V12" i="1"/>
  <c r="V11" i="1"/>
  <c r="Y10" i="1"/>
  <c r="Y11" i="1" s="1"/>
  <c r="Y12" i="1" s="1"/>
  <c r="V10" i="1"/>
  <c r="V9" i="1"/>
  <c r="V8" i="1"/>
  <c r="V7" i="1"/>
  <c r="V6" i="1"/>
  <c r="V5" i="1"/>
  <c r="Y4" i="1"/>
  <c r="Y5" i="1" s="1"/>
  <c r="Y6" i="1" s="1"/>
  <c r="V4" i="1"/>
  <c r="Y29" i="1"/>
  <c r="Y30" i="1" s="1"/>
  <c r="L39" i="32"/>
  <c r="L39" i="31"/>
  <c r="L39" i="30"/>
  <c r="P35" i="29"/>
  <c r="L39" i="29" s="1"/>
  <c r="L39" i="19"/>
  <c r="L39" i="1"/>
  <c r="Y34" i="32" l="1"/>
  <c r="Y35" i="32" s="1"/>
  <c r="Y36" i="32" s="1"/>
  <c r="Y23" i="31"/>
  <c r="Y24" i="31" s="1"/>
  <c r="Y34" i="30"/>
  <c r="Y35" i="30" s="1"/>
  <c r="Y36" i="30" s="1"/>
  <c r="Y34" i="29"/>
  <c r="Y35" i="29" s="1"/>
  <c r="Y36" i="29" s="1"/>
  <c r="Y34" i="28"/>
  <c r="Y35" i="28" s="1"/>
  <c r="Y29" i="27"/>
  <c r="Y23" i="27"/>
  <c r="Y24" i="27" s="1"/>
  <c r="Y29" i="19"/>
  <c r="Y30" i="19" s="1"/>
  <c r="Y34" i="1"/>
  <c r="Y35" i="1" s="1"/>
  <c r="Y36" i="1" s="1"/>
  <c r="V12" i="35" l="1"/>
  <c r="V11" i="35"/>
  <c r="V8" i="35"/>
  <c r="V5" i="35"/>
  <c r="V4" i="35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N20" i="36"/>
  <c r="V16" i="35" s="1"/>
  <c r="M20" i="36"/>
  <c r="V15" i="35" s="1"/>
  <c r="L20" i="36"/>
  <c r="V14" i="35" s="1"/>
  <c r="K20" i="36"/>
  <c r="V13" i="35" s="1"/>
  <c r="J20" i="36"/>
  <c r="I20" i="36"/>
  <c r="H20" i="36"/>
  <c r="V10" i="35" s="1"/>
  <c r="G20" i="36"/>
  <c r="V9" i="35" s="1"/>
  <c r="F20" i="36"/>
  <c r="E20" i="36"/>
  <c r="V7" i="35" s="1"/>
  <c r="D20" i="36"/>
  <c r="V6" i="35" s="1"/>
  <c r="C20" i="36"/>
  <c r="B20" i="36"/>
  <c r="N19" i="36"/>
  <c r="Y28" i="35" s="1"/>
  <c r="Y34" i="35" s="1"/>
  <c r="Y35" i="35" s="1"/>
  <c r="Y36" i="35" s="1"/>
  <c r="M19" i="36"/>
  <c r="L19" i="36"/>
  <c r="K19" i="36"/>
  <c r="J19" i="36"/>
  <c r="I19" i="36"/>
  <c r="H19" i="36"/>
  <c r="G19" i="36"/>
  <c r="F19" i="36"/>
  <c r="E19" i="36"/>
  <c r="D19" i="36"/>
  <c r="C19" i="36"/>
  <c r="B19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N16" i="36"/>
  <c r="Y22" i="35" s="1"/>
  <c r="M16" i="36"/>
  <c r="L16" i="36"/>
  <c r="K16" i="36"/>
  <c r="J16" i="36"/>
  <c r="I16" i="36"/>
  <c r="H16" i="36"/>
  <c r="G16" i="36"/>
  <c r="F16" i="36"/>
  <c r="E16" i="36"/>
  <c r="D16" i="36"/>
  <c r="C16" i="36"/>
  <c r="B16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B13" i="36"/>
  <c r="N12" i="36"/>
  <c r="Y10" i="35" s="1"/>
  <c r="Y11" i="35" s="1"/>
  <c r="Y12" i="35" s="1"/>
  <c r="M12" i="36"/>
  <c r="L12" i="36"/>
  <c r="K12" i="36"/>
  <c r="J12" i="36"/>
  <c r="I12" i="36"/>
  <c r="H12" i="36"/>
  <c r="G12" i="36"/>
  <c r="F12" i="36"/>
  <c r="E12" i="36"/>
  <c r="D12" i="36"/>
  <c r="C12" i="36"/>
  <c r="B12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N10" i="36"/>
  <c r="V22" i="35" s="1"/>
  <c r="V23" i="35" s="1"/>
  <c r="V24" i="35" s="1"/>
  <c r="M10" i="36"/>
  <c r="L10" i="36"/>
  <c r="K10" i="36"/>
  <c r="J10" i="36"/>
  <c r="I10" i="36"/>
  <c r="H10" i="36"/>
  <c r="G10" i="36"/>
  <c r="F10" i="36"/>
  <c r="E10" i="36"/>
  <c r="D10" i="36"/>
  <c r="C10" i="36"/>
  <c r="B10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N8" i="36"/>
  <c r="Y16" i="35" s="1"/>
  <c r="Y17" i="35" s="1"/>
  <c r="Y18" i="35" s="1"/>
  <c r="M8" i="36"/>
  <c r="L8" i="36"/>
  <c r="K8" i="36"/>
  <c r="J8" i="36"/>
  <c r="I8" i="36"/>
  <c r="H8" i="36"/>
  <c r="G8" i="36"/>
  <c r="F8" i="36"/>
  <c r="E8" i="36"/>
  <c r="D8" i="36"/>
  <c r="C8" i="36"/>
  <c r="B8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N4" i="36"/>
  <c r="M4" i="36"/>
  <c r="L4" i="36"/>
  <c r="K4" i="36"/>
  <c r="J4" i="36"/>
  <c r="I4" i="36"/>
  <c r="H4" i="36"/>
  <c r="G4" i="36"/>
  <c r="F4" i="36"/>
  <c r="E4" i="36"/>
  <c r="D4" i="36"/>
  <c r="C4" i="36"/>
  <c r="B4" i="36"/>
  <c r="N3" i="36"/>
  <c r="M3" i="36"/>
  <c r="L3" i="36"/>
  <c r="K3" i="36"/>
  <c r="J3" i="36"/>
  <c r="I3" i="36"/>
  <c r="H3" i="36"/>
  <c r="G3" i="36"/>
  <c r="F3" i="36"/>
  <c r="E3" i="36"/>
  <c r="D3" i="36"/>
  <c r="C3" i="36"/>
  <c r="B3" i="36"/>
  <c r="N2" i="36"/>
  <c r="Y4" i="35" s="1"/>
  <c r="Y5" i="35" s="1"/>
  <c r="Y6" i="35" s="1"/>
  <c r="M2" i="36"/>
  <c r="L2" i="36"/>
  <c r="K2" i="36"/>
  <c r="J2" i="36"/>
  <c r="I2" i="36"/>
  <c r="H2" i="36"/>
  <c r="G2" i="36"/>
  <c r="F2" i="36"/>
  <c r="E2" i="36"/>
  <c r="D2" i="36"/>
  <c r="C2" i="36"/>
  <c r="B2" i="36"/>
  <c r="R33" i="35"/>
  <c r="P33" i="35"/>
  <c r="O33" i="35"/>
  <c r="N33" i="35"/>
  <c r="L33" i="35"/>
  <c r="J33" i="35"/>
  <c r="H33" i="35"/>
  <c r="E33" i="35"/>
  <c r="C33" i="35"/>
  <c r="Y29" i="35"/>
  <c r="Y30" i="35" s="1"/>
  <c r="Y23" i="35"/>
  <c r="Y24" i="35" s="1"/>
  <c r="E33" i="32"/>
  <c r="R33" i="32"/>
  <c r="E33" i="31"/>
  <c r="E33" i="30"/>
  <c r="E33" i="29"/>
  <c r="E33" i="28"/>
  <c r="R33" i="31"/>
  <c r="R33" i="30"/>
  <c r="R33" i="29"/>
  <c r="R33" i="28"/>
  <c r="R33" i="27"/>
  <c r="E33" i="27"/>
  <c r="E33" i="19"/>
  <c r="R33" i="19"/>
  <c r="E33" i="1"/>
  <c r="R33" i="1"/>
  <c r="E92" i="56" l="1"/>
  <c r="F92" i="56" s="1"/>
  <c r="E93" i="56"/>
  <c r="F93" i="56" s="1"/>
  <c r="E94" i="56"/>
  <c r="F94" i="56" s="1"/>
  <c r="E95" i="56"/>
  <c r="F95" i="56" s="1"/>
  <c r="E96" i="56"/>
  <c r="F96" i="56" s="1"/>
  <c r="D92" i="56"/>
  <c r="D93" i="56"/>
  <c r="D94" i="56"/>
  <c r="D95" i="56"/>
  <c r="D96" i="56"/>
  <c r="E110" i="56"/>
  <c r="F110" i="56" s="1"/>
  <c r="E108" i="56"/>
  <c r="D110" i="56"/>
  <c r="D108" i="56"/>
  <c r="D109" i="56"/>
  <c r="E111" i="56"/>
  <c r="F111" i="56" s="1"/>
  <c r="D111" i="56"/>
  <c r="E109" i="56"/>
  <c r="F109" i="56" s="1"/>
  <c r="E90" i="56"/>
  <c r="F90" i="56" s="1"/>
  <c r="D91" i="56"/>
  <c r="D90" i="56"/>
  <c r="E91" i="56"/>
  <c r="F91" i="56" s="1"/>
  <c r="E89" i="56"/>
  <c r="F89" i="56" s="1"/>
  <c r="E87" i="56"/>
  <c r="F87" i="56" s="1"/>
  <c r="E85" i="56"/>
  <c r="F85" i="56" s="1"/>
  <c r="E83" i="56"/>
  <c r="F83" i="56" s="1"/>
  <c r="E81" i="56"/>
  <c r="F81" i="56" s="1"/>
  <c r="E79" i="56"/>
  <c r="F79" i="56" s="1"/>
  <c r="E77" i="56"/>
  <c r="F77" i="56" s="1"/>
  <c r="E75" i="56"/>
  <c r="F75" i="56" s="1"/>
  <c r="E73" i="56"/>
  <c r="F73" i="56" s="1"/>
  <c r="D75" i="56"/>
  <c r="D73" i="56"/>
  <c r="E76" i="56"/>
  <c r="F76" i="56" s="1"/>
  <c r="E74" i="56"/>
  <c r="F74" i="56" s="1"/>
  <c r="D76" i="56"/>
  <c r="D74" i="56"/>
  <c r="D89" i="56"/>
  <c r="D87" i="56"/>
  <c r="D85" i="56"/>
  <c r="D83" i="56"/>
  <c r="D81" i="56"/>
  <c r="D79" i="56"/>
  <c r="D77" i="56"/>
  <c r="E88" i="56"/>
  <c r="F88" i="56" s="1"/>
  <c r="E86" i="56"/>
  <c r="F86" i="56" s="1"/>
  <c r="E84" i="56"/>
  <c r="F84" i="56" s="1"/>
  <c r="E82" i="56"/>
  <c r="F82" i="56" s="1"/>
  <c r="E80" i="56"/>
  <c r="F80" i="56" s="1"/>
  <c r="E78" i="56"/>
  <c r="F78" i="56" s="1"/>
  <c r="D88" i="56"/>
  <c r="D86" i="56"/>
  <c r="D84" i="56"/>
  <c r="D82" i="56"/>
  <c r="D80" i="56"/>
  <c r="D78" i="56"/>
  <c r="E54" i="56"/>
  <c r="F54" i="56" s="1"/>
  <c r="D54" i="56"/>
  <c r="E12" i="56"/>
  <c r="F12" i="56" s="1"/>
  <c r="D12" i="56"/>
  <c r="D104" i="56"/>
  <c r="E102" i="56"/>
  <c r="F102" i="56" s="1"/>
  <c r="E100" i="56"/>
  <c r="E72" i="56"/>
  <c r="F72" i="56" s="1"/>
  <c r="E70" i="56"/>
  <c r="F70" i="56" s="1"/>
  <c r="E68" i="56"/>
  <c r="F68" i="56" s="1"/>
  <c r="E66" i="56"/>
  <c r="F66" i="56" s="1"/>
  <c r="E64" i="56"/>
  <c r="F64" i="56" s="1"/>
  <c r="E62" i="56"/>
  <c r="F62" i="56" s="1"/>
  <c r="E60" i="56"/>
  <c r="F60" i="56" s="1"/>
  <c r="E58" i="56"/>
  <c r="E46" i="56"/>
  <c r="F46" i="56" s="1"/>
  <c r="E44" i="56"/>
  <c r="F44" i="56" s="1"/>
  <c r="E42" i="56"/>
  <c r="F42" i="56" s="1"/>
  <c r="E16" i="56"/>
  <c r="E69" i="56"/>
  <c r="F69" i="56" s="1"/>
  <c r="D67" i="56"/>
  <c r="D60" i="56"/>
  <c r="D51" i="56"/>
  <c r="D47" i="56"/>
  <c r="D45" i="56"/>
  <c r="D36" i="56"/>
  <c r="D34" i="56"/>
  <c r="D32" i="56"/>
  <c r="D30" i="56"/>
  <c r="D28" i="56"/>
  <c r="D26" i="56"/>
  <c r="D24" i="56"/>
  <c r="D22" i="56"/>
  <c r="E17" i="56"/>
  <c r="F17" i="56" s="1"/>
  <c r="D58" i="56"/>
  <c r="E71" i="56"/>
  <c r="F71" i="56" s="1"/>
  <c r="D69" i="56"/>
  <c r="D62" i="56"/>
  <c r="D17" i="56"/>
  <c r="E10" i="56"/>
  <c r="D59" i="56"/>
  <c r="D46" i="56"/>
  <c r="D27" i="56"/>
  <c r="D25" i="56"/>
  <c r="E104" i="56"/>
  <c r="F104" i="56" s="1"/>
  <c r="D37" i="56"/>
  <c r="E28" i="56"/>
  <c r="F28" i="56" s="1"/>
  <c r="E26" i="56"/>
  <c r="F26" i="56" s="1"/>
  <c r="E101" i="56"/>
  <c r="F101" i="56" s="1"/>
  <c r="D71" i="56"/>
  <c r="D64" i="56"/>
  <c r="D42" i="56"/>
  <c r="D10" i="56"/>
  <c r="E61" i="56"/>
  <c r="F61" i="56" s="1"/>
  <c r="D23" i="56"/>
  <c r="E67" i="56"/>
  <c r="F67" i="56" s="1"/>
  <c r="E34" i="56"/>
  <c r="F34" i="56" s="1"/>
  <c r="E103" i="56"/>
  <c r="F103" i="56" s="1"/>
  <c r="D101" i="56"/>
  <c r="D66" i="56"/>
  <c r="E59" i="56"/>
  <c r="F59" i="56" s="1"/>
  <c r="E52" i="56"/>
  <c r="F52" i="56" s="1"/>
  <c r="D44" i="56"/>
  <c r="E35" i="56"/>
  <c r="F35" i="56" s="1"/>
  <c r="E33" i="56"/>
  <c r="F33" i="56" s="1"/>
  <c r="E31" i="56"/>
  <c r="F31" i="56" s="1"/>
  <c r="E29" i="56"/>
  <c r="F29" i="56" s="1"/>
  <c r="E27" i="56"/>
  <c r="F27" i="56" s="1"/>
  <c r="E25" i="56"/>
  <c r="F25" i="56" s="1"/>
  <c r="E23" i="56"/>
  <c r="F23" i="56" s="1"/>
  <c r="E21" i="56"/>
  <c r="D103" i="56"/>
  <c r="D68" i="56"/>
  <c r="D35" i="56"/>
  <c r="D33" i="56"/>
  <c r="E11" i="56"/>
  <c r="F11" i="56" s="1"/>
  <c r="D102" i="56"/>
  <c r="D53" i="56"/>
  <c r="D52" i="56"/>
  <c r="D31" i="56"/>
  <c r="D29" i="56"/>
  <c r="D21" i="56"/>
  <c r="E51" i="56"/>
  <c r="D43" i="56"/>
  <c r="E36" i="56"/>
  <c r="F36" i="56" s="1"/>
  <c r="D70" i="56"/>
  <c r="E63" i="56"/>
  <c r="F63" i="56" s="1"/>
  <c r="D61" i="56"/>
  <c r="E41" i="56"/>
  <c r="D16" i="56"/>
  <c r="D11" i="56"/>
  <c r="D65" i="56"/>
  <c r="E47" i="56"/>
  <c r="F47" i="56" s="1"/>
  <c r="E30" i="56"/>
  <c r="F30" i="56" s="1"/>
  <c r="E22" i="56"/>
  <c r="F22" i="56" s="1"/>
  <c r="D100" i="56"/>
  <c r="D72" i="56"/>
  <c r="E65" i="56"/>
  <c r="F65" i="56" s="1"/>
  <c r="D63" i="56"/>
  <c r="E53" i="56"/>
  <c r="F53" i="56" s="1"/>
  <c r="E43" i="56"/>
  <c r="F43" i="56" s="1"/>
  <c r="D41" i="56"/>
  <c r="E37" i="56"/>
  <c r="F37" i="56" s="1"/>
  <c r="E45" i="56"/>
  <c r="F45" i="56" s="1"/>
  <c r="E32" i="56"/>
  <c r="F32" i="56" s="1"/>
  <c r="E24" i="56"/>
  <c r="F24" i="56" s="1"/>
  <c r="J39" i="35"/>
  <c r="V17" i="35"/>
  <c r="V18" i="35" s="1"/>
  <c r="C6" i="35"/>
  <c r="C9" i="35" s="1"/>
  <c r="V34" i="35"/>
  <c r="V35" i="35" s="1"/>
  <c r="V36" i="35" s="1"/>
  <c r="V28" i="35"/>
  <c r="V29" i="35" s="1"/>
  <c r="V30" i="35" s="1"/>
  <c r="F108" i="56" l="1"/>
  <c r="E112" i="56"/>
  <c r="F112" i="56" s="1"/>
  <c r="E105" i="56"/>
  <c r="F105" i="56" s="1"/>
  <c r="F100" i="56"/>
  <c r="E55" i="56"/>
  <c r="F55" i="56" s="1"/>
  <c r="F51" i="56"/>
  <c r="F10" i="56"/>
  <c r="E13" i="56"/>
  <c r="F13" i="56" s="1"/>
  <c r="E97" i="56"/>
  <c r="F97" i="56" s="1"/>
  <c r="F58" i="56"/>
  <c r="E48" i="56"/>
  <c r="F48" i="56" s="1"/>
  <c r="F41" i="56"/>
  <c r="F21" i="56"/>
  <c r="E38" i="56"/>
  <c r="F38" i="56" s="1"/>
  <c r="E18" i="56"/>
  <c r="F18" i="56" s="1"/>
  <c r="F16" i="56"/>
  <c r="N39" i="35"/>
  <c r="P33" i="32"/>
  <c r="O33" i="32"/>
  <c r="N33" i="32"/>
  <c r="P33" i="31"/>
  <c r="O33" i="31"/>
  <c r="N33" i="31"/>
  <c r="P33" i="30"/>
  <c r="O33" i="30"/>
  <c r="N33" i="30"/>
  <c r="P33" i="29"/>
  <c r="O33" i="29"/>
  <c r="N33" i="29"/>
  <c r="P33" i="28"/>
  <c r="O33" i="28"/>
  <c r="N33" i="28"/>
  <c r="P35" i="28" s="1"/>
  <c r="P33" i="27"/>
  <c r="P35" i="27" s="1"/>
  <c r="O33" i="27"/>
  <c r="N33" i="27"/>
  <c r="P33" i="19"/>
  <c r="O33" i="19"/>
  <c r="N33" i="19"/>
  <c r="C6" i="56" l="1"/>
  <c r="Y36" i="27"/>
  <c r="L39" i="27"/>
  <c r="Y30" i="27"/>
  <c r="L39" i="28"/>
  <c r="L41" i="35" s="1"/>
  <c r="Y30" i="28"/>
  <c r="Y36" i="28"/>
  <c r="P33" i="1"/>
  <c r="O33" i="1"/>
  <c r="D6" i="56" l="1"/>
  <c r="F6" i="56" s="1"/>
  <c r="L33" i="32"/>
  <c r="J33" i="32"/>
  <c r="H33" i="32"/>
  <c r="C33" i="32"/>
  <c r="J39" i="32" s="1"/>
  <c r="L33" i="31"/>
  <c r="J33" i="31"/>
  <c r="H33" i="31"/>
  <c r="C33" i="31"/>
  <c r="J39" i="31" s="1"/>
  <c r="C6" i="31"/>
  <c r="C9" i="31" s="1"/>
  <c r="E9" i="31" s="1"/>
  <c r="L33" i="30"/>
  <c r="J33" i="30"/>
  <c r="H33" i="30"/>
  <c r="C33" i="30"/>
  <c r="J39" i="30" s="1"/>
  <c r="C6" i="29"/>
  <c r="C9" i="29" s="1"/>
  <c r="E9" i="29" s="1"/>
  <c r="L33" i="29"/>
  <c r="J33" i="29"/>
  <c r="H33" i="29"/>
  <c r="C33" i="29"/>
  <c r="J39" i="29" s="1"/>
  <c r="C6" i="28"/>
  <c r="C9" i="28" s="1"/>
  <c r="E9" i="28" s="1"/>
  <c r="L33" i="28"/>
  <c r="J33" i="28"/>
  <c r="H33" i="28"/>
  <c r="C33" i="28"/>
  <c r="J39" i="28" s="1"/>
  <c r="L33" i="27"/>
  <c r="J33" i="27"/>
  <c r="H33" i="27"/>
  <c r="C33" i="27"/>
  <c r="J39" i="27" s="1"/>
  <c r="C6" i="19"/>
  <c r="C9" i="19" s="1"/>
  <c r="E9" i="19" s="1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L33" i="19"/>
  <c r="J33" i="19"/>
  <c r="H33" i="19"/>
  <c r="C33" i="19"/>
  <c r="J39" i="19" s="1"/>
  <c r="C6" i="32" l="1"/>
  <c r="C9" i="32" s="1"/>
  <c r="E9" i="32" s="1"/>
  <c r="N39" i="32" s="1"/>
  <c r="N39" i="29"/>
  <c r="N39" i="28"/>
  <c r="C6" i="27"/>
  <c r="C9" i="27" s="1"/>
  <c r="E9" i="27" s="1"/>
  <c r="N39" i="27" s="1"/>
  <c r="N39" i="31"/>
  <c r="N39" i="19"/>
  <c r="C6" i="30"/>
  <c r="C9" i="30" s="1"/>
  <c r="E9" i="30" s="1"/>
  <c r="N33" i="1"/>
  <c r="H33" i="1"/>
  <c r="N39" i="30" l="1"/>
  <c r="N21" i="9" l="1"/>
  <c r="M21" i="9"/>
  <c r="L21" i="9"/>
  <c r="K21" i="9"/>
  <c r="J21" i="9"/>
  <c r="I21" i="9"/>
  <c r="H21" i="9"/>
  <c r="G21" i="9"/>
  <c r="F21" i="9"/>
  <c r="E21" i="9"/>
  <c r="D21" i="9"/>
  <c r="C21" i="9"/>
  <c r="B21" i="9"/>
  <c r="L33" i="1"/>
  <c r="J33" i="1"/>
  <c r="C33" i="1"/>
  <c r="J39" i="1" s="1"/>
  <c r="C6" i="1" l="1"/>
  <c r="C9" i="1" s="1"/>
  <c r="E9" i="1" s="1"/>
  <c r="N39" i="1" l="1"/>
</calcChain>
</file>

<file path=xl/sharedStrings.xml><?xml version="1.0" encoding="utf-8"?>
<sst xmlns="http://schemas.openxmlformats.org/spreadsheetml/2006/main" count="6818" uniqueCount="1661">
  <si>
    <t>Orçado</t>
  </si>
  <si>
    <t>Ativos</t>
  </si>
  <si>
    <t>Demitidos</t>
  </si>
  <si>
    <t>DONO:  ANALISTA</t>
  </si>
  <si>
    <t>DONO:  SUPERVISOR</t>
  </si>
  <si>
    <t>DONO:  GERENTE</t>
  </si>
  <si>
    <t>DONO:  RH</t>
  </si>
  <si>
    <t>Titulo</t>
  </si>
  <si>
    <t>GERENTE</t>
  </si>
  <si>
    <t>Status</t>
  </si>
  <si>
    <t>Nomes</t>
  </si>
  <si>
    <t>Horário Sistema</t>
  </si>
  <si>
    <t>Autorizado</t>
  </si>
  <si>
    <t>Ativos      ---&gt;</t>
  </si>
  <si>
    <t>SUBGERENTE</t>
  </si>
  <si>
    <t>ENTREGADOR</t>
  </si>
  <si>
    <t>LIMPEZA</t>
  </si>
  <si>
    <t>E-COMMERCE</t>
  </si>
  <si>
    <t>AÇOUGUEIRO</t>
  </si>
  <si>
    <t>COZINHEIRO</t>
  </si>
  <si>
    <t>CONTROLADORIA</t>
  </si>
  <si>
    <t>PREVENÇÃO</t>
  </si>
  <si>
    <t>APRENDIZ</t>
  </si>
  <si>
    <t>Loja 01</t>
  </si>
  <si>
    <t>Açougue</t>
  </si>
  <si>
    <t>Janeiro</t>
  </si>
  <si>
    <t>Venda Ano 2025</t>
  </si>
  <si>
    <t>Venda 2025</t>
  </si>
  <si>
    <t xml:space="preserve">Venda R$ Funcionarios </t>
  </si>
  <si>
    <t>Gerente</t>
  </si>
  <si>
    <t xml:space="preserve">Abertura da loja </t>
  </si>
  <si>
    <t>Fevereiro</t>
  </si>
  <si>
    <t>Media mês</t>
  </si>
  <si>
    <t>Março</t>
  </si>
  <si>
    <t>Venda Por QL</t>
  </si>
  <si>
    <t>Abril</t>
  </si>
  <si>
    <t xml:space="preserve">Meta </t>
  </si>
  <si>
    <t xml:space="preserve">Media 12 mêses </t>
  </si>
  <si>
    <t>Proposta Quant</t>
  </si>
  <si>
    <t>Seg a Sab</t>
  </si>
  <si>
    <t>Domingos</t>
  </si>
  <si>
    <t>Maio</t>
  </si>
  <si>
    <t>Subgerente</t>
  </si>
  <si>
    <t>08:00 as 21:00</t>
  </si>
  <si>
    <t>08:00 as 20:00</t>
  </si>
  <si>
    <t>Junho</t>
  </si>
  <si>
    <t>Hortifrut</t>
  </si>
  <si>
    <t>Julho</t>
  </si>
  <si>
    <t>Agosto</t>
  </si>
  <si>
    <t>Setembro</t>
  </si>
  <si>
    <t>FRENTE CAIXA</t>
  </si>
  <si>
    <t>LOJA</t>
  </si>
  <si>
    <t>AÇOUGUE</t>
  </si>
  <si>
    <t>HORTFRUTI</t>
  </si>
  <si>
    <t>FRIOS</t>
  </si>
  <si>
    <t>PADARIA</t>
  </si>
  <si>
    <t>CONFEITARIA</t>
  </si>
  <si>
    <t>ROTISSERIA</t>
  </si>
  <si>
    <t>Depósito</t>
  </si>
  <si>
    <t>Outubro</t>
  </si>
  <si>
    <t>Encarregado</t>
  </si>
  <si>
    <t>Novembro</t>
  </si>
  <si>
    <t>Dezenbro</t>
  </si>
  <si>
    <t>Confeitaria</t>
  </si>
  <si>
    <t>Total</t>
  </si>
  <si>
    <t>Fiscal de Caixa</t>
  </si>
  <si>
    <t>Repositor</t>
  </si>
  <si>
    <t>Limpeza</t>
  </si>
  <si>
    <t>Desossador</t>
  </si>
  <si>
    <t>Atendente</t>
  </si>
  <si>
    <t>Confeiteira</t>
  </si>
  <si>
    <t>Cozinheiro</t>
  </si>
  <si>
    <t>Conferente</t>
  </si>
  <si>
    <t>Media 12 meses</t>
  </si>
  <si>
    <t>Media por QL</t>
  </si>
  <si>
    <t>Operador Caixa</t>
  </si>
  <si>
    <t>Cartazista</t>
  </si>
  <si>
    <t>Estacionamento</t>
  </si>
  <si>
    <t>Açogueiro</t>
  </si>
  <si>
    <t>Rep Cortes</t>
  </si>
  <si>
    <t>Padeiro</t>
  </si>
  <si>
    <t>Auxiliar</t>
  </si>
  <si>
    <t>Frios / Congelados / Laticinios / Peix</t>
  </si>
  <si>
    <t>Padaria</t>
  </si>
  <si>
    <t>Empacotador</t>
  </si>
  <si>
    <t>Entregador</t>
  </si>
  <si>
    <t>Balconista</t>
  </si>
  <si>
    <t>Controladoria</t>
  </si>
  <si>
    <t>Aprendiz</t>
  </si>
  <si>
    <t>E-Commerce</t>
  </si>
  <si>
    <t>Prevenção</t>
  </si>
  <si>
    <t>Loja Total</t>
  </si>
  <si>
    <t>Rotisseria</t>
  </si>
  <si>
    <t>Gestão Pessoas</t>
  </si>
  <si>
    <t>Cor. Bancário</t>
  </si>
  <si>
    <t>Orçado Acima</t>
  </si>
  <si>
    <t>Frente Caixa</t>
  </si>
  <si>
    <t xml:space="preserve">Prod Alimentos </t>
  </si>
  <si>
    <t>Real Fev/26</t>
  </si>
  <si>
    <t>Real</t>
  </si>
  <si>
    <t>Diferença</t>
  </si>
  <si>
    <t>Loja 02</t>
  </si>
  <si>
    <t>Loja 03</t>
  </si>
  <si>
    <t>Forneiro</t>
  </si>
  <si>
    <t>Loja 04</t>
  </si>
  <si>
    <t>Loja 05</t>
  </si>
  <si>
    <t>Loja 06</t>
  </si>
  <si>
    <t>Loja 07</t>
  </si>
  <si>
    <t>Loja 08</t>
  </si>
  <si>
    <t>Lojas TT</t>
  </si>
  <si>
    <t>REAL</t>
  </si>
  <si>
    <t>*</t>
  </si>
  <si>
    <t>Apenas Ativos e Férias</t>
  </si>
  <si>
    <t>1.30_DEPOSITO_GERENTE</t>
  </si>
  <si>
    <t>2.30_DEPOSITO_GERENTE</t>
  </si>
  <si>
    <t>3.30_DEPOSITO_GERENTE</t>
  </si>
  <si>
    <t>ENCARREGADO</t>
  </si>
  <si>
    <t>1.30_DEPOSITO_ENCARREGADO</t>
  </si>
  <si>
    <t>2.30_DEPOSITO_ENCARREGADO</t>
  </si>
  <si>
    <t>CONFERENTE</t>
  </si>
  <si>
    <t>1.30_DEPOSITO_CONFERENTE</t>
  </si>
  <si>
    <t>2.30_DEPOSITO_CONFERENTE</t>
  </si>
  <si>
    <t>3.30_DEPOSITO_CONFERENTE</t>
  </si>
  <si>
    <t>4.30_DEPOSITO_CONFERENTE</t>
  </si>
  <si>
    <t>5.30_DEPOSITO_CONFERENTE</t>
  </si>
  <si>
    <t>6.30_DEPOSITO_CONFERENTE</t>
  </si>
  <si>
    <t>7.30_DEPOSITO_CONFERENTE</t>
  </si>
  <si>
    <t>8.30_DEPOSITO_CONFERENTE</t>
  </si>
  <si>
    <t>9.30_DEPOSITO_CONFERENTE</t>
  </si>
  <si>
    <t>10.30_DEPOSITO_CONFERENTE</t>
  </si>
  <si>
    <t>11.30_DEPOSITO_CONFERENTE</t>
  </si>
  <si>
    <t>12.30_DEPOSITO_CONFERENTE</t>
  </si>
  <si>
    <t>13.30_DEPOSITO_CONFERENTE</t>
  </si>
  <si>
    <t>14.30_DEPOSITO_CONFERENTE</t>
  </si>
  <si>
    <t>15.30_DEPOSITO_CONFERENTE</t>
  </si>
  <si>
    <t>16.30_DEPOSITO_CONFERENTE</t>
  </si>
  <si>
    <t>32.30_DEPOSITO_CONFERENTE</t>
  </si>
  <si>
    <t>EMPILHADEIRA</t>
  </si>
  <si>
    <t>1.30_DEPOSITO_EMPILHADEIRA</t>
  </si>
  <si>
    <t>2.30_DEPOSITO_EMPILHADEIRA</t>
  </si>
  <si>
    <t>3.30_DEPOSITO_EMPILHADEIRA</t>
  </si>
  <si>
    <t>4.30_DEPOSITO_EMPILHADEIRA</t>
  </si>
  <si>
    <t>5.30_DEPOSITO_EMPILHADEIRA</t>
  </si>
  <si>
    <t>6.30_DEPOSITO_EMPILHADEIRA</t>
  </si>
  <si>
    <t>7.30_DEPOSITO_EMPILHADEIRA</t>
  </si>
  <si>
    <t>TROCAS</t>
  </si>
  <si>
    <t>1.30_DEPOSITO_TROCAS</t>
  </si>
  <si>
    <t>2.30_DEPOSITO_TROCAS</t>
  </si>
  <si>
    <t>3.30_DEPOSITO_TROCAS</t>
  </si>
  <si>
    <t>4.30_DEPOSITO_TROCAS</t>
  </si>
  <si>
    <t>AUXILIAR</t>
  </si>
  <si>
    <t>1.30_DEPOSITO_AUXILIAR</t>
  </si>
  <si>
    <t>2.30_DEPOSITO_AUXILIAR</t>
  </si>
  <si>
    <t>3.30_DEPOSITO_AUXILIAR</t>
  </si>
  <si>
    <t>4.30_DEPOSITO_AUXILIAR</t>
  </si>
  <si>
    <t>5.30_DEPOSITO_AUXILIAR</t>
  </si>
  <si>
    <t>6.30_DEPOSITO_AUXILIAR</t>
  </si>
  <si>
    <t>7.30_DEPOSITO_AUXILIAR</t>
  </si>
  <si>
    <t>8.30_DEPOSITO_AUXILIAR</t>
  </si>
  <si>
    <t>9.30_DEPOSITO_AUXILIAR</t>
  </si>
  <si>
    <t>10.30_DEPOSITO_AUXILIAR</t>
  </si>
  <si>
    <t>11.30_DEPOSITO_AUXILIAR</t>
  </si>
  <si>
    <t>12.30_DEPOSITO_AUXILIAR</t>
  </si>
  <si>
    <t>13.30_DEPOSITO_AUXILIAR</t>
  </si>
  <si>
    <t>14.30_DEPOSITO_AUXILIAR</t>
  </si>
  <si>
    <t>15.30_DEPOSITO_AUXILIAR</t>
  </si>
  <si>
    <t>16.30_DEPOSITO_AUXILIAR</t>
  </si>
  <si>
    <t>17.30_DEPOSITO_AUXILIAR</t>
  </si>
  <si>
    <t>18.30_DEPOSITO_AUXILIAR</t>
  </si>
  <si>
    <t>19.30_DEPOSITO_AUXILIAR</t>
  </si>
  <si>
    <t>20.30_DEPOSITO_AUXILIAR</t>
  </si>
  <si>
    <t>21.30_DEPOSITO_AUXILIAR</t>
  </si>
  <si>
    <t>22.30_DEPOSITO_AUXILIAR</t>
  </si>
  <si>
    <t>23.30_DEPOSITO_AUXILIAR</t>
  </si>
  <si>
    <t>24.30_DEPOSITO_AUXILIAR</t>
  </si>
  <si>
    <t>25.30_DEPOSITO_AUXILIAR</t>
  </si>
  <si>
    <t>26.30_DEPOSITO_AUXILIAR</t>
  </si>
  <si>
    <t>27.30_DEPOSITO_AUXILIAR</t>
  </si>
  <si>
    <t>28.30_DEPOSITO_AUXILIAR</t>
  </si>
  <si>
    <t>29.30_DEPOSITO_AUXILIAR</t>
  </si>
  <si>
    <t>30.30_DEPOSITO_AUXILIAR</t>
  </si>
  <si>
    <t>31.30_DEPOSITO_AUXILIAR</t>
  </si>
  <si>
    <t>32.30_DEPOSITO_AUXILIAR</t>
  </si>
  <si>
    <t>33.30_DEPOSITO_AUXILIAR</t>
  </si>
  <si>
    <t>34.30_DEPOSITO_AUXILIAR</t>
  </si>
  <si>
    <t>35.30_DEPOSITO_AUXILIAR</t>
  </si>
  <si>
    <t>36.30_DEPOSITO_AUXILIAR</t>
  </si>
  <si>
    <t>37.30_DEPOSITO_AUXILIAR</t>
  </si>
  <si>
    <t>38.30_DEPOSITO_AUXILIAR</t>
  </si>
  <si>
    <t>39.30_DEPOSITO_AUXILIAR</t>
  </si>
  <si>
    <t>1.30_ENTREGA_ENTREGADOR</t>
  </si>
  <si>
    <t>2.30_ENTREGA_ENTREGADOR</t>
  </si>
  <si>
    <t>3.30_ENTREGA_ENTREGADOR</t>
  </si>
  <si>
    <t>4.30_ENTREGA_ENTREGADOR</t>
  </si>
  <si>
    <t>5.30_ENTREGA_ENTREGADOR</t>
  </si>
  <si>
    <t>CAMARA FRIA</t>
  </si>
  <si>
    <t>1.30_DEPOSITO_CAMARA FRIA</t>
  </si>
  <si>
    <t>2.30_DEPOSITO_CAMARA FRIA</t>
  </si>
  <si>
    <t>3.30_DEPOSITO_CAMARA FRIA</t>
  </si>
  <si>
    <t>4.30_DEPOSITO_CAMARA FRIA</t>
  </si>
  <si>
    <t>Loja 30</t>
  </si>
  <si>
    <t>Loja</t>
  </si>
  <si>
    <t>Dept</t>
  </si>
  <si>
    <t>Função</t>
  </si>
  <si>
    <t>Situação</t>
  </si>
  <si>
    <t>Filial</t>
  </si>
  <si>
    <t>Cadastro</t>
  </si>
  <si>
    <t>Nome</t>
  </si>
  <si>
    <t>Escala</t>
  </si>
  <si>
    <t>Descrição (Escala)</t>
  </si>
  <si>
    <t>Data Afastamento</t>
  </si>
  <si>
    <t>Nascimento</t>
  </si>
  <si>
    <t>Admissão</t>
  </si>
  <si>
    <t>CPF</t>
  </si>
  <si>
    <t>Gestão do Ponto Lite</t>
  </si>
  <si>
    <t>Descrição (Gestão do Ponto Lite)</t>
  </si>
  <si>
    <t>Cód. Operação</t>
  </si>
  <si>
    <t>Código Local</t>
  </si>
  <si>
    <t>Descrição do Local</t>
  </si>
  <si>
    <t>Posição do Local</t>
  </si>
  <si>
    <t>SG-SB 12:00-15:00 17:00-21:20</t>
  </si>
  <si>
    <t>ACOUGUEIRO (A) - PEREC E FIAMB - LOJA 1</t>
  </si>
  <si>
    <t>SG-SB 07:00-12:00 14:00-16:20</t>
  </si>
  <si>
    <t>ACOUGUEIRO (A) - ACOUGUE</t>
  </si>
  <si>
    <t>DOUGLAS DA SILVA FERREIRA</t>
  </si>
  <si>
    <t>SG-SB 07:50-11:30 13:30-17:10</t>
  </si>
  <si>
    <t>MARIANA DIAS BERGAMIN GONCALVES</t>
  </si>
  <si>
    <t>SONIA ALVES BARRETO BARBALARGA</t>
  </si>
  <si>
    <t>ACOUGUEIRO (A) DESOSSADOR - PEREC E FIAMB - LOJA 1</t>
  </si>
  <si>
    <t>JOSE ANTONIO DE ALMEIDA</t>
  </si>
  <si>
    <t>ACOUGUEIRO (A) DESOSSADOR - ACOUGUE</t>
  </si>
  <si>
    <t>JUNIOR SALES RIBEIRO</t>
  </si>
  <si>
    <t>LEIVANIA WAKID</t>
  </si>
  <si>
    <t>SG-SB 09:50-13:00 14:50-19:00</t>
  </si>
  <si>
    <t>MAURO BENTO</t>
  </si>
  <si>
    <t>DANIEL BATISTA DE SOUZA</t>
  </si>
  <si>
    <t>SG-SB 06:00-10:00 11:10-14:30</t>
  </si>
  <si>
    <t>GERENTE DE PERECIVEIS E FIAMBRERIA - LOJA 1</t>
  </si>
  <si>
    <t>GABRIELLY ARISLIAN SOARES DA SILVA</t>
  </si>
  <si>
    <t>SG-SX 08:00-13:00 14:12-18:00</t>
  </si>
  <si>
    <t>GESTAO DE PESSOAS/ RECURSOS HUMANOS</t>
  </si>
  <si>
    <t>NATALY KAROLINE DO NASCIMENTE DUARTE</t>
  </si>
  <si>
    <t>CONFEITEIRO - PROD DE ALM - LOJA 1</t>
  </si>
  <si>
    <t>FERNANDA DE MELO MENDES</t>
  </si>
  <si>
    <t>SG-SB 06:00-11:00 12:15-14:35</t>
  </si>
  <si>
    <t>CONFEITEIRO (A) - CONFEITARIA</t>
  </si>
  <si>
    <t>THIAGO BRITO DOS SANTOS</t>
  </si>
  <si>
    <t>SG-SB 07:30-12:00 14:00-16:50</t>
  </si>
  <si>
    <t>AUXILIAR DE DEPOSITO - DEPOSITO</t>
  </si>
  <si>
    <t>ESTOQUISTA - DEPOSITO - LOJA 1</t>
  </si>
  <si>
    <t>CARLOS AUGUSTO DOS SANTOS SILVA</t>
  </si>
  <si>
    <t>CONFERENTE - DEPOSITO</t>
  </si>
  <si>
    <t>MIKELLY ALANA COLABIANK DOS SANTOS</t>
  </si>
  <si>
    <t>PEDRO WALMORE DE ARAUJO</t>
  </si>
  <si>
    <t>GEOVANA CEZARO MUSSATO</t>
  </si>
  <si>
    <t>SG-SX 08:00-12:00 13:12-18:00</t>
  </si>
  <si>
    <t>CONTROLADOR DE ESTOQUE - DEPOSITO</t>
  </si>
  <si>
    <t>SIRLENE DOS SANTOS SALES</t>
  </si>
  <si>
    <t>SG-SB 06:30-11:00 13:00-15:50</t>
  </si>
  <si>
    <t>TIAGO WILLIAN VIEIRA</t>
  </si>
  <si>
    <t>ENCARREGADO (A) DE DEPOSITO - DEPOSITO</t>
  </si>
  <si>
    <t>DENIVALDO SANTANA CORDEIRO</t>
  </si>
  <si>
    <t>SG-SB 09:30-13:00 15:00-18:50</t>
  </si>
  <si>
    <t>MOTORISTA TRUCK - LOGISTICA</t>
  </si>
  <si>
    <t>ANDREIA FERREIRA PEREIRA</t>
  </si>
  <si>
    <t>SG-SB 07:30-13:00 15:00-16:50</t>
  </si>
  <si>
    <t>AUXILIAR GERAL - FRENTE DE CAIXA</t>
  </si>
  <si>
    <t>ANTONIO LUIZ MARION</t>
  </si>
  <si>
    <t>JUAN DE JESUS ALMERIDA PADRON</t>
  </si>
  <si>
    <t>AUXILIAR GERAL - FRENTE DE CAIXA - LOJA 1</t>
  </si>
  <si>
    <t>KELLY JOSIANE VIANA</t>
  </si>
  <si>
    <t>SG-SB 10:00-12:30 14:30-19:20</t>
  </si>
  <si>
    <t>AUXILIAR GERAL - LOJA 1</t>
  </si>
  <si>
    <t>JAILMA SA DE MORAES</t>
  </si>
  <si>
    <t>ENCARREGADO FRENTE DE CAIXA - FRENTE DE CAIXA</t>
  </si>
  <si>
    <t>SANDRA REGINA PORTO</t>
  </si>
  <si>
    <t>JULIO CESAR VIEIRA JUNIOR</t>
  </si>
  <si>
    <t>SG-SB 07:00-11:30 13:30-16:20</t>
  </si>
  <si>
    <t>FISCAL DE CAIXA - FRENTE DE CAIXA</t>
  </si>
  <si>
    <t>MICHELE FRANCISCA DURAES FERREIRA</t>
  </si>
  <si>
    <t>ADRIANA TEIXEIRA DUTRA</t>
  </si>
  <si>
    <t>OPERADOR DE CAIXA - FRENTE DE CAIXA</t>
  </si>
  <si>
    <t>BARBARA IRENE MOREL PEREZ</t>
  </si>
  <si>
    <t>CATIA FERNANDA MACHADO DA ROCHA</t>
  </si>
  <si>
    <t>OPERADOR (A) DE CAIXA - FRENTE DE CAIXA</t>
  </si>
  <si>
    <t>CREUZA TAVARES DA SILVA</t>
  </si>
  <si>
    <t>DIOGO CELESTINO BRANCO</t>
  </si>
  <si>
    <t>02/03/2026</t>
  </si>
  <si>
    <t>GABRIEL PEREIRA PIVA</t>
  </si>
  <si>
    <t>SG-SB 08:00-11:30 13:30-17:20</t>
  </si>
  <si>
    <t>GABRIELA DE OLIVEIRA ROBERTO</t>
  </si>
  <si>
    <t>GUILHERME HENRIQUE DE SOUZA FORTUNATO</t>
  </si>
  <si>
    <t>HENZO GABRIEL DE SANTANA DE OLIVEIRA</t>
  </si>
  <si>
    <t>JORGETE ARAMBUL MALDONADO</t>
  </si>
  <si>
    <t>LEILA CRISTINA DE OLIVEIRA</t>
  </si>
  <si>
    <t>MAILIN FERNANDEZ LIANO</t>
  </si>
  <si>
    <t>SG-SB 08:00-12:00 14:00-17:20</t>
  </si>
  <si>
    <t>MARIA AMALIA DOS SANTOS CIANFA</t>
  </si>
  <si>
    <t>MARIA FERNANDA MARTINS DE LUNA</t>
  </si>
  <si>
    <t>PALOMA GONCALVES</t>
  </si>
  <si>
    <t>SG-SB 11:30-15:30 17:30-20:50</t>
  </si>
  <si>
    <t>SG-SB 13:00-17:00 18:10-21:30</t>
  </si>
  <si>
    <t>ROSANGELA DE OLIVEIRA DE SOUZA</t>
  </si>
  <si>
    <t>SG-SB 13:00-16:00 17:10-21:30</t>
  </si>
  <si>
    <t>BALCONISTA - FRIOS - LOJA 1</t>
  </si>
  <si>
    <t>RAQUEL DE ARAUJO DOURADO</t>
  </si>
  <si>
    <t>BALCONISTA - FRIOS</t>
  </si>
  <si>
    <t>TEREZINHA JORDAO FERREIRA</t>
  </si>
  <si>
    <t>FERNANDO GONCALVES VITORIANO</t>
  </si>
  <si>
    <t>GERENTE DE FRIOS - LOJA 1</t>
  </si>
  <si>
    <t>BRUNO PEREIRA VIEIRA</t>
  </si>
  <si>
    <t>REPOSITOR (A) - FRIOS - CAMARA FRIA - LOJA 1</t>
  </si>
  <si>
    <t>GABRIEL HENRIQUE ROCHA GERALDO</t>
  </si>
  <si>
    <t>GERENTE DE HORTIFRUTI - LOJA 1</t>
  </si>
  <si>
    <t>ADEMIR MACHADO DE MIRANDA</t>
  </si>
  <si>
    <t>REPOSITOR - HORTIFRUTI - LOJA 1</t>
  </si>
  <si>
    <t>ANDRELINO JOSÉ ALVES</t>
  </si>
  <si>
    <t>19/01/2026</t>
  </si>
  <si>
    <t>EUCLIDES BERNARDO DE AGUIAR</t>
  </si>
  <si>
    <t>SG-SB 07:00-11:00 13:00-16:20</t>
  </si>
  <si>
    <t>REPOSITOR - HORT FRUT</t>
  </si>
  <si>
    <t>ISMAEL DAVIDIOKI</t>
  </si>
  <si>
    <t>PEDRO CRISPIN</t>
  </si>
  <si>
    <t>ROGERIO ALVES FERREIRA</t>
  </si>
  <si>
    <t>CLAUDEMIRA GONCALVES SOARES</t>
  </si>
  <si>
    <t>12/09/2018</t>
  </si>
  <si>
    <t>AUXILIAR DE PADARIA</t>
  </si>
  <si>
    <t>OLIVIA TEODORO</t>
  </si>
  <si>
    <t>15/04/2024</t>
  </si>
  <si>
    <t>BALCONISTA DE ACOUGUE - ACOUGUE</t>
  </si>
  <si>
    <t>ZELADOR (A) - LIMPEZA</t>
  </si>
  <si>
    <t>ANADIR LOPES DA CRUZ</t>
  </si>
  <si>
    <t>ZELADOR(A) - LIMPEZA - LOJA 1</t>
  </si>
  <si>
    <t>LUZIA BISPO FONÇATTE</t>
  </si>
  <si>
    <t>MARIA DIODETE DA SILVA SANTOS</t>
  </si>
  <si>
    <t>EMILY VITORIA ZANYIK BUENO</t>
  </si>
  <si>
    <t>QU CURSO SG,TR-SX 14:00-18:00</t>
  </si>
  <si>
    <t>APRENDIZ - FRENTE DE CAIXA</t>
  </si>
  <si>
    <t>FELIPE JOSE CARVALHO FERREIRA</t>
  </si>
  <si>
    <t>APRENDIZ -LOJA</t>
  </si>
  <si>
    <t>JOSE EDUARDO ALVES DOS SANTOS</t>
  </si>
  <si>
    <t>LORENA CAROLINE PIRES CAMBUHI DA SILVA</t>
  </si>
  <si>
    <t>SAMUEL AUGUSTO TEODORO MERISO</t>
  </si>
  <si>
    <t>CLEUNICE DA SILVA</t>
  </si>
  <si>
    <t>AUXILIAR GERAL- LOJA</t>
  </si>
  <si>
    <t>LUCAS EDUARDO ZANDOMENIGHI</t>
  </si>
  <si>
    <t>CARTAZISTA - LOJA</t>
  </si>
  <si>
    <t>RENATA AZEVEDO DO NASCIMENTO</t>
  </si>
  <si>
    <t>ENCARREGADO (A) DE LOJA - LOJA</t>
  </si>
  <si>
    <t>SIDNEI PADILHA</t>
  </si>
  <si>
    <t>ART 62 CLT</t>
  </si>
  <si>
    <t>GERENTE DE LOJA - SUPERVISAO</t>
  </si>
  <si>
    <t>ANA PAULA CAVINA</t>
  </si>
  <si>
    <t>REPOSITOR (A) - LOJA - LOJA 1</t>
  </si>
  <si>
    <t>ANDREA PIRES</t>
  </si>
  <si>
    <t>ANGELO HENRIQUE SAN PEDRO TRICARICO</t>
  </si>
  <si>
    <t>CARLOS FARIAS</t>
  </si>
  <si>
    <t>SG-SB 13:10-15:00 16:50-22:20</t>
  </si>
  <si>
    <t>REPOSITOR - LOJA</t>
  </si>
  <si>
    <t>JOAO PAULO GRASSI SILVA</t>
  </si>
  <si>
    <t>MARIA EDUARDA DA SILVA MOURA</t>
  </si>
  <si>
    <t>MATHEUS VINICIUS DOMINGUES</t>
  </si>
  <si>
    <t>REPOSITOR (A)- LOJA - LOJA 1</t>
  </si>
  <si>
    <t>ORESTE STRAPARAVA FILHO</t>
  </si>
  <si>
    <t>RAI BUCHE ARAUJO</t>
  </si>
  <si>
    <t>VANESSA DA SILVA GALAMBA</t>
  </si>
  <si>
    <t>WILLIAN EUGENIO MAGALHÃES</t>
  </si>
  <si>
    <t>ANDREIA QUINTANA BERTALLIA</t>
  </si>
  <si>
    <t>GERENTE OPERACIONAL - LOJA 1</t>
  </si>
  <si>
    <t>DIEGO UMBERTO DE MARI</t>
  </si>
  <si>
    <t>AUXILIAR DE PRODUCAO DE ALIMENTOS - LOJA 1</t>
  </si>
  <si>
    <t>ANTONIA ELENILSA DA SILVA DE LARA</t>
  </si>
  <si>
    <t>GUVELINE CLAIRILUS</t>
  </si>
  <si>
    <t>INES ALYPIO DA SILVA</t>
  </si>
  <si>
    <t>IZABEL CRISTINA GOMES</t>
  </si>
  <si>
    <t>JOARLISON PEREIRA CARVALHO</t>
  </si>
  <si>
    <t>BALCONISTA - PROD DE ALM - LOJA 1</t>
  </si>
  <si>
    <t>MARIA DO AMPARO DUDA</t>
  </si>
  <si>
    <t>MARINES ALVES PEREIRA</t>
  </si>
  <si>
    <t>RITA DE CASSIA DE OLIVEIRA</t>
  </si>
  <si>
    <t>SG-SB 05:00-10:00 11:15-13:35</t>
  </si>
  <si>
    <t>LUCIMAR TERESA DO NASCIMENTO</t>
  </si>
  <si>
    <t>GERENTE DE PRODUCAO DE ALIMENTOS - LOJA 1</t>
  </si>
  <si>
    <t>DEVAIR BROVINO</t>
  </si>
  <si>
    <t>PADEIRO (A) - PADARIA</t>
  </si>
  <si>
    <t>RONIE VALDEMAR BARTOLI</t>
  </si>
  <si>
    <t>PADEIRO - PROD DE ALM - LOJA 1</t>
  </si>
  <si>
    <t>PORTEIRO - LOJA1</t>
  </si>
  <si>
    <t>COZINHEIRO - PROD DE ALM - LOJA 1</t>
  </si>
  <si>
    <t>MARCIO ALVES DE ALMEIDA</t>
  </si>
  <si>
    <t>SG-SB 06:30-12:00 13:10-15:00</t>
  </si>
  <si>
    <t>COZINHEIRO (A) - COZINHA</t>
  </si>
  <si>
    <t>ACOUGUEIRO (A) - PEREC E FIAMB - LOJA 2</t>
  </si>
  <si>
    <t>MATHEUS ALVEZ MENDES RODRIGUES</t>
  </si>
  <si>
    <t>ACOUGUEIRO - ACOUGUE</t>
  </si>
  <si>
    <t>BALCONISTA DE ACOUGUE - PEREC E FIAMB - LOJA 2</t>
  </si>
  <si>
    <t>SG-SB 06:00-10:00 12:00-15:20</t>
  </si>
  <si>
    <t>ACOUGUEIRO (A) DESOSSADOR - PEREC E FIAMB - LOJA 2</t>
  </si>
  <si>
    <t>GERENTE DE PERECIVEIS E FIAMBRERIA - LOJA 2</t>
  </si>
  <si>
    <t>FRANCISCO SILVA DOS SANTOS</t>
  </si>
  <si>
    <t>ANA CORREIA SILVA PIRES</t>
  </si>
  <si>
    <t>SG-SX 7:00-17:00 SB 7:00-11:00</t>
  </si>
  <si>
    <t>GERENTE DE RECEBIMENTO E EXPEDICAO DE MERCADORIAS - LOJA 2</t>
  </si>
  <si>
    <t>DIOGO MATEUS POLI</t>
  </si>
  <si>
    <t>MOTORISTA VEIC PEQUENO PORTE - ENTREGADOR - LOGISTICA</t>
  </si>
  <si>
    <t>SG-SB 10:00-14:00 16:00-19:20</t>
  </si>
  <si>
    <t>12/05/2026</t>
  </si>
  <si>
    <t>EMPACOTADOR - FRENTE DE CAIXA - LOJA 2</t>
  </si>
  <si>
    <t>FERNANDA CRISTINA DELMONACO</t>
  </si>
  <si>
    <t>SG-SB 07:30-11:00 13:00-16:50</t>
  </si>
  <si>
    <t>GERENTE DE FRENTE DE CAIXA</t>
  </si>
  <si>
    <t>NATHALIE KAWANE CROSATTI</t>
  </si>
  <si>
    <t>ALAN FRANCISCO ESTANISLAU</t>
  </si>
  <si>
    <t>AMANDA MICHELI DE MORAIS PENTEADO</t>
  </si>
  <si>
    <t>BRUNA DANIELA BENEDITO RODRIGUES</t>
  </si>
  <si>
    <t>CAMILLY STHEFANY CORREA</t>
  </si>
  <si>
    <t>ELINE DUARTE DA SILVA</t>
  </si>
  <si>
    <t>KARINE RAVANEDA</t>
  </si>
  <si>
    <t>MAGDA CORATTO ANZOLIN</t>
  </si>
  <si>
    <t>ROSANGELA MARIA DE ABREU SOUZA</t>
  </si>
  <si>
    <t>ROSAURA SIMPLICIO GUIMARAES</t>
  </si>
  <si>
    <t>TATIANA CRISTINA ALVES RIBEIRO</t>
  </si>
  <si>
    <t>VITOR ALVES HENRIQUE</t>
  </si>
  <si>
    <t>MEYRI AKEMI YAMADA</t>
  </si>
  <si>
    <t>SG-SB 11:30-14:30 16:30-20:50</t>
  </si>
  <si>
    <t>BALCONISTA - FRIOS - LOJA 2</t>
  </si>
  <si>
    <t>GERENTE DE FRIOS - LOJA 2</t>
  </si>
  <si>
    <t>ANDRESSA SOARES BISPO</t>
  </si>
  <si>
    <t>REPOSITOR (A) - FRIOS</t>
  </si>
  <si>
    <t>ENCARREGADO (A) DE HORT FRUT - HORT FRUT</t>
  </si>
  <si>
    <t>REPOSITOR - HORTIFRUTI - LOJA 2</t>
  </si>
  <si>
    <t>JOSIANE DE SOUZA</t>
  </si>
  <si>
    <t>SG,QA-SB 11-20:20 TR 10-19:20</t>
  </si>
  <si>
    <t>20/11/2018</t>
  </si>
  <si>
    <t>MARIA SIDNEIA BATISTA DOS SANTOS</t>
  </si>
  <si>
    <t>SG-SX 7:30-17:30 SB 7:30-11:30</t>
  </si>
  <si>
    <t>01/10/2016</t>
  </si>
  <si>
    <t>EMPACOTADOR - FRENTE DE CAIXA</t>
  </si>
  <si>
    <t>ENCARREGADO (A) DE ACOUGUE - ACOUGUE</t>
  </si>
  <si>
    <t>LUZIA DA LUZ AZEVEDO</t>
  </si>
  <si>
    <t>MARIA DE LURDES GUERRA GARCIA</t>
  </si>
  <si>
    <t>SG-SB 11:00-14:00 16:00-20:20</t>
  </si>
  <si>
    <t>ALICE DOS SANTOS ALVES</t>
  </si>
  <si>
    <t>DEYVSON ALESSANDRO CAVALCANTE DA SILVA</t>
  </si>
  <si>
    <t>APRENDIZ -LOJA - LOJA 2</t>
  </si>
  <si>
    <t>MATHEUS HENRIQUE DA SILVA TESTI</t>
  </si>
  <si>
    <t>FRANCIELE RODRIGUES DOMINGUES</t>
  </si>
  <si>
    <t>OPERADOR E-COMMERCE</t>
  </si>
  <si>
    <t>GERENTE DE REPOSICAO DE MERCADORIAS - LOJA 2</t>
  </si>
  <si>
    <t>FABIO MILAN</t>
  </si>
  <si>
    <t>REPOSITOR (A) - LOJA - LOJA 2</t>
  </si>
  <si>
    <t>CRISTIANO VALLE AFONSO</t>
  </si>
  <si>
    <t>AUXILIAR DE CONFEITARIA</t>
  </si>
  <si>
    <t>AUX PRODUCAO DE ALIMENTOS</t>
  </si>
  <si>
    <t>CLAUDIA MAURICEIA TOLENTINO</t>
  </si>
  <si>
    <t>AUXILIAR DE COZINHA - COZINHA</t>
  </si>
  <si>
    <t>CLAUSE MARY DUARTE</t>
  </si>
  <si>
    <t>AUXILIAR DE PADARIA - PADARIA</t>
  </si>
  <si>
    <t>AUXILIAR DE PRODUCAO DE ALIMENTOS - LOJA 2</t>
  </si>
  <si>
    <t>BALCONISTA - PROD DE ALM - LOJA 2</t>
  </si>
  <si>
    <t>BERENICE GUADAGNINI DA SILVA</t>
  </si>
  <si>
    <t>LIDER DE ATENDIMENTO - PADARIA</t>
  </si>
  <si>
    <t>ENC DE PROD DE ALIMENTOS - LOJA 2</t>
  </si>
  <si>
    <t>JULIANA APARECIDA MOREIRA</t>
  </si>
  <si>
    <t>SALGADEIRO (A) - PADARIA</t>
  </si>
  <si>
    <t>PADEIRO - PROD DE ALM - LOJA 2</t>
  </si>
  <si>
    <t>SG-SB 07:50-12:00 14:00-17:10</t>
  </si>
  <si>
    <t>PORTEIRO(A)- PORTARIA</t>
  </si>
  <si>
    <t>AGENTE EM PREVENCAO DE PERDAS</t>
  </si>
  <si>
    <t>ZILDA APARECIDA DE BRITO VAZ</t>
  </si>
  <si>
    <t>JOAO PEDRO LOPES BUENO</t>
  </si>
  <si>
    <t>SALETE ALVES DE OLIVEIRA</t>
  </si>
  <si>
    <t>BALCONISTA DE ACOUGUE - PEREC E FIAMB - LOJA 3</t>
  </si>
  <si>
    <t>CHARLES VIEIRA ROSNER</t>
  </si>
  <si>
    <t>ACOUGUEIRO DESOSSADOR - ACOUGUE</t>
  </si>
  <si>
    <t>DIRCEU BATISTA</t>
  </si>
  <si>
    <t>SG-SB 08:30-12:00 14:00-17:50</t>
  </si>
  <si>
    <t>ACOUGUEIRO (A) DESOSSADOR - PEREC E FIAMB - LOJA 3</t>
  </si>
  <si>
    <t>ENCARREGADO (A) DE AÇOUGUE - LOJA 3</t>
  </si>
  <si>
    <t>ROSA APARECIDA DE JESUS</t>
  </si>
  <si>
    <t>SG-SX 7:30-16:40 SB 7:30-11:30</t>
  </si>
  <si>
    <t>ENCARREGADO (A) DE CONFEITARIA - CONFEITARIA</t>
  </si>
  <si>
    <t>JOSE CARLOS DE SOUZA</t>
  </si>
  <si>
    <t>SG-SX 7:30-17:00 SB 7:30-11:30</t>
  </si>
  <si>
    <t>RECEBEDOR - DEPOSITO</t>
  </si>
  <si>
    <t>VALTER VALDECIR STURARO</t>
  </si>
  <si>
    <t>GERENTE DE RECEBIMENTO E EXPEDICAO DE MERCADORIAS - LOJA 3</t>
  </si>
  <si>
    <t>CARLOS ALBERTO GONCALVES COELHO</t>
  </si>
  <si>
    <t>SEG/SB 09:00 12:00 14:00 18:20</t>
  </si>
  <si>
    <t>MARICLEIA DE FATIMA DE JESUS</t>
  </si>
  <si>
    <t>CAMILA DO NASCIMENTO PEREIRA</t>
  </si>
  <si>
    <t>KETLYN YASMIM SANTOS CEZARIO</t>
  </si>
  <si>
    <t>NEUZA MARIA BUENO DE LIMA</t>
  </si>
  <si>
    <t>ANA CLAUDIA DA SILVA DELFINO</t>
  </si>
  <si>
    <t>ARTHUR HENRIQUE DE OLIVEIRA</t>
  </si>
  <si>
    <t>HELLEN LUNAYRA SILVA DOS SANTOS PIVA</t>
  </si>
  <si>
    <t>LUIZ CARLOS DIONISIO</t>
  </si>
  <si>
    <t>MARCELO BARROS</t>
  </si>
  <si>
    <t>MAYCON APARECIDO VIEIRA ROSNER</t>
  </si>
  <si>
    <t>STEFANY DE MELLO SOUZA PASQUALINO</t>
  </si>
  <si>
    <t>TEREZINHA JOSE SILVESTRE</t>
  </si>
  <si>
    <t>VICTOR HUGO DE SOUZA DO NASCIMENTO</t>
  </si>
  <si>
    <t>YASMIN CARVALHO BARBOSA</t>
  </si>
  <si>
    <t>YASMYM KESIA SILVA TEODORO</t>
  </si>
  <si>
    <t>IVONE VIEIRA ALVES</t>
  </si>
  <si>
    <t>MARIA APARECIDA IZIDORO TRINDADE</t>
  </si>
  <si>
    <t>ENCARREGADO (A) DE FRIOS - LOJA 3</t>
  </si>
  <si>
    <t>SOLANGE APARECIDA SIMAO GUILHERME</t>
  </si>
  <si>
    <t>REPOSITOR (A) - FRIOS - CAMARA FRIA</t>
  </si>
  <si>
    <t>GERENTE DE HORTIFRUTI - LOJA 3</t>
  </si>
  <si>
    <t>REPOSITOR - HORTIFRUTI - LOJA 3</t>
  </si>
  <si>
    <t>SG-SB 07:30-11:30 13:30-16:50</t>
  </si>
  <si>
    <t>ZELADOR(A) - LIMPEZA - LOJA 3</t>
  </si>
  <si>
    <t>ANAHY VITORIA PANCION SOARES</t>
  </si>
  <si>
    <t>APRENDIZ -LOJA - LOJA 3</t>
  </si>
  <si>
    <t>SAMUEL VITOR PANCIONI SOARES</t>
  </si>
  <si>
    <t>JOSIANE DOROTEIA DE OLIVEIRA</t>
  </si>
  <si>
    <t>AMARILZA DUDA CLARIMUNDO</t>
  </si>
  <si>
    <t>OPERADOR DE E-COMMERCE - FRENTE DE CAIXA</t>
  </si>
  <si>
    <t>MICHAEL DA SILVA DANIEL</t>
  </si>
  <si>
    <t>NIVALDO DA SILVA PEREIRA NETO</t>
  </si>
  <si>
    <t>REPOSITOR (A) - LOJA - LOJA 3</t>
  </si>
  <si>
    <t>REPOSITOR (A)- LOJA - LOJA 3</t>
  </si>
  <si>
    <t>KAIQUE DOMINGUES VIEIRA</t>
  </si>
  <si>
    <t>REPOSITOR (A) - LOJA</t>
  </si>
  <si>
    <t>LUCAS HENRIQUE FERREIRA DA SILVA</t>
  </si>
  <si>
    <t>WANDO DE SOUZA MARTINS</t>
  </si>
  <si>
    <t>GERENTE OPERACIONAL - LOJA 3</t>
  </si>
  <si>
    <t>BALCONISTA - PROD DE ALM - LOJA 3</t>
  </si>
  <si>
    <t>IVANI PEREIRA DE SOUZA ALVES</t>
  </si>
  <si>
    <t>17/09/2025</t>
  </si>
  <si>
    <t>GERENTE DE PRODUCAO DE ALIMENTOS - LOJA 3</t>
  </si>
  <si>
    <t>FORNEIRO - PROD DE ALM - LOJA 3</t>
  </si>
  <si>
    <t>MAISA BORGES DE SOUZA</t>
  </si>
  <si>
    <t>CELIANA APARECIDA DA SILVA</t>
  </si>
  <si>
    <t>ACOUGUEIRO (A) - PEREC E FIAMB - LOJA 4</t>
  </si>
  <si>
    <t>CLAUDENIR ROBERTO DOMINGUES</t>
  </si>
  <si>
    <t>DENILSON APARECIDO DOS SANTOS</t>
  </si>
  <si>
    <t>ROBSON RODRIGUES PEREIRA DA COSTA</t>
  </si>
  <si>
    <t>ACOUGUEIRO (A) DESOSSADOR - PEREC E FIAMB - LOJA 4</t>
  </si>
  <si>
    <t>TIAGO SANTOS DA SILVA</t>
  </si>
  <si>
    <t>ENCARREGADO (A) DE AÇOUGUE - LOJA 4</t>
  </si>
  <si>
    <t>JESSICA MARTINS MOREIRA</t>
  </si>
  <si>
    <t>CONFEITEIRO - PROD DE ALM - LOJA 4</t>
  </si>
  <si>
    <t>LUANA AZEVEDO FROTA</t>
  </si>
  <si>
    <t>PEDRO FERNANDO OLIVEIRA LIMA DINIZ</t>
  </si>
  <si>
    <t>ESTOQUISTA - DEPOSITO - LOJA 4</t>
  </si>
  <si>
    <t>IARA DIAS DOS SANTOS</t>
  </si>
  <si>
    <t>RENATO MARTINS</t>
  </si>
  <si>
    <t>LEONORA DE SOUZA BECA</t>
  </si>
  <si>
    <t>ALAICE MALTZ DOS ANJOS</t>
  </si>
  <si>
    <t>CLAUDINEIA CELINI MARTINS</t>
  </si>
  <si>
    <t>ELIANE DA SILVA</t>
  </si>
  <si>
    <t>LAVINIA GONÇALVES DO NASCIMENTO</t>
  </si>
  <si>
    <t>LEONARDO RAFAEL DA SILVA</t>
  </si>
  <si>
    <t>27/02/2026</t>
  </si>
  <si>
    <t>LUANA BEATRIZ FELICIO</t>
  </si>
  <si>
    <t>VIVIANE ENEDINA PEREIRA DA SILVA</t>
  </si>
  <si>
    <t>SARA COELHO DOS SANTOS</t>
  </si>
  <si>
    <t>MARCIA CRISTINA DE SOUZA AZEVEDO</t>
  </si>
  <si>
    <t>GERENTE DE HORTIFRUTI - LOJA 4</t>
  </si>
  <si>
    <t>REPOSITOR - HORTIFRUTI - LOJA 4</t>
  </si>
  <si>
    <t>BRUNO LEONARDO ALVES SILVA</t>
  </si>
  <si>
    <t>DANILO SOARES DE OLIVEIRA</t>
  </si>
  <si>
    <t>MARIA REGINA TEIXEIRA</t>
  </si>
  <si>
    <t>ZELADOR(A) - LIMPEZA - LOJA 4</t>
  </si>
  <si>
    <t>ROZANA RODRIGUES MARTINS</t>
  </si>
  <si>
    <t>ISAC GABRIEL FURTADO DA SILVA</t>
  </si>
  <si>
    <t>SG-QA-CURSO-TR,QI-SX 15:30-19:</t>
  </si>
  <si>
    <t>KEVEN KRYSTHN EID DE ARAUJO DOS SANTOS</t>
  </si>
  <si>
    <t>APRENDIZ- LOJA 4</t>
  </si>
  <si>
    <t>MARCOS HENRIQUE VIANA DA SILVA</t>
  </si>
  <si>
    <t>REBECA BEATRIZ PEREIRA COSTA</t>
  </si>
  <si>
    <t>JOAO LUCAS MACIEL BRANDAO</t>
  </si>
  <si>
    <t>CARTAZISTA - LOJA 4</t>
  </si>
  <si>
    <t>DAIANE DIONISIO DO NASCIMENTO</t>
  </si>
  <si>
    <t>PAULO HENRIQUE FERREIRA DOS SANTOS</t>
  </si>
  <si>
    <t>GUILHERME DOS SANTOS FIRMINO</t>
  </si>
  <si>
    <t>REPOSITOR (A) - LOJA - LOJA 4</t>
  </si>
  <si>
    <t>VALDIRENE CAZELOTTO</t>
  </si>
  <si>
    <t>REPOSITOR (A)- LOJA</t>
  </si>
  <si>
    <t>REPOSITOR (A)- LOJA - LOJA 4</t>
  </si>
  <si>
    <t>CEZAR PESSOA DA SILVA</t>
  </si>
  <si>
    <t>GERENTE OPERACIONAL - LOJA 2</t>
  </si>
  <si>
    <t>EDSON ISAO KAMITA</t>
  </si>
  <si>
    <t>AUXILIAR GERAL - PROD DE ALM - LOJA 4</t>
  </si>
  <si>
    <t>GABRIELLE SILVA DE SOUZA</t>
  </si>
  <si>
    <t>MARIA ELIZIANE MENDES</t>
  </si>
  <si>
    <t>BALCONISTA - PROD DE ALM - LOJA 4</t>
  </si>
  <si>
    <t>BALCONISTA - PADARIA</t>
  </si>
  <si>
    <t>DIEGO JACOMETO DOS REIS</t>
  </si>
  <si>
    <t>GERENTE DE PRODUCAO DE ALIMENTOS - LOJA 4</t>
  </si>
  <si>
    <t>VALDIZIA DE FATIMA MARTINS LOPES</t>
  </si>
  <si>
    <t>JORGE JAVIER OLMO ARMAS</t>
  </si>
  <si>
    <t>RENAN ALLAN DOS SANTOS MORAES</t>
  </si>
  <si>
    <t>SIDNEY TAVEIRA SOARES</t>
  </si>
  <si>
    <t>VINICIUS HENRIQUE JABALI</t>
  </si>
  <si>
    <t>JORGE AUGUSTO GONCALVES DE FRANCA</t>
  </si>
  <si>
    <t>NEEMIAS ESTEFANIO DOS SANTOS</t>
  </si>
  <si>
    <t>CAIRO SAPANHOS MOREIRA</t>
  </si>
  <si>
    <t>GERENTE DE PERECIVEIS E FIAMBRERIA</t>
  </si>
  <si>
    <t>VALDINEI TEIXEIRA</t>
  </si>
  <si>
    <t>SG-SB 11:30-14:00 16:00-20:50</t>
  </si>
  <si>
    <t>JUVENCIO MARTINS GOMES FILHO</t>
  </si>
  <si>
    <t>SG-SX 8:00-18:00 SB 8:00-12:00</t>
  </si>
  <si>
    <t>GREICE KELLY DOS SANTOS DIAS</t>
  </si>
  <si>
    <t>SG-SX 08:00-17:30 Sab 08:00-12</t>
  </si>
  <si>
    <t>JOICE LOPES DE FREITAS</t>
  </si>
  <si>
    <t>PEDRO LUIZ CAMPOS</t>
  </si>
  <si>
    <t>APARECIDA MARIA BARBOSA DA SILVA</t>
  </si>
  <si>
    <t>FRANCIELE APARECIDA FERREIRA DOS SANTOS</t>
  </si>
  <si>
    <t>GEIZEBEL JAQUELINE DE LIMA</t>
  </si>
  <si>
    <t>SG-SB 08:30-11:00 13:00-17:50</t>
  </si>
  <si>
    <t>GRACIELLE DOMINGOS</t>
  </si>
  <si>
    <t>ANDRESSA DE ASSIS MIRANDA</t>
  </si>
  <si>
    <t>ANNA CAROLINE DE MORAES</t>
  </si>
  <si>
    <t>ANTONIA LAYSA RAFAELLE SOARES DE SOUZA</t>
  </si>
  <si>
    <t>ANTONIA LOHANE RAELLE SOARES DE SOUZA</t>
  </si>
  <si>
    <t>CAMILA DA SILVA VERISSIMO</t>
  </si>
  <si>
    <t>CARLOS EDUARDO GONZALES SOLANO</t>
  </si>
  <si>
    <t>DEBORA HELOISI GASPAR DOS SANTOS</t>
  </si>
  <si>
    <t>ELLEN LANELLY SOARES GONCALVES</t>
  </si>
  <si>
    <t>ELOA LUCIA DE PAULA</t>
  </si>
  <si>
    <t>GABRIEL HENRIQUE DOS SANTOS SOARES</t>
  </si>
  <si>
    <t>GABRIEL HENRIQUE KUCHLA GOMES</t>
  </si>
  <si>
    <t>KENYA DA SILVA ROSA</t>
  </si>
  <si>
    <t>ROSMERY ABREUS LOPEZ</t>
  </si>
  <si>
    <t>TALYA RODRIGUES DE OLIVEIRA</t>
  </si>
  <si>
    <t>VANIA APARECIDA DE CASSIA DA SILVA</t>
  </si>
  <si>
    <t>DRIELLY AP JESUS DE OLIVEIRA BARROS</t>
  </si>
  <si>
    <t>ELIZIANE DAS DORES BRILHANTE MOTTA</t>
  </si>
  <si>
    <t>ALINE VICOSI NOGUEIRA</t>
  </si>
  <si>
    <t>ENCARREGADO (A) DE FRIOS - FRIOS</t>
  </si>
  <si>
    <t>ROMULO HENRIQUE DA ROSA LECHACOVSKI</t>
  </si>
  <si>
    <t>OPERADOR (A) CAMARA FRIA - FRIOS</t>
  </si>
  <si>
    <t>JOAO PAULO CORDEIRO SANTOS</t>
  </si>
  <si>
    <t>PAULO DOS SANTOS DOMINGUES</t>
  </si>
  <si>
    <t>MARIA APARECIDA BATISTA DOS SANTOS</t>
  </si>
  <si>
    <t>ROSILENE MIRANDA DE OLIVEIRA</t>
  </si>
  <si>
    <t>CARLOS EDUARDO MUNHOZ DE VASCONCELOS</t>
  </si>
  <si>
    <t>IASMIN MOREIRA GEREMIAS</t>
  </si>
  <si>
    <t>JULLIA DE OLIVEIRA QUINUPA</t>
  </si>
  <si>
    <t>PAULO VINICIUS CORREA</t>
  </si>
  <si>
    <t>ANTONIO WESKLEY VIEIRA RICARDO</t>
  </si>
  <si>
    <t>LUIZ EDUARDO DE ARAUJO ALVES</t>
  </si>
  <si>
    <t>MARCELO DE SOUZA DOS REIS</t>
  </si>
  <si>
    <t>ADRIAN HENRIQUE FREDERICO DE SOUZA</t>
  </si>
  <si>
    <t>GABRIEL GRACIANO ROSA DA SILVA</t>
  </si>
  <si>
    <t>GESUEL BELISARIO</t>
  </si>
  <si>
    <t>LETICIA IZABELE DE SOUZA NEGRETTI</t>
  </si>
  <si>
    <t>SG-SB 10:00-13:00 15:00-19:20</t>
  </si>
  <si>
    <t>LUCAS GRACIANO BARBOZA</t>
  </si>
  <si>
    <t>MIGUEL ALEJANDRO ZERQUERA GUTIERREZ</t>
  </si>
  <si>
    <t>PAULO DOS SANTOS ANTONIO</t>
  </si>
  <si>
    <t>REINEL VERA PERIANA</t>
  </si>
  <si>
    <t>SERGIO RAUL GONZALEZ ALARCON</t>
  </si>
  <si>
    <t>SG-SB 09:00-13:00 15:00-18:20</t>
  </si>
  <si>
    <t>WILDES VIEIRA DA SILVA</t>
  </si>
  <si>
    <t>YONERKI ALBERTO GONZALEZ GUIROLA</t>
  </si>
  <si>
    <t>ERITON BARBOSA</t>
  </si>
  <si>
    <t>GERENTE OPERACIONAL</t>
  </si>
  <si>
    <t>ANA LUISA PEREZ RAMIREZ</t>
  </si>
  <si>
    <t>CLEONICE DOMINGOS DA SILVA</t>
  </si>
  <si>
    <t>DANIELE CRISTINA DE MORAIS CAVALHEIRO</t>
  </si>
  <si>
    <t>JANEIDE COSTA DA SILVA OLIVEIRA</t>
  </si>
  <si>
    <t>MARYURIS EUDORIS RANGEL DE RENGEL</t>
  </si>
  <si>
    <t>ROSILENE COSTA</t>
  </si>
  <si>
    <t>GERENTE DE PRODUCAO DE ALIMENTOS</t>
  </si>
  <si>
    <t>ALEJANDRO ERNESTO RAMIS ALARCON</t>
  </si>
  <si>
    <t>DORIVAL DE ALMEIDA BATISTA</t>
  </si>
  <si>
    <t>EUDO DE CAMARGO ANDRADE</t>
  </si>
  <si>
    <t>FATIMA JACINTO STEMPCOSKI</t>
  </si>
  <si>
    <t>PORTEIRO (A) - PORTARIA</t>
  </si>
  <si>
    <t>JUNIOR DE MORAIS</t>
  </si>
  <si>
    <t>LUCAS DO NASCIMENTO SILVA</t>
  </si>
  <si>
    <t>MARIA DE FATIMA SOARES DE SOUZA</t>
  </si>
  <si>
    <t>VALDECI CORREIA JUNIOR</t>
  </si>
  <si>
    <t>ARGENIS KINDELAN PORTUONDO</t>
  </si>
  <si>
    <t>ODAIR DOS SANTOS PAES</t>
  </si>
  <si>
    <t>ROMUALDO LECHACOVSKI</t>
  </si>
  <si>
    <t>SG-SB 06:30-10:30 11:40-15:00</t>
  </si>
  <si>
    <t>EDNA REGINA NASCIMENTO MARQUES DE BRITO</t>
  </si>
  <si>
    <t>MAYRA IZIDORO CARVALHO SILVA</t>
  </si>
  <si>
    <t>CONFEITEIRO - PROD DE ALM - LOJA 6</t>
  </si>
  <si>
    <t>VALERIA CAETANI MACHADO</t>
  </si>
  <si>
    <t>AILSON DA SILVA OLIVEIRA</t>
  </si>
  <si>
    <t>DIEGO APARECIDO PEDROSO CARNEIRO</t>
  </si>
  <si>
    <t>FERNANDO HENRIQUE MARIANO FONTOLAN</t>
  </si>
  <si>
    <t>IVAN CRUZ</t>
  </si>
  <si>
    <t>RODRIGO VITORINO PIRES</t>
  </si>
  <si>
    <t>JORGE TEIXEIRA NETO</t>
  </si>
  <si>
    <t>ELISANGELA DE ANDRADE</t>
  </si>
  <si>
    <t>GEOVANA CASSIA VILASBOAS DA ROCHA</t>
  </si>
  <si>
    <t>KHETRONY RIBEIRO DE FREITAS</t>
  </si>
  <si>
    <t>MICHELE LARISSA DO AMARAL</t>
  </si>
  <si>
    <t>WELLIA F. VIEIRA DOS SANTOS CORDEIRO</t>
  </si>
  <si>
    <t>ABILIO ROSSATTO</t>
  </si>
  <si>
    <t>ADRIANA GOMES MARTINS</t>
  </si>
  <si>
    <t>ADRIANA GOMES NETTO</t>
  </si>
  <si>
    <t>DEBORA MARIS BUENO</t>
  </si>
  <si>
    <t>EDNA DE SOUZA SILVA</t>
  </si>
  <si>
    <t>EMILLY RODRIGUES BELARMINO</t>
  </si>
  <si>
    <t>FLAVIA DA SILVA CYRIACO</t>
  </si>
  <si>
    <t>GRAZIELE OLIVEIRA VICENTE DOS SANTOS</t>
  </si>
  <si>
    <t>KARLA DA SILVA PISTONE</t>
  </si>
  <si>
    <t>KARLA GABRIELA DA SILVA DOS SANTOS</t>
  </si>
  <si>
    <t>LETICIA CAROLINE TELES DE FRANCA</t>
  </si>
  <si>
    <t>MARIANA VITORIA DE MORAES GAMARONI</t>
  </si>
  <si>
    <t>MARILENA APARECIDA DE SOUZA DA ROCHA</t>
  </si>
  <si>
    <t>SG-SB 11:30-13:30 15:30-20:50</t>
  </si>
  <si>
    <t>RAFAELA CARNEIRO BERNABE</t>
  </si>
  <si>
    <t>VALQUIRIA CRISTINA PEREIRA</t>
  </si>
  <si>
    <t>VANEIZA ALVES DOS SANTOS</t>
  </si>
  <si>
    <t>SIDNEIA RODRIGUES</t>
  </si>
  <si>
    <t>HELENA IRIA MASCARENHAS</t>
  </si>
  <si>
    <t>AIRTON PIRES SOARES</t>
  </si>
  <si>
    <t>REPOSITOR (A) - FRIOS - LOJA 6</t>
  </si>
  <si>
    <t>MARIA CAROLINA FACCHIN NILHO</t>
  </si>
  <si>
    <t>OSMAR PEREIRA DA SILVA</t>
  </si>
  <si>
    <t>GABRIEL FELIPE DA SILVA DOS SANTOS</t>
  </si>
  <si>
    <t>JEFERSON BILOTTI PIRES</t>
  </si>
  <si>
    <t>LUIZ HENRIQUE LOBO DA SILVA CARVALHO</t>
  </si>
  <si>
    <t>REPOSITOR - HORTIFRUTI - LOJA 6</t>
  </si>
  <si>
    <t>PEDRO GALVAO TEJADA GARCIA DE OLIVEIRA</t>
  </si>
  <si>
    <t>RONALDO OLIVEIRA MANSO</t>
  </si>
  <si>
    <t>LUIZA DE LOURDES LEITE</t>
  </si>
  <si>
    <t>PEDRO LEITE DA SILVA NETO</t>
  </si>
  <si>
    <t>DEYD LUCAS AVELINO CARDOSO</t>
  </si>
  <si>
    <t>HENRIQUE KAUA DE LIMA DOS SANTOS</t>
  </si>
  <si>
    <t>JULIA FERNANDA SERRA DA SILVA</t>
  </si>
  <si>
    <t>MARIA JULIA LOPES YERDLISKA</t>
  </si>
  <si>
    <t>VITOR EMANUEL TRIANOSKI</t>
  </si>
  <si>
    <t>PATRICIA DOS SANTOS DE SOUZA</t>
  </si>
  <si>
    <t>CARTAZISTA</t>
  </si>
  <si>
    <t>DEIVISON BRITES DUDEK</t>
  </si>
  <si>
    <t>OPERADOR DE ECOMMERCE - FRENTE DE CAIXA</t>
  </si>
  <si>
    <t>ALVIM DE ANDRADE PIMENTA NETO</t>
  </si>
  <si>
    <t>ENCARREGADO DE LOJA - LOJA 6</t>
  </si>
  <si>
    <t>FERNANDO CARLOS SIAM</t>
  </si>
  <si>
    <t>REPOSITOR (A)- LOJA - LOJA 6</t>
  </si>
  <si>
    <t>ANTONIO APARECIDO DANIEL</t>
  </si>
  <si>
    <t>SG-SB 07:00-11:30 13:00-15:50</t>
  </si>
  <si>
    <t>REPOSITOR (A) - LOJA - WALK IN COOLER</t>
  </si>
  <si>
    <t>DAGOBERTO ABREUS RIVALTA</t>
  </si>
  <si>
    <t>GIOVANA ZANDOMENIGHI</t>
  </si>
  <si>
    <t>LUIZ ALEXANDRE DE LARA</t>
  </si>
  <si>
    <t>LUIZ GUSTAVO FACCHIN NILHO</t>
  </si>
  <si>
    <t>PAMELLA DE SOUZA VALOES</t>
  </si>
  <si>
    <t>RAFAEL DE OLIVEIRA FARINAS</t>
  </si>
  <si>
    <t>RICARDO BISPO FERREIRA</t>
  </si>
  <si>
    <t>ELIZABETI CAVALARO</t>
  </si>
  <si>
    <t>GUSTAVO OTONE RECKE</t>
  </si>
  <si>
    <t>LEONICE APARECIDA DA SILVA SOUZA</t>
  </si>
  <si>
    <t>AUXILIAR DE PRODUCAO DE ALIMENTOS - LOJA 6</t>
  </si>
  <si>
    <t>LEYNIYOLI LOPEZ TAMAYO</t>
  </si>
  <si>
    <t>MAICON COSTA FELICIANO</t>
  </si>
  <si>
    <t>MARCIA DE LIMA</t>
  </si>
  <si>
    <t>MARIA CELIA DA SILVA</t>
  </si>
  <si>
    <t>BALCONISTA - PROD DE ALM - LOJA 6</t>
  </si>
  <si>
    <t>MARILDA IVANAGA</t>
  </si>
  <si>
    <t>VANILDA RIBEIRO DE OLIVEIRA</t>
  </si>
  <si>
    <t>AUXILIAR DE COZINHA</t>
  </si>
  <si>
    <t>ADRIANA FATIMA DOS SANTOS GRIGIO</t>
  </si>
  <si>
    <t>CLAUDINEY APARECIDO DE ANDRADE</t>
  </si>
  <si>
    <t>ENCARREGADO (A) DE PADARIA - PADARIA</t>
  </si>
  <si>
    <t>CLEUZA ALVES FERREIRA</t>
  </si>
  <si>
    <t>GABRIEL ELIAS DOS SANTOS NOVAIS</t>
  </si>
  <si>
    <t>JOSE FRANCISCO SOBRINHO</t>
  </si>
  <si>
    <t>NELSON DE SOUZA</t>
  </si>
  <si>
    <t>PEDRO HENRIQUE FACCHIN NILHO</t>
  </si>
  <si>
    <t>PORTEIRO(A)- PORTARIA - LOJA 6</t>
  </si>
  <si>
    <t>IRENE BATISTA</t>
  </si>
  <si>
    <t>TEREZINHA BOCHNIAK</t>
  </si>
  <si>
    <t>SG-SB 11:20-14:00 16:00-20:40</t>
  </si>
  <si>
    <t>ACOUGUEIRO (A) - PERECIVEIS E FIAMBRERIA - LOJA 07</t>
  </si>
  <si>
    <t>JULIANA RAFAEL DE SOUZA</t>
  </si>
  <si>
    <t>NATHA PIRES CONCEICAO</t>
  </si>
  <si>
    <t>PATRIK DA SILVA RIBEIRO</t>
  </si>
  <si>
    <t>TANIA CRISTINA RAMOS</t>
  </si>
  <si>
    <t>VANDA DIAS DE JESUS</t>
  </si>
  <si>
    <t>BALCONISTA DE ACOUGUE - PERECIVEIS E FIAMBRERIA - LOJA 07</t>
  </si>
  <si>
    <t>ACOUGUEIRO (A) DESOSSADOR - PERECIVEIS E FIAMBRERIA - LOJA 0</t>
  </si>
  <si>
    <t>JHONY WESLEY DE MELO</t>
  </si>
  <si>
    <t>GERENTE DE PERECIVEIS E FIAMBRERIA - LOJA 07</t>
  </si>
  <si>
    <t>JOSE DAVID RIBEIRO CIRINO</t>
  </si>
  <si>
    <t>SG-SB 11:00-14:30 16:00-19:50</t>
  </si>
  <si>
    <t>ENCARREGADO(A) DE ACOUGUE</t>
  </si>
  <si>
    <t>CICERA CRISTINA DE OLIVEIRA</t>
  </si>
  <si>
    <t>CONFEITEIRO (A) - CONFEITARIA - LOJA 07</t>
  </si>
  <si>
    <t>GLEICE PATRICIA DOS SANTOS</t>
  </si>
  <si>
    <t>MICHELE MARTINS DE OLIVEIRA</t>
  </si>
  <si>
    <t>REINALDO CORREA NETO</t>
  </si>
  <si>
    <t>AUXILIAR DE DEPOSITO - LOJA 07</t>
  </si>
  <si>
    <t>REINALDO JANUARIO DOS SANTOS</t>
  </si>
  <si>
    <t>JOAO CARLOS OLIVEIRA RODRIGUES DA SILVA</t>
  </si>
  <si>
    <t>MARIA FERNANDA DA SILVA DE MELLO</t>
  </si>
  <si>
    <t>DIEGO HENRIQUE LOPES</t>
  </si>
  <si>
    <t>GERENTE DE RECEBIMENTO E EXPEDICAO DE MERCADORIAS - LOJA 07</t>
  </si>
  <si>
    <t>JOAO WADISLAU TICHILISKI</t>
  </si>
  <si>
    <t>JOSE APARECIDO DE OLIVEIRA</t>
  </si>
  <si>
    <t>15/08/2025</t>
  </si>
  <si>
    <t>LOAN LUCAS GONCALVES</t>
  </si>
  <si>
    <t>OCTACILIO BALDUINO</t>
  </si>
  <si>
    <t>ADEMIR DIAS MACHADO</t>
  </si>
  <si>
    <t>AUXILIAR GERAL - FRENTE DE CAIXA - LOJA 07</t>
  </si>
  <si>
    <t>CIRLENE RODRIGUES DA ROCHA VIEIRA</t>
  </si>
  <si>
    <t>DIRCEU DOMINGUES DA SILVA</t>
  </si>
  <si>
    <t>EMPACOTADOR - FRENTE DE CAIXA - LOJA 07</t>
  </si>
  <si>
    <t>DONIZETI DA SILVA CORREA</t>
  </si>
  <si>
    <t>VITOR HENRIQUE DOS SANTOS</t>
  </si>
  <si>
    <t>ALINE AYUMI TOKUHO ESTELA</t>
  </si>
  <si>
    <t>ANDERSON BORGES GUIMARAES</t>
  </si>
  <si>
    <t>ESTER DIAS DE ALMEIDA</t>
  </si>
  <si>
    <t>FRANCIELI DOS SANTOS MORAIS</t>
  </si>
  <si>
    <t>HAISSA MARIA RIBEIRO CIRINO</t>
  </si>
  <si>
    <t>JOAO AUGUSTO VERGINIO</t>
  </si>
  <si>
    <t>AMANDA LEMES PRADES</t>
  </si>
  <si>
    <t>ELISA FERREIRA DA SILVA XAVIER</t>
  </si>
  <si>
    <t>GISELE APARECIDA DOS SANTOS</t>
  </si>
  <si>
    <t>HIGOR SOARES DA ROSA</t>
  </si>
  <si>
    <t>ISABELLA BEATRIZ VELIDO</t>
  </si>
  <si>
    <t>JULIANA PIRES DA SILVA</t>
  </si>
  <si>
    <t>KETYCIA DE ALMEIDA RIBEIRO</t>
  </si>
  <si>
    <t>LAURA YOSHIE TAGAWA MIYAJIMA</t>
  </si>
  <si>
    <t>LUZIA DE CASTRO</t>
  </si>
  <si>
    <t>MARIA DE LOURDES DA SILVA MOREIRA</t>
  </si>
  <si>
    <t>MARIA EDUARDA MARTINS</t>
  </si>
  <si>
    <t>MARIA HELENA ZAGABRIA DE LIMA</t>
  </si>
  <si>
    <t>MARIA ROSENILDA DE ARAUJO</t>
  </si>
  <si>
    <t>NATALY MARIA CORDOVA</t>
  </si>
  <si>
    <t>PRISCILA GUADANHIN KICHELESKI</t>
  </si>
  <si>
    <t>RAFAELA DOS SANTOS SEBASTIAO</t>
  </si>
  <si>
    <t>RAFAELA LEMES PRADES</t>
  </si>
  <si>
    <t>ROBSON GUSTAVO VERGINIO</t>
  </si>
  <si>
    <t>ROSEMARY LEITE DE SOUZA DOS SANTOS</t>
  </si>
  <si>
    <t>FLAVIO CALIXTO DOS SANTOS</t>
  </si>
  <si>
    <t>GERENTE DE FRIOS - LOJA 07</t>
  </si>
  <si>
    <t>MATHEUS DIAS FERREIRA</t>
  </si>
  <si>
    <t>REPOSITOR (A) - FRIOS - CAMARA FRIA  - LOJA 07</t>
  </si>
  <si>
    <t>SILVIA PEREIRA DA SILVA</t>
  </si>
  <si>
    <t>MARAIZA DE ARRUDA PEDROSO</t>
  </si>
  <si>
    <t>GERENTE DE HORTIFRUTI - LOJA 07</t>
  </si>
  <si>
    <t>ALEX SANDRO DE SOUZA</t>
  </si>
  <si>
    <t>REPOSITOR - HORTIFRUTI - LOJA 07</t>
  </si>
  <si>
    <t>FABIO ALEXANDRE ROSA DA SILVA</t>
  </si>
  <si>
    <t>GABRIEL ALEXANDRE MARTINS DE OLIVEIRA</t>
  </si>
  <si>
    <t>AMANDA NICACIO CORDEIRO DA SILVA</t>
  </si>
  <si>
    <t>07/11/2023</t>
  </si>
  <si>
    <t>BALCONISTA - PANIFICACAO - LOJA 07</t>
  </si>
  <si>
    <t>SIMONE ARAKAKI</t>
  </si>
  <si>
    <t>29/07/2024</t>
  </si>
  <si>
    <t>SUZANA JOSE DA COSTA</t>
  </si>
  <si>
    <t>02/11/2024</t>
  </si>
  <si>
    <t>COZINHEIRO(A) - LOJA 7</t>
  </si>
  <si>
    <t>ALICE APARECIDA DE OLIVEIRA</t>
  </si>
  <si>
    <t>ZELADOR (A) - LIMPEZA - LOJA 07</t>
  </si>
  <si>
    <t>APARECIDA DE ARRUDA PEDROSO</t>
  </si>
  <si>
    <t>ELEANDRA DA SILVA JESUS</t>
  </si>
  <si>
    <t>JULLIA GABRIELY NUNES</t>
  </si>
  <si>
    <t>SG-QT 16:00-18:00SEX14:00-18:0</t>
  </si>
  <si>
    <t>PEDRO HENRIQUE FERREIRA DE FARIAS</t>
  </si>
  <si>
    <t>KEROLAYNE RODRIGUES GOUDINHO</t>
  </si>
  <si>
    <t>DAIANE PRISCILA MOTA RAMOS</t>
  </si>
  <si>
    <t>GERENTE DE REPOSICAO DE MERCADORIAS - LOJA - LOJA 07</t>
  </si>
  <si>
    <t>LEANDRO GUEDES MENEZES</t>
  </si>
  <si>
    <t>GERENTE DE LOJA - ADMINISTRATIVO E OPERACIONAL  - LOJA 07</t>
  </si>
  <si>
    <t>REPOSITOR - LOJA - LOJA 07</t>
  </si>
  <si>
    <t>ANGELA MARIA DA CONCEIÇÃO SILVA</t>
  </si>
  <si>
    <t>FLAVIA PAULA GOMES</t>
  </si>
  <si>
    <t>RECEBEDOR (A) - LOJA 07</t>
  </si>
  <si>
    <t>JULIO ELIAS SENE DA SILVA</t>
  </si>
  <si>
    <t>LUIZ HENRIQUE ALVES</t>
  </si>
  <si>
    <t>MARLI RODRIGUES DA ROCHA GOUDINHO</t>
  </si>
  <si>
    <t>REPOSITOR (A) - LOJA - WALK IN COOLER - LOJA 07</t>
  </si>
  <si>
    <t>JOSE AUGUSTO DA ROSA</t>
  </si>
  <si>
    <t>CELINE VIEIRA DOS SANTOS</t>
  </si>
  <si>
    <t>DAIANE PRISCILA DIAMANTINO BORGES</t>
  </si>
  <si>
    <t>AUX DE PRODUCAO DE ALIMENTOS - LOJA 7</t>
  </si>
  <si>
    <t>JERUZA ANA LUCIA TAGO DE SOUZA</t>
  </si>
  <si>
    <t>JHENIFFER SUELEM HENRIQUES ALEIXO</t>
  </si>
  <si>
    <t>JOAO LUCAS DOMINGUES BRANDES</t>
  </si>
  <si>
    <t>JOSIANE ZANDONA MENDES DO NASCIMENTO</t>
  </si>
  <si>
    <t>KAREN RAFAELA ALVES DA SILVA</t>
  </si>
  <si>
    <t>MARCIA TIEMI KAYANUMA</t>
  </si>
  <si>
    <t>SG-SB 05:50-11:30 13:20-15:00</t>
  </si>
  <si>
    <t>WILMA APARECIDA DOS SANTOS NUNES</t>
  </si>
  <si>
    <t>JOZIANE BIGNARDI DOS SANTOS</t>
  </si>
  <si>
    <t>PADEIRO (A) - PANIFICACAO - LOJA 07</t>
  </si>
  <si>
    <t>DAIANE CRISTINA DOS SANTOS</t>
  </si>
  <si>
    <t>SEG/SB 13:10 15:00 16:50 22:20</t>
  </si>
  <si>
    <t>ACOUGUEIRO (A) - PERECIVEIS E FIAMBRERIA - LOJA 08</t>
  </si>
  <si>
    <t>MARILEI RODRIGUES DA ROSA</t>
  </si>
  <si>
    <t>NEIDE APARECIDA RODRIGUES</t>
  </si>
  <si>
    <t>UDISON SOUZA MACHADO</t>
  </si>
  <si>
    <t>VITOR DE FREITAS FARIAS</t>
  </si>
  <si>
    <t>LETICIA MIRANDA COSTA</t>
  </si>
  <si>
    <t>MAURO CESAR SANTOS</t>
  </si>
  <si>
    <t>GERENTE DE PERECIVEIS E FIAMBRERIA - LOJA 08</t>
  </si>
  <si>
    <t>ALICE VITORIA DOS SANTOS FONTES</t>
  </si>
  <si>
    <t>ANALISTA DE RECURSOS HUMANOS</t>
  </si>
  <si>
    <t>CONFEITEIRO - PRODUCAO DE ALIMENTOS - LOJA 08</t>
  </si>
  <si>
    <t>RENARA NASCIMENTO DA CUNHA</t>
  </si>
  <si>
    <t>CONFERENTE - DEPOSITO - LOJA 08</t>
  </si>
  <si>
    <t>JULIO CEZAR DE ALMEIDA</t>
  </si>
  <si>
    <t>AUXILIAR GERAL - FRENTE DE CAIXA  - LOJA 08</t>
  </si>
  <si>
    <t>LUCIANO MARCOLINO</t>
  </si>
  <si>
    <t>MOISES BEZERRA DA SILVA</t>
  </si>
  <si>
    <t>PRISCILA THIEME DE OLIVEIRA CARVALHO</t>
  </si>
  <si>
    <t>CHARLENE DE OLIVEIRA</t>
  </si>
  <si>
    <t>ELIZIANE EMILY BALDUINO DO NASCIMENTO</t>
  </si>
  <si>
    <t>STEFANY CAROLINE DUARTE DE OLIVEIRA</t>
  </si>
  <si>
    <t>ADRIANO GONCALVES DE ALMEIDA</t>
  </si>
  <si>
    <t>AILTON SGRIGNOLI</t>
  </si>
  <si>
    <t>ANDREIA DA COSTA JUAZEIRO</t>
  </si>
  <si>
    <t>BRUNA VITORIA ARAUJO DOS SANTOS</t>
  </si>
  <si>
    <t>CASSIANE FERREIRA DE OLIVEIRA</t>
  </si>
  <si>
    <t>ELZILAINE JORGE</t>
  </si>
  <si>
    <t>EMILLY DOS SANTOS LIMA</t>
  </si>
  <si>
    <t>GRAZIELE PALADINI</t>
  </si>
  <si>
    <t>HELEN MARCIA BUENO SALCA</t>
  </si>
  <si>
    <t>JESSICA JAQUELINE BANDO</t>
  </si>
  <si>
    <t>JORGE CARLOS DE FREITAS</t>
  </si>
  <si>
    <t>JULIANA APARECIDA PEREIRA DA SILVA</t>
  </si>
  <si>
    <t>ROSANGELA BERGAMASCO</t>
  </si>
  <si>
    <t>SUELI FORTUNATO DE SOUZA</t>
  </si>
  <si>
    <t>TEREZA OLEGARIO DA SILVA</t>
  </si>
  <si>
    <t>IZANETE LADEIRA</t>
  </si>
  <si>
    <t>BALCONISTA - FRIOS - LOJA 08</t>
  </si>
  <si>
    <t>MARIA LUCIMAR SCHIAVONI</t>
  </si>
  <si>
    <t>NILCE MARIA DE OLIVEIRA</t>
  </si>
  <si>
    <t>MARCIEL ISAIAS PEREZ</t>
  </si>
  <si>
    <t>GERENTE DE FRIOS - LOJA 08</t>
  </si>
  <si>
    <t>REPOSITOR (A) - FRIOS - CAMARA FRIA - LOJA 08</t>
  </si>
  <si>
    <t>JOSE CARLOS VALIM</t>
  </si>
  <si>
    <t>ESTOQUISTA DE FRIOS</t>
  </si>
  <si>
    <t>PEDRO HENRIQUE RAMOS DOURADO</t>
  </si>
  <si>
    <t>OSVALDO ALEXANDRE JUNIOR</t>
  </si>
  <si>
    <t>GERENTE DE HORTIFRUTI - LOJA 08</t>
  </si>
  <si>
    <t>ANA PAULA VIOTTO</t>
  </si>
  <si>
    <t>REPOSITOR - HORTIFRUTI - LOJA 08</t>
  </si>
  <si>
    <t>TASSIO NUNES DE OLIVEIRA</t>
  </si>
  <si>
    <t>RODRIGO DOS SANTOS</t>
  </si>
  <si>
    <t>16/04/2022</t>
  </si>
  <si>
    <t>GERENTE DE PRODUCAO DE ALIMENTOS - LOJA 08</t>
  </si>
  <si>
    <t>ZELADOR (A) - LIMPEZA  - LOJA 08</t>
  </si>
  <si>
    <t>RUTE AMORIM</t>
  </si>
  <si>
    <t>GABRIEL CARLOS DE PAULA MACHADO</t>
  </si>
  <si>
    <t>SG-TER(CURSO) QUA-SX15:30-19:3</t>
  </si>
  <si>
    <t>MIGUEL ANTONIO RODRIGUES DA SILVA</t>
  </si>
  <si>
    <t>SABRINA TONASSI XAVIER</t>
  </si>
  <si>
    <t>CARTAZISTA - LOJA - LOJA 08</t>
  </si>
  <si>
    <t>ANDRIELLY DE SOUZA DE OLIVEIRA</t>
  </si>
  <si>
    <t>GERENTE DE REPOSICAO DE MERCADORIAS - LOJA - LOJA 08</t>
  </si>
  <si>
    <t>ANTONIEL CAMPOS DE SOUZA</t>
  </si>
  <si>
    <t>GENEIR DONATO DIAS SOBRINHO</t>
  </si>
  <si>
    <t>REPOSITOR (A) - LOJA - LOJA 08</t>
  </si>
  <si>
    <t>DANIEL COSTA DOS SANTOS FILHO</t>
  </si>
  <si>
    <t>REPOSITOR (A) - LOJA - WALK IN COOLER - LOJA 08</t>
  </si>
  <si>
    <t>DIOGO MARINHO DE SOUSA</t>
  </si>
  <si>
    <t>REPOSITOR - FRIOS - LOJA 08</t>
  </si>
  <si>
    <t>GABRIEL CAETANO</t>
  </si>
  <si>
    <t>HELOISA CAROLINA SILVA MEIATTO</t>
  </si>
  <si>
    <t>MARLON BRENDON TESTONI</t>
  </si>
  <si>
    <t>YTALON FELIPPE DE OLIVEIRA</t>
  </si>
  <si>
    <t>JOSE MANUEL RENGEL QUINTANA</t>
  </si>
  <si>
    <t>GERENTE OPERACIONAL - ADMINISTRATIVO E OPERACIONAL - LOJA 08</t>
  </si>
  <si>
    <t>BALCONISTA - PRODUCAO DE ALIMENTOS - PANIFICACAO - LOJA 08</t>
  </si>
  <si>
    <t>ANA JULIA RODRIGUES DE LIMA</t>
  </si>
  <si>
    <t>AUXILIAR DE PRODUCAO DE ALIMENTOS - LOJA 08</t>
  </si>
  <si>
    <t>ANIELE CAROLINA APARECIDA BARBOSA</t>
  </si>
  <si>
    <t>ANTONIA ELENEIDE SOUSA SUMITA</t>
  </si>
  <si>
    <t>JESSICA CAROLINE GOMES CUSTODIO SANTOS</t>
  </si>
  <si>
    <t>MAYARA HONORIO GUIMARAES</t>
  </si>
  <si>
    <t>BRUNA GABRIELLA BRANCATTI DOS SANTOS</t>
  </si>
  <si>
    <t>GILMAR OSANO DO CARMO</t>
  </si>
  <si>
    <t>PADEIRO - PRODUCAO DE ALIMENTOS - LOJA 08</t>
  </si>
  <si>
    <t>LUCIANA VIEIRA RODRIGUES</t>
  </si>
  <si>
    <t>SALGADEIRO - PRODUCAO DE ALIMENTOS - LOJA 08</t>
  </si>
  <si>
    <t>SEBASTIAO LUCAS</t>
  </si>
  <si>
    <t>AGENTE DE PREVENCAO DE PERDAS - LOJA - LOJA 08</t>
  </si>
  <si>
    <t>JOAO CLEBER MOI DE SOUZA</t>
  </si>
  <si>
    <t>AGENTE DE PREVENCAO DE PERDAS</t>
  </si>
  <si>
    <t>QUECY JONES PADILHA DA CRUZ</t>
  </si>
  <si>
    <t>RAFAEL RODRIGUES PEREIRA</t>
  </si>
  <si>
    <t>RAFAEL VINICIUS GUILHERME</t>
  </si>
  <si>
    <t>VANDIVALDO ANTUNES RODRIGUES</t>
  </si>
  <si>
    <t>ELAINE DE JESUS  SANTOS</t>
  </si>
  <si>
    <t>COZINHEIRO - PRODUCAO DE ALIMENTOS - LOJA 08</t>
  </si>
  <si>
    <t>EMILAR JANETT GUTIERREZ TOVAR</t>
  </si>
  <si>
    <t>MANOEL DEPIERE MARTINS</t>
  </si>
  <si>
    <t>SUPERVISOR DE PERECIVEIS E FIAMBRERIA - CD</t>
  </si>
  <si>
    <t>ADRIANO ROGER MARTINS</t>
  </si>
  <si>
    <t>ANALISTA DE DESEMPENHO</t>
  </si>
  <si>
    <t>ALINE FERNANDES</t>
  </si>
  <si>
    <t>SG-SX 8:30-18:00 SB 9:00-13:00</t>
  </si>
  <si>
    <t>FATURISTA - CD</t>
  </si>
  <si>
    <t>AMANDA FABILA JOLO CARNIATO</t>
  </si>
  <si>
    <t>ASSISTENTE DE RH - NV III - CD</t>
  </si>
  <si>
    <t>SG-SX 07:30-12:00 13:12-17:30</t>
  </si>
  <si>
    <t>FINANCEIRO</t>
  </si>
  <si>
    <t>CLAUDIA DOS SANTOS GONCALVES</t>
  </si>
  <si>
    <t>ASSISTENTE ADMINISTRATIVO - COBRANCA</t>
  </si>
  <si>
    <t>FABIANA DE OLIVEIRA CAVALHEIRO DE MORAES</t>
  </si>
  <si>
    <t>FERNANDA CLAUDIANA RAIA SPAZIANI</t>
  </si>
  <si>
    <t>ASSISTENTE ADMINISTRATIVO - FINANCEIRO - CD</t>
  </si>
  <si>
    <t>ASSISTENTE ADMINISTRATIVO - ESCRITORIO - CD</t>
  </si>
  <si>
    <t>ASSISTENTE CONTABIL NV II-CD</t>
  </si>
  <si>
    <t>LAIS NAYARA MARTINS DE OLIVEIRA</t>
  </si>
  <si>
    <t>SG-SX 07:30-12:00 14:00-18:18</t>
  </si>
  <si>
    <t>ASSISTENTE ADMINISTRATIVO - CD</t>
  </si>
  <si>
    <t>LAUDICEIA FERNANDES RIBEIRO</t>
  </si>
  <si>
    <t>LAYS CAROLINE ALEXANDRE</t>
  </si>
  <si>
    <t>LOURDES MARIA DE ALMEIDA</t>
  </si>
  <si>
    <t>LUCIANA DEL CONTI BRANCO</t>
  </si>
  <si>
    <t>SG-SX 07:00-12:00 13:12-17:00</t>
  </si>
  <si>
    <t>LUCIMAR AUGUSTO DA SILVA DE SOUZA</t>
  </si>
  <si>
    <t>SG-SX 07:30-12:00 13:42-18:00</t>
  </si>
  <si>
    <t>TECNICO DE SEGURANCA</t>
  </si>
  <si>
    <t>MARIA JULIANE ANACLETO DE OLIVEIRA</t>
  </si>
  <si>
    <t>NATALY DOS SANTOS MORAIS</t>
  </si>
  <si>
    <t>PAULO SERGIO VITAL</t>
  </si>
  <si>
    <t>RAYANE RAMOS NUNES</t>
  </si>
  <si>
    <t>ASSISTENTE DE DEPARTAMENTO PESSOAL - NV I</t>
  </si>
  <si>
    <t>SILVANA RODRIGUES DE SOUZA</t>
  </si>
  <si>
    <t>VANDERLEA PEREIRA DE SOUZA DA SILVA</t>
  </si>
  <si>
    <t>ASSISTENTE DE DEPARTAMENTO PESSOAL - NV III</t>
  </si>
  <si>
    <t>BIANCA FERREIRA DA COSTA</t>
  </si>
  <si>
    <t>AUXILIAR ADMINISTRATIVO (CD)</t>
  </si>
  <si>
    <t>BRUNA KAWANA TIMOTEO</t>
  </si>
  <si>
    <t>RAQUEL ADRIELE CIRQUEIRA</t>
  </si>
  <si>
    <t>AUXILIAR ADMINISTRATIVO - ESCRITORIO</t>
  </si>
  <si>
    <t>SUELEN DE LIMA GONCALVES ATAIDE</t>
  </si>
  <si>
    <t>CLAUDINEIA SILVA FAZAN</t>
  </si>
  <si>
    <t>ENCARREGADO DE ESCRITORIO - ESCRITORIO</t>
  </si>
  <si>
    <t>ELIETE APARECIDA MARTINES GABARDO</t>
  </si>
  <si>
    <t>GERENTE DE PREVENCAO DE PERDAS- CD</t>
  </si>
  <si>
    <t>LUCIANA APARECIDA SOARES HOMEM GRESPAN</t>
  </si>
  <si>
    <t>ENCARREGADO(A) DE DEPARTAMENTO PESSOAL</t>
  </si>
  <si>
    <t>WILLIAN DE OLIVEIRA HERRERO</t>
  </si>
  <si>
    <t>ENCARREGADO CONTABILIDADE CD</t>
  </si>
  <si>
    <t>GUILHERME MOLINARI GARCIA SILVEIRA</t>
  </si>
  <si>
    <t>AUXILIAR DE ESCRITORIO - ESCRITORIO</t>
  </si>
  <si>
    <t>ISAEL FERNANDES DA SILVA</t>
  </si>
  <si>
    <t>SUPERVISOR DE PROCESSOS - CD</t>
  </si>
  <si>
    <t>COMPRADOR - COMPRAS</t>
  </si>
  <si>
    <t>FABIO JUNIOR DUTRA</t>
  </si>
  <si>
    <t>COORDENADOR COMERCIAL - CD</t>
  </si>
  <si>
    <t>LUCAS GUIMARAES SANTOS</t>
  </si>
  <si>
    <t>LUCAS MATVEICHUK CHERNEV</t>
  </si>
  <si>
    <t>COMPRADOR - CD</t>
  </si>
  <si>
    <t>MARCELO GIMENEZ RUFINI</t>
  </si>
  <si>
    <t>COMPRADOR(A)- CD</t>
  </si>
  <si>
    <t>AUXILIAR DE DEPOSITO - DEPOSITO DISTRIBUICAO LOJAS</t>
  </si>
  <si>
    <t>ALEXANDER LOURENCO CARVALHO MASSINI</t>
  </si>
  <si>
    <t>SG,QA,SX 02-10:30 TR,QI,SB...</t>
  </si>
  <si>
    <t>AUXILIAR GERAL</t>
  </si>
  <si>
    <t>AUXILIAR DE DEPOSITO - DEPOSITO MECADORIAS - VENDAS A</t>
  </si>
  <si>
    <t>ANTONIO VINICIUS DOS SANTOS ABRAHAO</t>
  </si>
  <si>
    <t>BRUNO HENRIQUE DA SILVA MARCELINO</t>
  </si>
  <si>
    <t>CLEVENICE AMARO</t>
  </si>
  <si>
    <t>AUXILIAR DE DEPOSITO - DEPOSITO ARMAZENAMENTO</t>
  </si>
  <si>
    <t>EDSON FERREIRA</t>
  </si>
  <si>
    <t>ERICK KAUAN GABARDO FARIA</t>
  </si>
  <si>
    <t>FABRICIO HENRIQUE RODRIGUES DOS SANTOS</t>
  </si>
  <si>
    <t>GUILHERME ANDRE DZIURA SANTOS</t>
  </si>
  <si>
    <t>GUILHERME DE ALMEIDA MONTEIRO</t>
  </si>
  <si>
    <t>GUILHERME SILVA DE SOUZA</t>
  </si>
  <si>
    <t>GUSTAVO WILGNEIR MORRO</t>
  </si>
  <si>
    <t>HELTON LUIZ LACERDA IWASSA</t>
  </si>
  <si>
    <t>IDAEL ALVAREZ ALVAREZ</t>
  </si>
  <si>
    <t>JAQUELINE DE SOUSA RIBEIRO</t>
  </si>
  <si>
    <t>JOSUE CARNEIRO RODRIGUES DA SILVA</t>
  </si>
  <si>
    <t>KELVIN ALEXANDRO IDELFFONSO</t>
  </si>
  <si>
    <t>LEONIDAS SUMITOMO</t>
  </si>
  <si>
    <t>LUCAS ALVES LUIZ</t>
  </si>
  <si>
    <t>LUIZ CARLOS DIAS SABOIA</t>
  </si>
  <si>
    <t>LUIZ GUSTAVO AZEVEDO DOS SANTOS</t>
  </si>
  <si>
    <t>LUIZ MARCELO SOARES</t>
  </si>
  <si>
    <t>MARCELO MARTINS DA COSTA</t>
  </si>
  <si>
    <t>SG,QA,SX 02:00-10:30</t>
  </si>
  <si>
    <t>MARCOS MIRANDA DA SILVA</t>
  </si>
  <si>
    <t>MARCOS ROBERTO SARTORATO</t>
  </si>
  <si>
    <t>MARCUS VINICIUS DO NASCIMENTO</t>
  </si>
  <si>
    <t>MARIA CIDINALBA SOUZA DE LIRA SANTOS</t>
  </si>
  <si>
    <t>MARIA EDUARDA PEREIRA DE PAULA</t>
  </si>
  <si>
    <t>MARLON DIOGO AZEVEDO ELIAS</t>
  </si>
  <si>
    <t>RHIQUELME HERNANDES DA SILVA</t>
  </si>
  <si>
    <t>SILVIO BUFALO MARTINS</t>
  </si>
  <si>
    <t>WILSON TSUYOSHI TAMURA</t>
  </si>
  <si>
    <t>AUXILIAR GERAL - DEPOSITO DISTRIBUICAO LOJAS</t>
  </si>
  <si>
    <t>WESLEY HENRIQUE GIEHL BAUMGRATZ</t>
  </si>
  <si>
    <t>OPERADOR (A) CAMARA FRIA -  - DEPOSITO MECADORIAS - VENDAS A</t>
  </si>
  <si>
    <t>ADEILTON MORAIS SIQUEIRA</t>
  </si>
  <si>
    <t>ARI CARVALHO</t>
  </si>
  <si>
    <t>CARLOS HENRIQUE CARVALHO</t>
  </si>
  <si>
    <t>FABIO LEONARDO TONACIO</t>
  </si>
  <si>
    <t>CONFERENTE - DEPOSITO DISTRIBUICAO LOJAS</t>
  </si>
  <si>
    <t>FELIPE GOMES MENANE</t>
  </si>
  <si>
    <t>GABRIEL HENRIQUE CAMPEOTTO</t>
  </si>
  <si>
    <t>JEFERSON JOSE ROBERTO</t>
  </si>
  <si>
    <t>JESSE ROQUE RODRIGUES JUNIOR</t>
  </si>
  <si>
    <t>CONFERENTE - DEPOSITO MECADORIAS - VENDAS A</t>
  </si>
  <si>
    <t>LETICIA AMARO ROSSATTI</t>
  </si>
  <si>
    <t>LUCAS DOS SANTOS</t>
  </si>
  <si>
    <t>MARCIO LOUVO</t>
  </si>
  <si>
    <t>NATHALIA DE OLIVEIRA MORENO</t>
  </si>
  <si>
    <t>SG-SX 7:30-17:00 SB 08:00-12:0</t>
  </si>
  <si>
    <t>SERGIO AKAISHI YAMASHITA</t>
  </si>
  <si>
    <t>SILVIA MARIA GARCIA SILVEIRA GELIO</t>
  </si>
  <si>
    <t>CONFERENTE - DEPOSITO TROCAS</t>
  </si>
  <si>
    <t>VINICIUS SAMPAIO BARROTO</t>
  </si>
  <si>
    <t>WESLEY ROBERTO BRASILIANO DE OLIVEIRA</t>
  </si>
  <si>
    <t>EVERTON VIVALDO DOS SANTOS</t>
  </si>
  <si>
    <t>OPERADOR (A) DE EMPILHADEIRA</t>
  </si>
  <si>
    <t>GILMAR BORTOLI JUNIOR</t>
  </si>
  <si>
    <t>OPERADOR (A) DE EMPILHADEIRA - DEPOSITO LOGISTICA</t>
  </si>
  <si>
    <t>MANOEL MARCELO DE FIGUEIREDO</t>
  </si>
  <si>
    <t>RODRIGO SIQUEIRA REZENDE</t>
  </si>
  <si>
    <t>SANDRINA APARECIDA GOMES</t>
  </si>
  <si>
    <t>VALDIR INACIO SIQUEIRA</t>
  </si>
  <si>
    <t>DIORGENIS JOSE DIAS OLIVEIRA LIMA</t>
  </si>
  <si>
    <t>ENCARREGADO (A) DE DEPOSITO</t>
  </si>
  <si>
    <t>OSMAR GARCIA MORAIS</t>
  </si>
  <si>
    <t>ENCARREGADO (A) DE DEPOSITO - DEPOSITO DISTR.LOJAS - CAM.FRI</t>
  </si>
  <si>
    <t>WANDERLEI IGNACIO SIQUEIRA JUNIOR</t>
  </si>
  <si>
    <t>GERENTE DE RECEBIMENTO E EXPEDICAO DE MERCADORIAS</t>
  </si>
  <si>
    <t>WILLIAN SORCE DOS SANTOS</t>
  </si>
  <si>
    <t>ENCARREGADO (A) DE DEPOSITO - DEPOSITO MECADORIAS - VENDAS A</t>
  </si>
  <si>
    <t>REGIA GARDENIA BATISTA LIMA</t>
  </si>
  <si>
    <t>GERENTE - DEPOSITO DISTRIBUICAO LOJAS E ARMAZENAMENTO</t>
  </si>
  <si>
    <t>REGINALDO LARA PAVEZI</t>
  </si>
  <si>
    <t>ARTHUR BENETTI</t>
  </si>
  <si>
    <t>APRENDIZ - DEPOSITO TROCAS</t>
  </si>
  <si>
    <t>MARIANA CAROLINE PEGORIN</t>
  </si>
  <si>
    <t>VITOR HUGO PEREIRA DE SOUZA PEDRO</t>
  </si>
  <si>
    <t>ADERVAL DOS SANTOS</t>
  </si>
  <si>
    <t>MOTORISTA TRUCK - DEPOSITO LOGISTICA</t>
  </si>
  <si>
    <t>CLAUDINEI SOARES CORREA</t>
  </si>
  <si>
    <t>DEJAIR CANDIDO COELHO</t>
  </si>
  <si>
    <t>EVERTON APARECIDO TOMAZ</t>
  </si>
  <si>
    <t>GILMAR PAULO FONSECA</t>
  </si>
  <si>
    <t>SG-SB 11:00-15:00 17:00-20:20</t>
  </si>
  <si>
    <t>JESIEL MATEUS DOS SANTOS MASCHETO</t>
  </si>
  <si>
    <t>JOAO PEREIRA DA SILVA</t>
  </si>
  <si>
    <t>WESLEY ERIEL MAGRO</t>
  </si>
  <si>
    <t>MARIA APARECIDA DA SILVA</t>
  </si>
  <si>
    <t>08/08/2024</t>
  </si>
  <si>
    <t>ZELADOR (A)</t>
  </si>
  <si>
    <t>CLAUDINEIA GONÇALVES DOS SANTOS</t>
  </si>
  <si>
    <t>ROSANGELA ALVES</t>
  </si>
  <si>
    <t>ZELADOR (A) - LIMPEZA - CD</t>
  </si>
  <si>
    <t>SANDRA MARIA LIMA TESTI</t>
  </si>
  <si>
    <t>VERA LUCIA VIEIRA</t>
  </si>
  <si>
    <t>ANDREY CARLOS PEDRINHO</t>
  </si>
  <si>
    <t>ELETRICISTA</t>
  </si>
  <si>
    <t>CLAUDINEI DE SOUSA</t>
  </si>
  <si>
    <t>JOSE ARMANDO DA SILVA</t>
  </si>
  <si>
    <t>LEANDRO GRAVICOSKI DA SILVA</t>
  </si>
  <si>
    <t>LUCAS VINICIUS BIBILACO DE SOUZA</t>
  </si>
  <si>
    <t>AUXILIAR DE ELETRICISTA</t>
  </si>
  <si>
    <t>PEDRO GRAVICOSKI DA SILVA</t>
  </si>
  <si>
    <t>SG-SB 07:30-12:00 13:30-16:20</t>
  </si>
  <si>
    <t>ELETROTECNICO</t>
  </si>
  <si>
    <t>WELLINGTON BATISTA DAUDT</t>
  </si>
  <si>
    <t>JOSE WANDERSON DA SILVA</t>
  </si>
  <si>
    <t>PEDREIRO</t>
  </si>
  <si>
    <t>LUIS CARLOS SCHLOSSAREK</t>
  </si>
  <si>
    <t>CRISTIANO AMADEU DE ALENCAR</t>
  </si>
  <si>
    <t>PINTOR</t>
  </si>
  <si>
    <t>MAX WILLIAM DE MIRA</t>
  </si>
  <si>
    <t>AJUDANTE DE PINTOR</t>
  </si>
  <si>
    <t>HEVERTON CLAUS DA SILVA</t>
  </si>
  <si>
    <t>SUPERVISOR DE PROCESSOS ALIMENTICIOS - CD</t>
  </si>
  <si>
    <t>GIOVANI MANTOVANI MOLINARI</t>
  </si>
  <si>
    <t>SOCIO GERENTE</t>
  </si>
  <si>
    <t>JOAO VITOR FAILE ZORZELA</t>
  </si>
  <si>
    <t>LEANDRO JOSE GARCIA SILVEIRA</t>
  </si>
  <si>
    <t>Legado/Migração</t>
  </si>
  <si>
    <t>PABLO MOLINARI</t>
  </si>
  <si>
    <t>SOCIO GERENTE - LOJA 01</t>
  </si>
  <si>
    <t>SUSANA ANDREIA DE OLIVERIA MOLINARI</t>
  </si>
  <si>
    <t>ERICK APARECIDO CAVALAR DE SOUZA</t>
  </si>
  <si>
    <t>ASSISTENTE DE T.I.</t>
  </si>
  <si>
    <t>LUCAS EIDI MAKIYAMA</t>
  </si>
  <si>
    <t>VAGNER RODRIGO DE OLIVEIRA</t>
  </si>
  <si>
    <t>TECNICO EM INFORMATICA - T.I.</t>
  </si>
  <si>
    <t>ADILSON APARECIDO FERNANDES</t>
  </si>
  <si>
    <t>VENDEDOR INTERNO - VENDAS</t>
  </si>
  <si>
    <t>ALINE MARIANA BENITES NAGI</t>
  </si>
  <si>
    <t>VENDEDOR INTERNO - CD</t>
  </si>
  <si>
    <t>ELIANE SILVA CONCEICAO DE SOUSA</t>
  </si>
  <si>
    <t>MIQUEIAS CHAVIER DA SILVA</t>
  </si>
  <si>
    <t>ALINE VILELA</t>
  </si>
  <si>
    <t>FATURISTA - ADM</t>
  </si>
  <si>
    <t>KELCI MONIQUE GUERRA DANTAS</t>
  </si>
  <si>
    <t>VANESSA MARQUES BARBOSA</t>
  </si>
  <si>
    <t>ASSISTENTE ADMINISTRATIVO - ADM</t>
  </si>
  <si>
    <t>VICTOR HUGO LIMA</t>
  </si>
  <si>
    <t>ANDERSON MOURA DE MORAES</t>
  </si>
  <si>
    <t>JOELCIO BORGES</t>
  </si>
  <si>
    <t>WANDERLEY IGNACIO SIQUEIRA</t>
  </si>
  <si>
    <t>CLAUDECIR DA SILVA</t>
  </si>
  <si>
    <t>GLICERIO DE JESUS CARVALHO</t>
  </si>
  <si>
    <t>IGOR MARTINS MADUREIRA DA SILVA</t>
  </si>
  <si>
    <t>VENDAS</t>
  </si>
  <si>
    <t>JHONY WILSON VASCONCELOS RIBEIRO</t>
  </si>
  <si>
    <t>VENDEDOR INTERNO</t>
  </si>
  <si>
    <t>MARCIO DE CARVALHO SENA</t>
  </si>
  <si>
    <t>SILVIO TELLES DA SILVA NETTO</t>
  </si>
  <si>
    <t>ADEMILTO MOLINARI</t>
  </si>
  <si>
    <t>ADEMIR MOLINARI</t>
  </si>
  <si>
    <t>ADRIANO MOLINARI</t>
  </si>
  <si>
    <t>ANA PAULA PIEROBOM DELPHINO</t>
  </si>
  <si>
    <t>ELAINE MOLINARI</t>
  </si>
  <si>
    <t>ELIANE MOLINARI SILVEIRA</t>
  </si>
  <si>
    <t>GUSTAVO FANTINI MOLINARI</t>
  </si>
  <si>
    <t>NEIMAR MOLINARI</t>
  </si>
  <si>
    <t>VAGNER GALLINA</t>
  </si>
  <si>
    <t>SUPERVISOR DE LOJA - CD</t>
  </si>
  <si>
    <t>Férias</t>
  </si>
  <si>
    <t>Demitido</t>
  </si>
  <si>
    <t>Cód</t>
  </si>
  <si>
    <t>Legenda</t>
  </si>
  <si>
    <t>Descrição Cargo</t>
  </si>
  <si>
    <t>Auxilio Doença</t>
  </si>
  <si>
    <t>Afastamento Acidente Trabaho</t>
  </si>
  <si>
    <t>Afastamento Serviço Militar</t>
  </si>
  <si>
    <t>Licença Maternidade</t>
  </si>
  <si>
    <t>Atestado</t>
  </si>
  <si>
    <t>DESOSSADOR</t>
  </si>
  <si>
    <t>Aposentadoria</t>
  </si>
  <si>
    <t>Acompanhamento Filho Menor</t>
  </si>
  <si>
    <t>Saída Autorizada</t>
  </si>
  <si>
    <t>AGENTE EM PREVENCAO DE PERDAS - LOJA 1</t>
  </si>
  <si>
    <t>AGENTE EM PREVENÇAO DE PERDAS - LOJA 1</t>
  </si>
  <si>
    <t>OPERACIONAL</t>
  </si>
  <si>
    <t>CATIA ROSANA DE OLIVEIRA</t>
  </si>
  <si>
    <t>ADMINISTRATIVO</t>
  </si>
  <si>
    <t>ANALISTA</t>
  </si>
  <si>
    <t>DEPOSITO</t>
  </si>
  <si>
    <t>SUPERVISOR</t>
  </si>
  <si>
    <t>ASSISTENTE</t>
  </si>
  <si>
    <t>TI</t>
  </si>
  <si>
    <t>AUXILIAR DE PRODUCAO DE ALIMENTOS - LOJA 3</t>
  </si>
  <si>
    <t>FRENTE DE CAIXA</t>
  </si>
  <si>
    <t>EMPACOTADOR</t>
  </si>
  <si>
    <t>BALCONISTA - FRIOS - LOJA 3</t>
  </si>
  <si>
    <t>BALCONISTA</t>
  </si>
  <si>
    <t>BALCONISTA DE ACOUGUE - PEREC E FIAMB - LOJA 1</t>
  </si>
  <si>
    <t>BALCONISTA DE ACOUGUE - PEREC E FIAMB - LOJA 4</t>
  </si>
  <si>
    <t>COMPRADOR</t>
  </si>
  <si>
    <t>CONFEITEIRO - PROD DE ALM - LOJA 2</t>
  </si>
  <si>
    <t>HORTIFRUTI</t>
  </si>
  <si>
    <t>REPOSITOR</t>
  </si>
  <si>
    <t>FISCAL DE CAIXA</t>
  </si>
  <si>
    <t>GERENTE DE PERECIVEIS E FIAMBRERIA - LOJA 4</t>
  </si>
  <si>
    <t>GERENTE DE PRODUCAO DE ALIMENTOS - LOJA 2</t>
  </si>
  <si>
    <t>GERENTE OPERACIONAL - LOJA 4</t>
  </si>
  <si>
    <t>OPERADOR (A) DE CAMARA FRIA - LOJA 2</t>
  </si>
  <si>
    <t>REPOSITOR (A) - FRIOS - LOJA 1</t>
  </si>
  <si>
    <t>SOCIO</t>
  </si>
  <si>
    <t>TECNICO</t>
  </si>
  <si>
    <t>VENDEDOR</t>
  </si>
  <si>
    <t>ZELADOR (A) - LIMPEZA - LOJA 1</t>
  </si>
  <si>
    <t>SubEmpresa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</si>
  <si>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</si>
  <si>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</si>
  <si>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</si>
  <si>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</si>
  <si>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</si>
  <si>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</si>
  <si>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</si>
  <si>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</si>
  <si>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</si>
  <si>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</si>
  <si>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</si>
  <si>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</si>
  <si>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</si>
  <si>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Dep</t>
  </si>
  <si>
    <t>Alimento Basico</t>
  </si>
  <si>
    <t>Alimento Industrializado</t>
  </si>
  <si>
    <t>Bazar Geral</t>
  </si>
  <si>
    <t>Bebidas</t>
  </si>
  <si>
    <t>Bomboniere</t>
  </si>
  <si>
    <t>Flores</t>
  </si>
  <si>
    <t>Frios e Congelados</t>
  </si>
  <si>
    <t>Frios</t>
  </si>
  <si>
    <t>Higiene e Perfumaria</t>
  </si>
  <si>
    <t>Hortifruti</t>
  </si>
  <si>
    <t>Laticinios</t>
  </si>
  <si>
    <t>Materiais e Serviços</t>
  </si>
  <si>
    <t>Padaria Industrializada</t>
  </si>
  <si>
    <t>Peixaria</t>
  </si>
  <si>
    <t>06/06/2026</t>
  </si>
  <si>
    <t>ISAQUE VITOR BASTOS</t>
  </si>
  <si>
    <t>MARIA ANGELICA RODRIGUEZ PEREZ</t>
  </si>
  <si>
    <t>LUNA ALVES DOS SANTOS</t>
  </si>
  <si>
    <t>ERIC DONIZETI FRANCO</t>
  </si>
  <si>
    <t>SG-SX 7:00-16:30 SB 7:00-11:00</t>
  </si>
  <si>
    <t>ENCARREGADO DE DEPOSITO - LOJA 6</t>
  </si>
  <si>
    <t>VITOR EMANUEL LIMA SOFIETE DE SOUZA</t>
  </si>
  <si>
    <t>KLAUS ANTONIO KONRAD</t>
  </si>
  <si>
    <t>ENAILI DUTRA BRANDAO</t>
  </si>
  <si>
    <t>TRAITON DA SILVA LEAL</t>
  </si>
  <si>
    <t>ALINE MATHEUS COUTINHO</t>
  </si>
  <si>
    <t>LUZMARY SARAHIT CHACON YNFANTE</t>
  </si>
  <si>
    <t>LUCINEIA DA SILVA</t>
  </si>
  <si>
    <t>ASSISTENTE DE DP (CD)</t>
  </si>
  <si>
    <t>VITORIA EDUARDA PRODOSSIMO</t>
  </si>
  <si>
    <t>ESTOQUISTA - DEPOSITO - LOJA 08</t>
  </si>
  <si>
    <t>GERENTE DE REPOSIÇÃO DE MERCADORIAS - LOJA 3</t>
  </si>
  <si>
    <t>ZELADOR (A) - LIMPEZA - LOJA 3</t>
  </si>
  <si>
    <t>FILIPE CAUA CASATI TRENTO</t>
  </si>
  <si>
    <t>REPOSITOR (A) - FRIOS - CAMARA FRIA - LOJA 3</t>
  </si>
  <si>
    <t>NAIARA CAROLINE CUSTODIO</t>
  </si>
  <si>
    <t>ENZO GABRIEL SPAZINI DA SILVA</t>
  </si>
  <si>
    <t>IVANILDA CRISTINA CALDEIRA DE ALVARENGA</t>
  </si>
  <si>
    <t>BRYAN RAPHAEL MIRANDA TOTH</t>
  </si>
  <si>
    <t>VANDERSON MELO DE AZEVEDO</t>
  </si>
  <si>
    <t>PAULO CESAR RAMOS DIAS</t>
  </si>
  <si>
    <t>ASSISTENTE CONTABIL NV III-CD</t>
  </si>
  <si>
    <t>CONFEITEIRO(A)</t>
  </si>
  <si>
    <t>FATURISTA</t>
  </si>
  <si>
    <t>PADEIRO(A)</t>
  </si>
  <si>
    <t>JOAO PEDRO QUEIROZ DA SILVA</t>
  </si>
  <si>
    <t>LAERCIO CONSTANTINO DA SILVA</t>
  </si>
  <si>
    <t>22/06/2026</t>
  </si>
  <si>
    <t>ISABELE VITORIA FERREIRA</t>
  </si>
  <si>
    <t>DEISIANE ALBUQUERQUE DE SOUZA</t>
  </si>
  <si>
    <t>GUSTAVO HENRIQUE LIMA DA SILVA</t>
  </si>
  <si>
    <t>LUCILENE DOS SANTOS GOMES</t>
  </si>
  <si>
    <t>SAMUEL HENRIQUE MENDES</t>
  </si>
  <si>
    <t>RICARDO FABIANO DE OLIVEIRA</t>
  </si>
  <si>
    <t>PADEIRO - LOJA 6</t>
  </si>
  <si>
    <t>SARA STEPHANIE FRANCO</t>
  </si>
  <si>
    <t>DAIANE CONCEICAO DOS SANTOS</t>
  </si>
  <si>
    <t>ANA PAULA VIEIRA</t>
  </si>
  <si>
    <t>MEISON LEONEL SARDUY FERNANDEZ</t>
  </si>
  <si>
    <t>MARIA ROSENIL DA SILVA MARYNOWSKI</t>
  </si>
  <si>
    <t>FELIPE DOS SANTOS DE ARAUJO</t>
  </si>
  <si>
    <t>MARIANA LAIS DOS ANJOS</t>
  </si>
  <si>
    <t>EMANUELA RAISSA PINATTI MALTA</t>
  </si>
  <si>
    <t>ALMIR JOSE GONCALVES</t>
  </si>
  <si>
    <t>SERGIO HENRIQUE DE SOUZA</t>
  </si>
  <si>
    <t>BRUNA CAROLINE MASCHETO DOS SANTOS</t>
  </si>
  <si>
    <t>SERGIO DIEGO JORDAO LAGE</t>
  </si>
  <si>
    <t>VICTOR HUGO SANTI DO NASCIMENTO</t>
  </si>
  <si>
    <t>MARIA EDUARDA VASCAO DOS SANTOS</t>
  </si>
  <si>
    <t>DANIELA ALVES MENDES</t>
  </si>
  <si>
    <t>RICIELI ANA MENEGUZZI</t>
  </si>
  <si>
    <t>GABRIELLY GONÇALVES DE SOUZA</t>
  </si>
  <si>
    <t>KAIO RAFAEL VIDAL</t>
  </si>
  <si>
    <t>VITOR FERREIRA</t>
  </si>
  <si>
    <t>IGOR COSTA FIGUEIREDO</t>
  </si>
  <si>
    <t>PAULO ROBERTO TELES FERNANDES</t>
  </si>
  <si>
    <t>GISLAINE APARECIDA RAMOS</t>
  </si>
  <si>
    <t>FELIPE CIRQUEIRA TUASCO</t>
  </si>
  <si>
    <t>26/02/2026</t>
  </si>
  <si>
    <t>KARINI DE ALMEIDA</t>
  </si>
  <si>
    <t>REBECA DA SILVA DE AGUIAR</t>
  </si>
  <si>
    <t>ADAO GUIMARAES SANTOS</t>
  </si>
  <si>
    <t>MARIA EDUARDA PEREIRA RINK</t>
  </si>
  <si>
    <t>02/07/2026</t>
  </si>
  <si>
    <t>GUSTAVO DE ALMEIDA LIMA</t>
  </si>
  <si>
    <t>KAYRON HENRIQUE PIRES DO CARMO</t>
  </si>
  <si>
    <t>LARRY ROY RODRIGUEZ GONZALEZ</t>
  </si>
  <si>
    <t>CARTAZISTA - LOJA 01</t>
  </si>
  <si>
    <t>MARIA EDUARDA BASSANI VIANA</t>
  </si>
  <si>
    <t>ANDREIA SOARES BISPO</t>
  </si>
  <si>
    <t>REPOSITOR (A) - FRIOS - LOJA 2</t>
  </si>
  <si>
    <t>KAUA MACIEL PRATES GUEDES</t>
  </si>
  <si>
    <t>ARTHUR JORGE PALMOCENA BODOT</t>
  </si>
  <si>
    <t>CHRISTOPHER RIAN COSTA DA SILVA</t>
  </si>
  <si>
    <t>YARA REBECA KRUGER CAIRES</t>
  </si>
  <si>
    <t>FABIO JUNIO SIAM</t>
  </si>
  <si>
    <t>SIRLENE DE CARVALHO</t>
  </si>
  <si>
    <t>GABRIEL MATHEUS COLANZI DA SILVA</t>
  </si>
  <si>
    <t>ELIANA DE CAMPOS OLIVEIRA</t>
  </si>
  <si>
    <t>JESSICA ELAINE MARTINS MENDONCA</t>
  </si>
  <si>
    <t>ISMAEL DOURADO DE ALMEIDA</t>
  </si>
  <si>
    <t>JULIANA DE CAMPOS DE OLIVEIRA</t>
  </si>
  <si>
    <t>JACKSON ALBERTO MARCAL</t>
  </si>
  <si>
    <t>VINICIUS GABRIEL LEITE</t>
  </si>
  <si>
    <t>DANIEL SILVA DE SANTANA</t>
  </si>
  <si>
    <t>MATHEUS SANTOS MOURA</t>
  </si>
  <si>
    <t>-</t>
  </si>
  <si>
    <t>06/07/2026</t>
  </si>
  <si>
    <t>GERENTE OPERACIONAL - LOJA 7</t>
  </si>
  <si>
    <t>KAUAN RODRIGO MARTIN DE CAMPOS</t>
  </si>
  <si>
    <t>ANNY EDUARDA LEPPING</t>
  </si>
  <si>
    <t>CLEIDE ESTEVES DA CUNHA</t>
  </si>
  <si>
    <t>ANTONIO APARECIDO AMANCIO</t>
  </si>
  <si>
    <t>ZELADOR (A) - LIMPEZA - LOJA 6</t>
  </si>
  <si>
    <t>WILSON ANTONIO BATISTA SHIMPO</t>
  </si>
  <si>
    <t>MIGUEL RODRIGUES THEODORO</t>
  </si>
  <si>
    <t>MIGUEL MATIAS HERNANDES</t>
  </si>
  <si>
    <t>RENATA PEREIRA</t>
  </si>
  <si>
    <t>LUZIANE CRISTINA PEREIRA DA COSTA</t>
  </si>
  <si>
    <t>MATEUS EDUARDO DE OLIVEIRA ROSA</t>
  </si>
  <si>
    <t>DIEGO SANTANA DOS SANTOS</t>
  </si>
  <si>
    <t>ZELADOR (A) - RESIDENCIA SOCIOS</t>
  </si>
  <si>
    <t>04/07/2026</t>
  </si>
  <si>
    <t>MATHEUS VINICIUS DOS SANTOS VITAL</t>
  </si>
  <si>
    <t>BALCONISTA DE ACOUGUE - PEREC E FIAMB - LOJA 6</t>
  </si>
  <si>
    <t>ACOUGUEIRO (A) DESOSSADOR - PERECIVEIS E FIAMBRERIA - LJ 07</t>
  </si>
  <si>
    <t>GEDALVA LOPES</t>
  </si>
  <si>
    <t>LUCAS EMANUEL RIBEIRO</t>
  </si>
  <si>
    <t>ANTONIO JURACI DIAS</t>
  </si>
  <si>
    <t>JOSÉ MARCIO</t>
  </si>
  <si>
    <t>JOSÉ INACIO</t>
  </si>
  <si>
    <t>MATHEUS ABRANTES</t>
  </si>
  <si>
    <t>ADRIANA WEIZEL</t>
  </si>
  <si>
    <t>SG-SB 07:00-12:00 13:30-15:50</t>
  </si>
  <si>
    <t>YASMYN DE OLIVEIRA BUENO</t>
  </si>
  <si>
    <t>MIZAEL VITOR LOPES CORREIA</t>
  </si>
  <si>
    <t>ESTHER SIMPLICIO GOMES DE OLIVEIRA</t>
  </si>
  <si>
    <t>ASSISTENTE DE DEPARTAMENTO PESSOAL - NV II</t>
  </si>
  <si>
    <t>ADRIANA ARRUDA WAISEL</t>
  </si>
  <si>
    <t>JOÃO INACIO DA SILVA</t>
  </si>
  <si>
    <t>JOSÉ MARCIO BARBOSA</t>
  </si>
  <si>
    <t>MATHEUS ABRANTE MACHADO SILVA</t>
  </si>
  <si>
    <t>GERÊNCIA</t>
  </si>
  <si>
    <t>GESTÃO PESSOAS</t>
  </si>
  <si>
    <t>ATENDENTE</t>
  </si>
  <si>
    <t>ESTACIONAMENTO</t>
  </si>
  <si>
    <t>OPERADOR CAIXA</t>
  </si>
  <si>
    <t>MAURICIO VALLE AFONSO</t>
  </si>
  <si>
    <t>ANDRE SILVA KOVALSKI</t>
  </si>
  <si>
    <t>KETLYN CAROLINE CASTANHA</t>
  </si>
  <si>
    <t>JOAO PAULO DA SILVA MOURA</t>
  </si>
  <si>
    <t>CLAUDETE GONÇALVES DE MEIRA SINGOLANI</t>
  </si>
  <si>
    <t>LEONARDO TEODORO DA SILVA</t>
  </si>
  <si>
    <t>LUIS CARLOS FRANCISCO</t>
  </si>
  <si>
    <t>MARINETE DA SILVA</t>
  </si>
  <si>
    <t>PEDRO EMANUEL CAMILO VARELA</t>
  </si>
  <si>
    <t>GUSTAVO HENRIQUE ANTONIO DE MELLO</t>
  </si>
  <si>
    <t>KAUANE BALDOINO DOMINGOS</t>
  </si>
  <si>
    <t>ISADORA NOBREGA DOMINGOS</t>
  </si>
  <si>
    <t>JULIANA APARECIDA JACOBE</t>
  </si>
  <si>
    <t>VINICIUS DE OLIVEIRA</t>
  </si>
  <si>
    <t>MOEMI HENRIQUE CAJUEIRO DA SILVA</t>
  </si>
  <si>
    <t>ANA PAULA BISPO BENTO</t>
  </si>
  <si>
    <t>GEOVANA DA SILVA DE SOUZA</t>
  </si>
  <si>
    <t>JORGE ANTONIO BARRIENTOS LEON</t>
  </si>
  <si>
    <t>REBECA COSTA DOS SANTOS</t>
  </si>
  <si>
    <t>RAFAEL AUGUSTO MOREIRA</t>
  </si>
  <si>
    <t>AGNAN ERIK RODRIGUES DOS SANTOS</t>
  </si>
  <si>
    <t>LUAN DOS SANTOS</t>
  </si>
  <si>
    <t>CLAITON JESUS DE CARVALHO</t>
  </si>
  <si>
    <t>JOSILAINE APARECIDA MARCIA DA SILVA</t>
  </si>
  <si>
    <t>MARCOS PAULO DERALDINO DOS SANTOS</t>
  </si>
  <si>
    <t>ADALTO GOMES DOS SANTOS</t>
  </si>
  <si>
    <t>LARISSA DE SOUZA BARBOSA DOS SANTOS</t>
  </si>
  <si>
    <t>PATRICIA PEDRO DA SILVA</t>
  </si>
  <si>
    <t>ANDREIA REGINA LINS DE MATOS DE LIMA</t>
  </si>
  <si>
    <t>ERNESTO JULIO VALLE RAMOS</t>
  </si>
  <si>
    <t>ALBERTO TEJEDA TAMAYO</t>
  </si>
  <si>
    <t>CARMEN LUISA RAMOS ESTIVEN</t>
  </si>
  <si>
    <t>CAINAN FABRICIO DA SILVA BORGES</t>
  </si>
  <si>
    <t>MARIA EDUARDA ALMEIDA CALADIO</t>
  </si>
  <si>
    <t>CLARA VITORIA DOS SANTOS</t>
  </si>
  <si>
    <t>GABRIEL RODRIGO FRANCISCO DE LIMA</t>
  </si>
  <si>
    <t>LUCIANA CORREIA DOS SANTOS</t>
  </si>
  <si>
    <t>JESSICA GIOVANA ROSSI SAMPAIO</t>
  </si>
  <si>
    <t>VERA ALICE DE OLIVEIRA</t>
  </si>
  <si>
    <t>ANIZIO DE ABREU SOUZA</t>
  </si>
  <si>
    <t>NAIDSON VIANA DA SILVA</t>
  </si>
  <si>
    <t>LEANDRO SANTOS OLIVEIRA</t>
  </si>
  <si>
    <t>ADRIANA GOMES DOS SANTOS</t>
  </si>
  <si>
    <t>MARILENE SILVA OLIVEIRA</t>
  </si>
  <si>
    <t>AGENTE DE PREVENCAO EM PERDAS</t>
  </si>
  <si>
    <t>ACOUGUEIRO (A) - PEREC E FIAMB - LOJA 3</t>
  </si>
  <si>
    <t>BALCONISTA DE ACOUGUE - PERECIVEIS E FIAMBRERIA - LOJA 08</t>
  </si>
  <si>
    <t>Exceções Loja</t>
  </si>
  <si>
    <t>Exceções Subgerente</t>
  </si>
  <si>
    <t>Exceções Cargo</t>
  </si>
  <si>
    <t>JOSE ANTONIO DOS SANTOS</t>
  </si>
  <si>
    <t>OSVALDO VOLTANI SOBRINHO</t>
  </si>
  <si>
    <t>PORTEIRO(A)- PORTARIA - LOJA 1</t>
  </si>
  <si>
    <t>CALEBE MIQUEIAS NUNES BERNARDES</t>
  </si>
  <si>
    <t>ADRIANA BEATRIZ LOPEZ</t>
  </si>
  <si>
    <t>MOISES ALBERTO FLORES TOVAR</t>
  </si>
  <si>
    <t>YASMIN DE SOUZA PINHEIRO</t>
  </si>
  <si>
    <t>WILLYAN GREGORY NASCIMENTO DUARTE</t>
  </si>
  <si>
    <t>KAWANA APARECIDA DA SILVA LAJOS</t>
  </si>
  <si>
    <t>SUSANE APARECIDA DEMARI</t>
  </si>
  <si>
    <t>EDERSON ALVES CAMPOS</t>
  </si>
  <si>
    <t>CESAR AUGUSTO DE LIMA</t>
  </si>
  <si>
    <t>DALMO ANTONIO MAFRA CAVALHEIRO</t>
  </si>
  <si>
    <t>NATAN VINICIUS DOS SANTOS JUVENCIO</t>
  </si>
  <si>
    <t>ELIVELTON JUNIO DOS SANTOS</t>
  </si>
  <si>
    <t>JOAO CARLOS CARDOSO SILVA</t>
  </si>
  <si>
    <t>FERNANDA BRAGA</t>
  </si>
  <si>
    <t>STEFANIE APARECIDA GULINE</t>
  </si>
  <si>
    <t>LUCAS ROCHA DOS SANTOS ALVES</t>
  </si>
  <si>
    <t>SG-SB 07:00-11:00 12:30-15:50</t>
  </si>
  <si>
    <t>17/08/2026</t>
  </si>
  <si>
    <t>ENCARREGADO DE REPOSIÇÃO DE MERCADORIAS - LOJA 3</t>
  </si>
  <si>
    <t>FLAVIO DE SOUZA NOGUEIRA</t>
  </si>
  <si>
    <t>NATHALIA RAMALHO GONÇALVES</t>
  </si>
  <si>
    <t>TAMIRIS ORLANDI</t>
  </si>
  <si>
    <t>LEONARDO RIBEIRO NOGUEIRA</t>
  </si>
  <si>
    <t>CAUE VINICIUS DE AQUINO DA LUZ</t>
  </si>
  <si>
    <t>ADREAN HENRIQUE GRACIANO</t>
  </si>
  <si>
    <t>MARCOS ANTONIO DA SILVA FILHO</t>
  </si>
  <si>
    <t>JOAO VICTOR DIONIZIO ZACARIAS</t>
  </si>
  <si>
    <t>IRACEMA LUIZ DOS SANTOS</t>
  </si>
  <si>
    <t>PATRICIA DOS REIS PEREIRA</t>
  </si>
  <si>
    <t>SIDNEI FERREIRA DE SOUZA JUNIOR</t>
  </si>
  <si>
    <t>HERQUETON ALMEIDA DOS SANTOS FILHO</t>
  </si>
  <si>
    <t>GUSTAVO HENRIQUE BISTERCO PEREIRA</t>
  </si>
  <si>
    <t>HENRIQUE MARTINS</t>
  </si>
  <si>
    <t>MATHEUS DE OLIVEIRA SIQUEIRA</t>
  </si>
  <si>
    <t>DIEGO LEANDRO SILVA</t>
  </si>
  <si>
    <t>OPERADOR (A) CAMARA FRIA</t>
  </si>
  <si>
    <t>MARCIO SANTIAGO DIAS</t>
  </si>
  <si>
    <t>STEFANIE VIANA DE SOUZA</t>
  </si>
  <si>
    <t>KAROLINE DE JESUS SANTANA</t>
  </si>
  <si>
    <t>JOSELAINE DA SILVA GOMES</t>
  </si>
  <si>
    <t>DAYRON JESUS ABREUS LOPEZ</t>
  </si>
  <si>
    <t>EDNILSON DA SILVA HERENTIECHEL</t>
  </si>
  <si>
    <t>JUNIOR BUENO CARNEIRO</t>
  </si>
  <si>
    <t>MURILO DANIEL ALVES MARTINS GOMES</t>
  </si>
  <si>
    <t>JAQUELINE CRISTINA SOARES PEREIRA</t>
  </si>
  <si>
    <t>CAUA VITOR DA SILVA PEREIRA</t>
  </si>
  <si>
    <t>DIULI DIAS DOURADO</t>
  </si>
  <si>
    <t>VANDA OLIVEIRA</t>
  </si>
  <si>
    <t>DENISE DE OLIVEIRA SANTOS</t>
  </si>
  <si>
    <t>MARIA ESTEFANIA MEJIAS ORTEGA</t>
  </si>
  <si>
    <t>ALBERTO VERONEZ BERNARDINO DA COSTA F</t>
  </si>
  <si>
    <t>GABRIELA ALEXIA SANTOS DOMINGOS</t>
  </si>
  <si>
    <t>JOSELAINE BARBOSA</t>
  </si>
  <si>
    <t>ELIAS DANIEL FERNANDES COUTINHO</t>
  </si>
  <si>
    <t>JORDANA BEATRIZ MORENO BREINER</t>
  </si>
  <si>
    <t>MYLLENA GABRIELLY DE OLIVEIRA</t>
  </si>
  <si>
    <t>EDILAINE BARBOSA</t>
  </si>
  <si>
    <t>JOAO PAULO DOS SANTOS FACIOLI</t>
  </si>
  <si>
    <t>03/09/2026</t>
  </si>
  <si>
    <t>BALCONISTA - FRIOS - LOJA 6</t>
  </si>
  <si>
    <t>NICOLLY CAROLINE SANTOS RIBEIRO</t>
  </si>
  <si>
    <t>EDUARDO FELIPE DOS SANTOS MAQUIAS</t>
  </si>
  <si>
    <t>MARIA ISABEL ROQUE</t>
  </si>
  <si>
    <t>YAMILKA ARROYO VIRGILI</t>
  </si>
  <si>
    <t>07/09/2026</t>
  </si>
  <si>
    <t>ALEXANDRE AFONSO DA SILVA</t>
  </si>
  <si>
    <t>VANIA ISABEL DA SILVA RODRIGUES</t>
  </si>
  <si>
    <t>HALDO JOSE DOS SANTOS BARBOSA</t>
  </si>
  <si>
    <t>DEBORA CRISTINA APARECIDA SANTANA</t>
  </si>
  <si>
    <t>LUCAS DOS SANTOS PEREIRA</t>
  </si>
  <si>
    <t>08/09/2026</t>
  </si>
  <si>
    <t>09/09/2026</t>
  </si>
  <si>
    <t>10/09/2026</t>
  </si>
  <si>
    <t>THIAGO DE OLIVEIRA DE JESUS</t>
  </si>
  <si>
    <t>ROSINEI WOEHL DE AZEVEDO SANTOS</t>
  </si>
  <si>
    <t>GABRIELA APARECIDA DA COSTA LEAL</t>
  </si>
  <si>
    <t>CLAUDEMIRO DA SILVA</t>
  </si>
  <si>
    <t>TIAGO DOS SANTOS PAIXAO</t>
  </si>
  <si>
    <t>ENCARREGADO DE HORTIFRUTI - LOJA 2</t>
  </si>
  <si>
    <t>VITORIA BEATRIZ ARAUJO DA SILVA</t>
  </si>
  <si>
    <t>ELAINE CRISTINA CASTRO PEREIRA</t>
  </si>
  <si>
    <t>JOSE GOMES DA CRUZ</t>
  </si>
  <si>
    <t>CHRISTOPHER MURILO DOMINGUEZ PEREIRA</t>
  </si>
  <si>
    <t>GUSTAVO PEREIRA DE JESUS</t>
  </si>
  <si>
    <t>MARIZA ISABEL ZIMMERMANN</t>
  </si>
  <si>
    <t>JOHNNY DE OLIVEIRA OSORIO</t>
  </si>
  <si>
    <t>MATEUS ALVES DOS SANTOS</t>
  </si>
  <si>
    <t>ORANDI DOS SANTOS</t>
  </si>
  <si>
    <t>DOROTEIA ALVES</t>
  </si>
  <si>
    <t>DAGLIS DANIEL BEJU RIBEIRO</t>
  </si>
  <si>
    <t>ANA LIVIA VICENTE GARCIA</t>
  </si>
  <si>
    <t>LUCIA GOUVEIA GALDINO</t>
  </si>
  <si>
    <t>KELVIN FELIPE DA CRUZ KOJIMA</t>
  </si>
  <si>
    <t>CONCEIÇÃO APARECIDA RODRIGUES NIETTO</t>
  </si>
  <si>
    <t>MATHEUS RODRIGUES DORIA</t>
  </si>
  <si>
    <t>GUSTAVO PITTER FIGUEIREDO</t>
  </si>
  <si>
    <t>11/09/2026</t>
  </si>
  <si>
    <t>15/09/2026</t>
  </si>
  <si>
    <t>ASSISTENTE DE RH - NV II - CD</t>
  </si>
  <si>
    <t>JACKSON MOISES DE OLIVEIRA CAMARRA</t>
  </si>
  <si>
    <t>ELISANGELA MACHADO CORREA DA CONCEICAO</t>
  </si>
  <si>
    <t>NIXON THOMAS</t>
  </si>
  <si>
    <t>TAWANI PRISCILA DA SILVA</t>
  </si>
  <si>
    <t>RIAN SANTOS PEREIRA DA SILVA</t>
  </si>
  <si>
    <t>BEATRIZ DOS SANTOS THEODORO</t>
  </si>
  <si>
    <t>MIRIELLE TELLES DA LUZ</t>
  </si>
  <si>
    <t>TELMA MARIANA DA SILVA</t>
  </si>
  <si>
    <t>ZAIR FERREIRA DO CARMO</t>
  </si>
  <si>
    <t>ANA MARIA DOS SANTOS SOUZA</t>
  </si>
  <si>
    <t>17/09/2026</t>
  </si>
  <si>
    <t>16/09/2026</t>
  </si>
  <si>
    <t>18/09/2026</t>
  </si>
  <si>
    <t>EDSON DE OLIVEIRA</t>
  </si>
  <si>
    <t>TATIANE RENATA DE PAULA OLIVEIRA</t>
  </si>
  <si>
    <t>FABIANA CRISTINA AUGUSTA DA SILVA</t>
  </si>
  <si>
    <t>IGOR SILVA DA CUNHA</t>
  </si>
  <si>
    <t>OMAR DE JESUS SANTOS PEREZ</t>
  </si>
  <si>
    <t>ANA LUIZA GOMES DA SILVA</t>
  </si>
  <si>
    <t>MATHEUS DA SILVA CAMILO</t>
  </si>
  <si>
    <t>ARAMIS RIVAS OTERO</t>
  </si>
  <si>
    <t>22/09/2026</t>
  </si>
  <si>
    <t>20/09/2026</t>
  </si>
  <si>
    <t>24/09/2026</t>
  </si>
  <si>
    <t>21/09/2026</t>
  </si>
  <si>
    <t>23/09/2026</t>
  </si>
  <si>
    <t>19/09/2026</t>
  </si>
  <si>
    <t>GABRIELY CRISTINI SANTOS DE JESUS</t>
  </si>
  <si>
    <t>WELINTON ALVES DOS SANTOS</t>
  </si>
  <si>
    <t>15/09/2023</t>
  </si>
  <si>
    <t>VANESSA CRISTINA VILELA HIEBER</t>
  </si>
  <si>
    <t>26/09/2026</t>
  </si>
  <si>
    <t>25/09/2026</t>
  </si>
  <si>
    <t>TECNICO EM ENFERMAGEM</t>
  </si>
  <si>
    <t>JOÃO PAULO GRASSI SILVA</t>
  </si>
  <si>
    <t>GRASIELE FELIX DE OLIVEIRA</t>
  </si>
  <si>
    <t>TERESA ANCHAR</t>
  </si>
  <si>
    <t>ADRIANA APARECIDA SABINO</t>
  </si>
  <si>
    <t xml:space="preserve"> MARLEI DE FATIMA LOVATO RODRIGUES</t>
  </si>
  <si>
    <t>SAMUEL AUGUSTO SOARES MARTINS</t>
  </si>
  <si>
    <t>APARECIDA DE FATIMA DA SILVA KOGA</t>
  </si>
  <si>
    <t>LAUANY OLIVEIRA DE SOUZA</t>
  </si>
  <si>
    <t>VILMAR NUNES GUEDES</t>
  </si>
  <si>
    <t>DAIANE APARECIDA DA SILVA DE PROENÇA</t>
  </si>
  <si>
    <t>RAFAELA CAROLINA FERREIRA DE LIMA FRAGA</t>
  </si>
  <si>
    <t>PEDRO VASCONCELOS</t>
  </si>
  <si>
    <t>JOÃO APARECIDO DOS SANTOS</t>
  </si>
  <si>
    <t>VIRGEN DEL ROSARIO RAMIREZ BRING</t>
  </si>
  <si>
    <t>MARISTELA HIDALGO DE MACEDO</t>
  </si>
  <si>
    <t>MARIA APARECIDA MARTINS</t>
  </si>
  <si>
    <t>GLAUCIA ETTIENE ROSANELI</t>
  </si>
  <si>
    <t>01/10/2026</t>
  </si>
  <si>
    <t>28/09/2026</t>
  </si>
  <si>
    <t>30/09/2026</t>
  </si>
  <si>
    <t>ENFERMEIRO</t>
  </si>
  <si>
    <t>FRANCIS ALEJANDRA CONTRERAS ESPINOZA</t>
  </si>
  <si>
    <t>ISABELLY RAMOS DOS SANTOS</t>
  </si>
  <si>
    <t>PIETRO PAES FERREIRA</t>
  </si>
  <si>
    <t>CASSIA RODRIGUES BERTO</t>
  </si>
  <si>
    <t>12X36- 30hr/sm 19:00-07:00</t>
  </si>
  <si>
    <t>02/10/2026</t>
  </si>
  <si>
    <t>03/10/2026</t>
  </si>
  <si>
    <t>05/10/2026</t>
  </si>
  <si>
    <t>04/10/2026</t>
  </si>
  <si>
    <t>29/09/2026</t>
  </si>
  <si>
    <t>GISELE DOS SANTOS SILVA</t>
  </si>
  <si>
    <t>ILSON RIBEIRO</t>
  </si>
  <si>
    <t>RHAYFA FERREIRA DE SOUZA</t>
  </si>
  <si>
    <t>ERICK LEONEL DE OLIVEIRA BRITO MILLER</t>
  </si>
  <si>
    <t>MARIA DANIELI SILVA DE SANTANA</t>
  </si>
  <si>
    <t>ARCHIE CHAVIANO LEON</t>
  </si>
  <si>
    <t>ALEX JOVINO SILVA</t>
  </si>
  <si>
    <t>PAMELA RONDEN DA SILVA</t>
  </si>
  <si>
    <t>EDINELIA SILVA DOS SANTOS</t>
  </si>
  <si>
    <t>MARIA APARECIDA DE SANTANA</t>
  </si>
  <si>
    <t>LARISSA BARBOSA DA SILVA ALVES</t>
  </si>
  <si>
    <t>MINORU OKAMOTO</t>
  </si>
  <si>
    <t>SG-SX07:30-17:30 SB07:30-11:30</t>
  </si>
  <si>
    <t>06/10/2026</t>
  </si>
  <si>
    <t>JENNIFER CRISTINA DE OLIVEIRA CRISTO</t>
  </si>
  <si>
    <t>08/10/2026</t>
  </si>
  <si>
    <t>07/10/2026</t>
  </si>
  <si>
    <t>AUXILIAR ADMINISTRATIVO - VENDAS -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</si>
</sst>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dd/mm/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double"/>
      <sz val="14"/>
      <color theme="0"/>
      <name val="Calibri"/>
      <family val="2"/>
      <scheme val="minor"/>
    </font>
    <font>
      <b/>
      <u val="double"/>
      <sz val="12"/>
      <color theme="0"/>
      <name val="Calibri"/>
      <family val="2"/>
      <scheme val="minor"/>
    </font>
    <font>
      <u val="double"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medium">
        <color theme="4" tint="-0.499984740745262"/>
      </right>
      <top style="medium">
        <color theme="4" tint="-0.499984740745262"/>
      </top>
      <bottom style="dotted">
        <color theme="0" tint="-0.24994659260841701"/>
      </bottom>
      <diagonal/>
    </border>
    <border>
      <left style="medium">
        <color theme="4" tint="-0.499984740745262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theme="4" tint="-0.499984740745262"/>
      </right>
      <top style="dotted">
        <color theme="0" tint="-0.24994659260841701"/>
      </top>
      <bottom style="medium">
        <color theme="4" tint="-0.49998474074526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medium">
        <color theme="4" tint="-0.499984740745262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/>
      <diagonal/>
    </border>
    <border>
      <left style="medium">
        <color theme="4" tint="-0.499984740745262"/>
      </left>
      <right/>
      <top style="dotted">
        <color theme="0" tint="-0.24994659260841701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dotted">
        <color theme="0" tint="-0.24994659260841701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dotted">
        <color theme="0" tint="-0.24994659260841701"/>
      </right>
      <top/>
      <bottom/>
      <diagonal/>
    </border>
    <border>
      <left style="medium">
        <color theme="4" tint="-0.499984740745262"/>
      </left>
      <right/>
      <top/>
      <bottom style="dotted">
        <color theme="0" tint="-0.24994659260841701"/>
      </bottom>
      <diagonal/>
    </border>
    <border>
      <left/>
      <right style="dotted">
        <color theme="0" tint="-0.24994659260841701"/>
      </right>
      <top/>
      <bottom style="dotted">
        <color theme="0" tint="-0.24994659260841701"/>
      </bottom>
      <diagonal/>
    </border>
    <border>
      <left style="thin">
        <color theme="4" tint="-0.499984740745262"/>
      </left>
      <right style="dotted">
        <color theme="0" tint="-0.24994659260841701"/>
      </right>
      <top style="thin">
        <color theme="4" tint="-0.499984740745262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4" tint="-0.499984740745262"/>
      </right>
      <top style="thin">
        <color theme="4" tint="-0.499984740745262"/>
      </top>
      <bottom style="dotted">
        <color theme="0" tint="-0.24994659260841701"/>
      </bottom>
      <diagonal/>
    </border>
    <border>
      <left/>
      <right/>
      <top/>
      <bottom style="dotted">
        <color theme="0" tint="-0.24994659260841701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dotted">
        <color theme="0" tint="-0.24994659260841701"/>
      </right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auto="1"/>
      </left>
      <right style="dotted">
        <color theme="0" tint="-0.24994659260841701"/>
      </right>
      <top style="thin">
        <color auto="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auto="1"/>
      </right>
      <top style="thin">
        <color auto="1"/>
      </top>
      <bottom style="dotted">
        <color theme="0" tint="-0.24994659260841701"/>
      </bottom>
      <diagonal/>
    </border>
    <border>
      <left style="thin">
        <color auto="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 style="dotted">
        <color theme="0" tint="-0.24994659260841701"/>
      </right>
      <top style="dotted">
        <color theme="0" tint="-0.24994659260841701"/>
      </top>
      <bottom style="thin">
        <color auto="1"/>
      </bottom>
      <diagonal/>
    </border>
    <border>
      <left style="dotted">
        <color theme="0" tint="-0.24994659260841701"/>
      </left>
      <right style="thin">
        <color auto="1"/>
      </right>
      <top style="dotted">
        <color theme="0" tint="-0.24994659260841701"/>
      </top>
      <bottom style="thin">
        <color auto="1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dotted">
        <color theme="0" tint="-0.24994659260841701"/>
      </bottom>
      <diagonal/>
    </border>
    <border>
      <left style="medium">
        <color theme="4" tint="-0.499984740745262"/>
      </left>
      <right style="medium">
        <color theme="4" tint="-0.499984740745262"/>
      </right>
      <top style="dotted">
        <color theme="0" tint="-0.24994659260841701"/>
      </top>
      <bottom style="medium">
        <color theme="4" tint="-0.499984740745262"/>
      </bottom>
      <diagonal/>
    </border>
    <border>
      <left style="medium">
        <color theme="4" tint="-0.499984740745262"/>
      </left>
      <right style="dotted">
        <color theme="0" tint="-0.24994659260841701"/>
      </right>
      <top style="medium">
        <color theme="4" tint="-0.499984740745262"/>
      </top>
      <bottom style="dotted">
        <color theme="0" tint="-0.24994659260841701"/>
      </bottom>
      <diagonal/>
    </border>
    <border>
      <left style="medium">
        <color theme="4" tint="-0.499984740745262"/>
      </left>
      <right style="dotted">
        <color theme="0" tint="-0.24994659260841701"/>
      </right>
      <top style="dotted">
        <color theme="0" tint="-0.24994659260841701"/>
      </top>
      <bottom style="medium">
        <color theme="4" tint="-0.49998474074526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4" tint="-0.499984740745262"/>
      </top>
      <bottom style="dotted">
        <color theme="0" tint="-0.24994659260841701"/>
      </bottom>
      <diagonal/>
    </border>
    <border>
      <left style="thin">
        <color theme="4" tint="-0.499984740745262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4" tint="-0.499984740745262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/>
      <top style="medium">
        <color indexed="64"/>
      </top>
      <bottom style="dott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dott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/>
      <right/>
      <top style="dotted">
        <color theme="0" tint="-0.24994659260841701"/>
      </top>
      <bottom style="medium">
        <color theme="4" tint="-0.499984740745262"/>
      </bottom>
      <diagonal/>
    </border>
    <border>
      <left/>
      <right/>
      <top style="thin">
        <color auto="1"/>
      </top>
      <bottom style="dotted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2" fillId="3" borderId="0" xfId="0" applyFont="1" applyFill="1"/>
    <xf numFmtId="44" fontId="0" fillId="0" borderId="0" xfId="1" applyFon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44" fontId="0" fillId="0" borderId="16" xfId="1" applyFont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164" fontId="8" fillId="5" borderId="17" xfId="3" applyNumberFormat="1" applyFont="1" applyFill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8" fillId="5" borderId="19" xfId="1" applyFont="1" applyFill="1" applyBorder="1" applyAlignment="1">
      <alignment horizontal="center" vertical="center"/>
    </xf>
    <xf numFmtId="44" fontId="9" fillId="5" borderId="17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9" fillId="5" borderId="14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5" borderId="18" xfId="0" applyFont="1" applyFill="1" applyBorder="1" applyAlignment="1">
      <alignment horizontal="center" vertical="center"/>
    </xf>
    <xf numFmtId="44" fontId="17" fillId="5" borderId="16" xfId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4" fontId="6" fillId="0" borderId="9" xfId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3" fillId="0" borderId="10" xfId="2" applyNumberFormat="1" applyFont="1" applyFill="1" applyBorder="1" applyAlignment="1">
      <alignment horizontal="center" vertical="center" wrapText="1"/>
    </xf>
    <xf numFmtId="0" fontId="3" fillId="0" borderId="0" xfId="2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6" borderId="9" xfId="0" applyFont="1" applyFill="1" applyBorder="1"/>
    <xf numFmtId="3" fontId="0" fillId="6" borderId="9" xfId="0" applyNumberFormat="1" applyFill="1" applyBorder="1"/>
    <xf numFmtId="3" fontId="2" fillId="6" borderId="9" xfId="0" applyNumberFormat="1" applyFont="1" applyFill="1" applyBorder="1"/>
    <xf numFmtId="0" fontId="8" fillId="7" borderId="9" xfId="0" applyFont="1" applyFill="1" applyBorder="1" applyAlignment="1">
      <alignment horizontal="center"/>
    </xf>
    <xf numFmtId="0" fontId="2" fillId="0" borderId="9" xfId="0" applyFont="1" applyBorder="1"/>
    <xf numFmtId="3" fontId="0" fillId="0" borderId="9" xfId="0" applyNumberFormat="1" applyBorder="1"/>
    <xf numFmtId="3" fontId="2" fillId="0" borderId="9" xfId="0" applyNumberFormat="1" applyFont="1" applyBorder="1"/>
    <xf numFmtId="0" fontId="13" fillId="0" borderId="9" xfId="0" applyFont="1" applyBorder="1"/>
    <xf numFmtId="3" fontId="13" fillId="0" borderId="9" xfId="0" applyNumberFormat="1" applyFont="1" applyBorder="1"/>
    <xf numFmtId="3" fontId="0" fillId="0" borderId="0" xfId="0" applyNumberFormat="1"/>
    <xf numFmtId="0" fontId="2" fillId="8" borderId="9" xfId="0" applyFont="1" applyFill="1" applyBorder="1"/>
    <xf numFmtId="3" fontId="0" fillId="8" borderId="9" xfId="0" applyNumberFormat="1" applyFill="1" applyBorder="1"/>
    <xf numFmtId="3" fontId="2" fillId="8" borderId="9" xfId="0" applyNumberFormat="1" applyFont="1" applyFill="1" applyBorder="1"/>
    <xf numFmtId="0" fontId="2" fillId="9" borderId="9" xfId="0" applyFont="1" applyFill="1" applyBorder="1"/>
    <xf numFmtId="3" fontId="0" fillId="9" borderId="9" xfId="0" applyNumberFormat="1" applyFill="1" applyBorder="1"/>
    <xf numFmtId="3" fontId="2" fillId="9" borderId="9" xfId="0" applyNumberFormat="1" applyFont="1" applyFill="1" applyBorder="1"/>
    <xf numFmtId="0" fontId="2" fillId="10" borderId="9" xfId="0" applyFont="1" applyFill="1" applyBorder="1"/>
    <xf numFmtId="3" fontId="0" fillId="10" borderId="9" xfId="0" applyNumberFormat="1" applyFill="1" applyBorder="1"/>
    <xf numFmtId="3" fontId="2" fillId="10" borderId="9" xfId="0" applyNumberFormat="1" applyFont="1" applyFill="1" applyBorder="1"/>
    <xf numFmtId="0" fontId="2" fillId="11" borderId="9" xfId="0" applyFont="1" applyFill="1" applyBorder="1"/>
    <xf numFmtId="3" fontId="0" fillId="11" borderId="9" xfId="0" applyNumberFormat="1" applyFill="1" applyBorder="1"/>
    <xf numFmtId="3" fontId="2" fillId="11" borderId="9" xfId="0" applyNumberFormat="1" applyFont="1" applyFill="1" applyBorder="1"/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2" borderId="0" xfId="0" applyFill="1"/>
    <xf numFmtId="0" fontId="8" fillId="7" borderId="43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8" fillId="7" borderId="44" xfId="0" applyFont="1" applyFill="1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0" xfId="0" applyAlignment="1">
      <alignment horizontal="left"/>
    </xf>
    <xf numFmtId="1" fontId="18" fillId="0" borderId="0" xfId="0" applyNumberFormat="1" applyFont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1" fontId="2" fillId="0" borderId="52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8" fillId="7" borderId="37" xfId="0" applyFont="1" applyFill="1" applyBorder="1" applyProtection="1">
      <protection locked="0"/>
    </xf>
    <xf numFmtId="0" fontId="8" fillId="7" borderId="53" xfId="0" applyFont="1" applyFill="1" applyBorder="1" applyProtection="1">
      <protection locked="0"/>
    </xf>
    <xf numFmtId="0" fontId="8" fillId="7" borderId="38" xfId="0" applyFont="1" applyFill="1" applyBorder="1" applyProtection="1">
      <protection locked="0"/>
    </xf>
    <xf numFmtId="0" fontId="0" fillId="0" borderId="54" xfId="0" applyBorder="1" applyAlignment="1" applyProtection="1">
      <alignment horizontal="left"/>
      <protection locked="0"/>
    </xf>
    <xf numFmtId="0" fontId="0" fillId="0" borderId="27" xfId="0" applyBorder="1"/>
    <xf numFmtId="0" fontId="0" fillId="0" borderId="55" xfId="0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 wrapText="1"/>
    </xf>
    <xf numFmtId="0" fontId="8" fillId="14" borderId="59" xfId="0" applyFont="1" applyFill="1" applyBorder="1" applyAlignment="1">
      <alignment horizontal="center" vertical="center" wrapText="1"/>
    </xf>
    <xf numFmtId="0" fontId="8" fillId="14" borderId="60" xfId="0" applyFont="1" applyFill="1" applyBorder="1" applyAlignment="1">
      <alignment horizontal="center" vertical="center" wrapText="1"/>
    </xf>
    <xf numFmtId="0" fontId="8" fillId="13" borderId="59" xfId="0" applyFont="1" applyFill="1" applyBorder="1" applyAlignment="1">
      <alignment horizontal="center" vertical="center" wrapText="1"/>
    </xf>
    <xf numFmtId="0" fontId="8" fillId="13" borderId="60" xfId="0" applyFont="1" applyFill="1" applyBorder="1" applyAlignment="1">
      <alignment horizontal="center" vertical="center" wrapText="1"/>
    </xf>
    <xf numFmtId="0" fontId="8" fillId="16" borderId="59" xfId="0" applyFont="1" applyFill="1" applyBorder="1" applyAlignment="1">
      <alignment horizontal="center" vertical="center" wrapText="1"/>
    </xf>
    <xf numFmtId="0" fontId="8" fillId="16" borderId="60" xfId="0" applyFont="1" applyFill="1" applyBorder="1" applyAlignment="1">
      <alignment horizontal="center" vertical="center" wrapText="1"/>
    </xf>
    <xf numFmtId="0" fontId="8" fillId="5" borderId="59" xfId="0" applyFont="1" applyFill="1" applyBorder="1" applyAlignment="1">
      <alignment horizontal="center" vertical="center" wrapText="1"/>
    </xf>
    <xf numFmtId="0" fontId="8" fillId="5" borderId="60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8" fillId="5" borderId="61" xfId="0" applyFont="1" applyFill="1" applyBorder="1" applyAlignment="1">
      <alignment horizontal="center" vertical="center" wrapText="1"/>
    </xf>
    <xf numFmtId="0" fontId="8" fillId="5" borderId="62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" fontId="3" fillId="0" borderId="0" xfId="2" applyNumberFormat="1" applyFont="1" applyFill="1" applyBorder="1" applyAlignment="1">
      <alignment horizontal="center" vertical="center" wrapText="1"/>
    </xf>
    <xf numFmtId="0" fontId="10" fillId="10" borderId="45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46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0" fillId="10" borderId="43" xfId="0" applyFont="1" applyFill="1" applyBorder="1" applyAlignment="1">
      <alignment horizontal="center" vertical="center" wrapText="1"/>
    </xf>
    <xf numFmtId="0" fontId="10" fillId="10" borderId="64" xfId="0" applyFont="1" applyFill="1" applyBorder="1" applyAlignment="1">
      <alignment horizontal="center" vertical="center" wrapText="1"/>
    </xf>
    <xf numFmtId="0" fontId="10" fillId="10" borderId="44" xfId="0" applyFont="1" applyFill="1" applyBorder="1" applyAlignment="1">
      <alignment horizontal="center" vertical="center" wrapText="1"/>
    </xf>
    <xf numFmtId="0" fontId="10" fillId="10" borderId="43" xfId="0" applyFont="1" applyFill="1" applyBorder="1" applyAlignment="1">
      <alignment horizontal="center" vertical="center"/>
    </xf>
    <xf numFmtId="0" fontId="10" fillId="10" borderId="64" xfId="0" applyFont="1" applyFill="1" applyBorder="1" applyAlignment="1">
      <alignment horizontal="center" vertical="center"/>
    </xf>
    <xf numFmtId="0" fontId="10" fillId="10" borderId="44" xfId="0" applyFont="1" applyFill="1" applyBorder="1" applyAlignment="1">
      <alignment horizontal="center" vertical="center"/>
    </xf>
    <xf numFmtId="0" fontId="10" fillId="10" borderId="59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8" fillId="12" borderId="43" xfId="0" applyFont="1" applyFill="1" applyBorder="1" applyAlignment="1">
      <alignment horizontal="center" vertical="center" wrapText="1"/>
    </xf>
    <xf numFmtId="0" fontId="8" fillId="12" borderId="44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2" fillId="17" borderId="0" xfId="0" applyFont="1" applyFill="1" applyAlignment="1">
      <alignment horizontal="center"/>
    </xf>
    <xf numFmtId="0" fontId="0" fillId="0" borderId="4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0" fillId="10" borderId="45" xfId="0" applyFont="1" applyFill="1" applyBorder="1" applyAlignment="1">
      <alignment horizontal="center" vertical="center"/>
    </xf>
    <xf numFmtId="0" fontId="10" fillId="10" borderId="27" xfId="0" applyFont="1" applyFill="1" applyBorder="1" applyAlignment="1">
      <alignment horizontal="center" vertical="center"/>
    </xf>
    <xf numFmtId="0" fontId="10" fillId="10" borderId="4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7" borderId="43" xfId="0" applyFont="1" applyFill="1" applyBorder="1" applyProtection="1">
      <protection locked="0"/>
    </xf>
    <xf numFmtId="0" fontId="8" fillId="7" borderId="44" xfId="0" applyFont="1" applyFill="1" applyBorder="1" applyAlignment="1" applyProtection="1">
      <alignment horizontal="center"/>
      <protection locked="0"/>
    </xf>
    <xf numFmtId="0" fontId="0" fillId="0" borderId="45" xfId="0" applyBorder="1"/>
    <xf numFmtId="0" fontId="0" fillId="0" borderId="46" xfId="0" applyBorder="1" applyAlignment="1">
      <alignment horizontal="center"/>
    </xf>
    <xf numFmtId="0" fontId="0" fillId="0" borderId="45" xfId="0" applyBorder="1" applyProtection="1">
      <protection locked="0"/>
    </xf>
    <xf numFmtId="0" fontId="8" fillId="7" borderId="81" xfId="0" applyFont="1" applyFill="1" applyBorder="1" applyAlignment="1">
      <alignment horizontal="center"/>
    </xf>
    <xf numFmtId="0" fontId="2" fillId="2" borderId="0" xfId="0" applyFont="1" applyFill="1"/>
    <xf numFmtId="0" fontId="9" fillId="0" borderId="0" xfId="0" applyFont="1"/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0" fontId="2" fillId="0" borderId="0" xfId="0" applyFont="1" applyProtection="1">
      <protection locked="0"/>
    </xf>
    <xf numFmtId="0" fontId="19" fillId="0" borderId="0" xfId="0" applyFont="1" applyAlignment="1">
      <alignment horizontal="center" vertical="center"/>
    </xf>
    <xf numFmtId="0" fontId="0" fillId="0" borderId="82" xfId="0" applyBorder="1"/>
    <xf numFmtId="14" fontId="0" fillId="0" borderId="27" xfId="0" applyNumberFormat="1" applyBorder="1" applyAlignment="1">
      <alignment horizontal="center"/>
    </xf>
    <xf numFmtId="0" fontId="2" fillId="0" borderId="76" xfId="0" applyFont="1" applyBorder="1" applyAlignment="1">
      <alignment horizontal="center" vertical="center"/>
    </xf>
    <xf numFmtId="0" fontId="8" fillId="5" borderId="83" xfId="0" applyFont="1" applyFill="1" applyBorder="1" applyAlignment="1">
      <alignment horizontal="center"/>
    </xf>
    <xf numFmtId="0" fontId="17" fillId="7" borderId="54" xfId="0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17" fillId="13" borderId="27" xfId="0" applyFont="1" applyFill="1" applyBorder="1" applyAlignment="1">
      <alignment horizontal="center" vertical="center"/>
    </xf>
    <xf numFmtId="0" fontId="17" fillId="13" borderId="27" xfId="0" applyFont="1" applyFill="1" applyBorder="1" applyAlignment="1" applyProtection="1">
      <alignment horizontal="center" vertical="center"/>
      <protection locked="0"/>
    </xf>
    <xf numFmtId="0" fontId="17" fillId="6" borderId="27" xfId="0" applyFont="1" applyFill="1" applyBorder="1" applyAlignment="1" applyProtection="1">
      <alignment horizontal="center" vertical="center"/>
      <protection locked="0"/>
    </xf>
    <xf numFmtId="165" fontId="17" fillId="6" borderId="27" xfId="0" applyNumberFormat="1" applyFont="1" applyFill="1" applyBorder="1" applyAlignment="1" applyProtection="1">
      <alignment horizontal="center" vertical="center" wrapText="1"/>
      <protection locked="0"/>
    </xf>
    <xf numFmtId="14" fontId="17" fillId="6" borderId="55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0" fontId="20" fillId="3" borderId="5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7" borderId="54" xfId="0" applyFont="1" applyFill="1" applyBorder="1" applyAlignment="1">
      <alignment horizontal="center" vertical="center"/>
    </xf>
    <xf numFmtId="0" fontId="22" fillId="7" borderId="27" xfId="0" applyFont="1" applyFill="1" applyBorder="1" applyAlignment="1">
      <alignment horizontal="center" vertical="center"/>
    </xf>
    <xf numFmtId="0" fontId="22" fillId="13" borderId="27" xfId="0" applyFont="1" applyFill="1" applyBorder="1" applyAlignment="1">
      <alignment horizontal="center" vertical="center"/>
    </xf>
    <xf numFmtId="0" fontId="22" fillId="13" borderId="27" xfId="0" applyFont="1" applyFill="1" applyBorder="1" applyAlignment="1" applyProtection="1">
      <alignment horizontal="center" vertical="center"/>
      <protection locked="0"/>
    </xf>
    <xf numFmtId="0" fontId="22" fillId="6" borderId="27" xfId="0" applyFont="1" applyFill="1" applyBorder="1" applyAlignment="1" applyProtection="1">
      <alignment horizontal="center" vertical="center"/>
      <protection locked="0"/>
    </xf>
    <xf numFmtId="165" fontId="22" fillId="6" borderId="27" xfId="0" applyNumberFormat="1" applyFont="1" applyFill="1" applyBorder="1" applyAlignment="1" applyProtection="1">
      <alignment horizontal="center" vertical="center" wrapText="1"/>
      <protection locked="0"/>
    </xf>
    <xf numFmtId="14" fontId="22" fillId="6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0" fillId="0" borderId="54" xfId="0" applyBorder="1" applyProtection="1">
      <protection locked="0"/>
    </xf>
    <xf numFmtId="0" fontId="6" fillId="0" borderId="9" xfId="1" applyNumberFormat="1" applyFont="1" applyBorder="1" applyAlignment="1">
      <alignment horizontal="center" vertical="center" wrapText="1"/>
    </xf>
    <xf numFmtId="0" fontId="17" fillId="19" borderId="53" xfId="0" applyFont="1" applyFill="1" applyBorder="1" applyAlignment="1">
      <alignment horizontal="center" vertical="center"/>
    </xf>
    <xf numFmtId="0" fontId="17" fillId="19" borderId="27" xfId="0" applyFont="1" applyFill="1" applyBorder="1" applyAlignment="1">
      <alignment horizontal="center" vertical="center"/>
    </xf>
    <xf numFmtId="0" fontId="0" fillId="0" borderId="54" xfId="0" applyBorder="1"/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0" fillId="0" borderId="0" xfId="0" applyNumberFormat="1"/>
    <xf numFmtId="14" fontId="0" fillId="0" borderId="0" xfId="0" applyNumberFormat="1"/>
    <xf numFmtId="0" fontId="8" fillId="7" borderId="89" xfId="0" applyFont="1" applyFill="1" applyBorder="1" applyProtection="1">
      <protection locked="0"/>
    </xf>
    <xf numFmtId="44" fontId="15" fillId="5" borderId="23" xfId="1" applyFont="1" applyFill="1" applyBorder="1" applyAlignment="1">
      <alignment horizontal="center" vertical="center"/>
    </xf>
    <xf numFmtId="44" fontId="15" fillId="5" borderId="15" xfId="1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44" fontId="8" fillId="5" borderId="23" xfId="1" applyFont="1" applyFill="1" applyBorder="1" applyAlignment="1">
      <alignment horizontal="center" vertical="center"/>
    </xf>
    <xf numFmtId="44" fontId="8" fillId="5" borderId="15" xfId="1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8" fillId="5" borderId="71" xfId="0" applyFont="1" applyFill="1" applyBorder="1" applyAlignment="1">
      <alignment horizontal="center" vertical="center"/>
    </xf>
    <xf numFmtId="0" fontId="8" fillId="5" borderId="57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11" fillId="5" borderId="72" xfId="0" applyFont="1" applyFill="1" applyBorder="1" applyAlignment="1">
      <alignment horizontal="center" vertical="center"/>
    </xf>
    <xf numFmtId="0" fontId="11" fillId="5" borderId="73" xfId="0" applyFont="1" applyFill="1" applyBorder="1" applyAlignment="1">
      <alignment horizontal="center" vertical="center"/>
    </xf>
    <xf numFmtId="0" fontId="11" fillId="5" borderId="74" xfId="0" applyFont="1" applyFill="1" applyBorder="1" applyAlignment="1">
      <alignment horizontal="center" vertical="center"/>
    </xf>
    <xf numFmtId="0" fontId="11" fillId="5" borderId="75" xfId="0" applyFont="1" applyFill="1" applyBorder="1" applyAlignment="1">
      <alignment horizontal="center" vertical="center"/>
    </xf>
    <xf numFmtId="0" fontId="11" fillId="5" borderId="76" xfId="0" applyFont="1" applyFill="1" applyBorder="1" applyAlignment="1">
      <alignment horizontal="center" vertical="center"/>
    </xf>
    <xf numFmtId="0" fontId="11" fillId="5" borderId="77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12" borderId="56" xfId="0" applyFont="1" applyFill="1" applyBorder="1" applyAlignment="1">
      <alignment horizontal="center" vertical="center" wrapText="1"/>
    </xf>
    <xf numFmtId="0" fontId="8" fillId="12" borderId="6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" fillId="12" borderId="61" xfId="0" applyFont="1" applyFill="1" applyBorder="1" applyAlignment="1">
      <alignment horizontal="center" vertical="center" wrapText="1"/>
    </xf>
    <xf numFmtId="0" fontId="8" fillId="12" borderId="65" xfId="0" applyFont="1" applyFill="1" applyBorder="1" applyAlignment="1">
      <alignment horizontal="center" vertical="center" wrapText="1"/>
    </xf>
    <xf numFmtId="0" fontId="8" fillId="12" borderId="66" xfId="0" applyFont="1" applyFill="1" applyBorder="1" applyAlignment="1">
      <alignment horizontal="center" vertical="center" wrapText="1"/>
    </xf>
    <xf numFmtId="0" fontId="8" fillId="12" borderId="67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3" borderId="53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 vertical="center"/>
    </xf>
    <xf numFmtId="0" fontId="8" fillId="5" borderId="87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84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85" xfId="0" applyFont="1" applyFill="1" applyBorder="1" applyAlignment="1">
      <alignment horizontal="center" vertical="center"/>
    </xf>
    <xf numFmtId="0" fontId="8" fillId="5" borderId="86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8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/>
    </xf>
    <xf numFmtId="0" fontId="8" fillId="18" borderId="53" xfId="0" applyFont="1" applyFill="1" applyBorder="1" applyAlignment="1">
      <alignment horizontal="center"/>
    </xf>
    <xf numFmtId="0" fontId="8" fillId="5" borderId="40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7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9" tint="-0.499984740745262"/>
      </font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A1D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124405</xdr:colOff>
      <xdr:row>1</xdr:row>
      <xdr:rowOff>46168</xdr:rowOff>
    </xdr:from>
    <xdr:ext cx="20059070" cy="360932"/>
    <xdr:pic>
      <xdr:nvPicPr>
        <xdr:cNvPr id="2" name="Imagem 1">
          <a:extLst>
            <a:ext uri="{FF2B5EF4-FFF2-40B4-BE49-F238E27FC236}">
              <a16:creationId xmlns:a16="http://schemas.microsoft.com/office/drawing/2014/main" id="{77F8F083-228E-45C3-8EAE-4F409F3AE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705" y="145228"/>
          <a:ext cx="20059070" cy="360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510627</xdr:colOff>
      <xdr:row>1</xdr:row>
      <xdr:rowOff>15240</xdr:rowOff>
    </xdr:from>
    <xdr:ext cx="7195097" cy="41222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D55A840-8505-46E4-B418-22CFCA75FE67}"/>
            </a:ext>
          </a:extLst>
        </xdr:cNvPr>
        <xdr:cNvSpPr txBox="1"/>
      </xdr:nvSpPr>
      <xdr:spPr>
        <a:xfrm>
          <a:off x="1425027" y="114300"/>
          <a:ext cx="7195097" cy="412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800" b="1" baseline="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Loja 30 - Quadro de Lotação  ( QL )   //  Requisição</a:t>
          </a:r>
        </a:p>
        <a:p>
          <a:endParaRPr lang="pt-BR" sz="1800" b="1" baseline="0">
            <a:solidFill>
              <a:schemeClr val="bg1">
                <a:lumMod val="9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1</xdr:col>
      <xdr:colOff>99060</xdr:colOff>
      <xdr:row>1</xdr:row>
      <xdr:rowOff>23307</xdr:rowOff>
    </xdr:from>
    <xdr:to>
      <xdr:col>2</xdr:col>
      <xdr:colOff>487319</xdr:colOff>
      <xdr:row>3</xdr:row>
      <xdr:rowOff>62753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5DD1451-6FEA-4C72-BE71-5C4373E5D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22367"/>
          <a:ext cx="1188359" cy="405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B071-8275-4D7E-91EA-590B518E406E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4.10937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3.554687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23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5" thickBot="1" x14ac:dyDescent="0.35">
      <c r="B4" s="98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LJ01'!B20</f>
        <v>4672168.2499999721</v>
      </c>
      <c r="X4" s="23" t="s">
        <v>26</v>
      </c>
      <c r="Y4" s="20">
        <f>SUMIFS('Hist LJ01'!$N:$N,'Hist LJ01'!$P:$P,"Açougue")</f>
        <v>11128756.989999991</v>
      </c>
    </row>
    <row r="5" spans="2:25" ht="27.6" x14ac:dyDescent="0.3">
      <c r="B5" s="98"/>
      <c r="C5" s="16" t="s">
        <v>27</v>
      </c>
      <c r="D5" s="93"/>
      <c r="E5" s="16" t="s">
        <v>28</v>
      </c>
      <c r="H5" s="203" t="s">
        <v>29</v>
      </c>
      <c r="I5" s="204"/>
      <c r="J5" s="204"/>
      <c r="K5" s="204"/>
      <c r="L5" s="204"/>
      <c r="M5" s="204"/>
      <c r="N5" s="205"/>
      <c r="O5" s="2"/>
      <c r="P5" s="199" t="s">
        <v>30</v>
      </c>
      <c r="Q5" s="200"/>
      <c r="R5" s="200"/>
      <c r="S5" s="18"/>
      <c r="U5" s="17" t="s">
        <v>31</v>
      </c>
      <c r="V5" s="20">
        <f>'Hist LJ01'!C20</f>
        <v>4395175.2199999513</v>
      </c>
      <c r="X5" s="23" t="s">
        <v>32</v>
      </c>
      <c r="Y5" s="20">
        <f>Y4/12</f>
        <v>927396.41583333258</v>
      </c>
    </row>
    <row r="6" spans="2:25" ht="14.4" customHeight="1" x14ac:dyDescent="0.3">
      <c r="B6" s="98"/>
      <c r="C6" s="37">
        <f>V16</f>
        <v>59946140.489999868</v>
      </c>
      <c r="D6" s="93"/>
      <c r="E6" s="37">
        <v>43000</v>
      </c>
      <c r="H6" s="206"/>
      <c r="I6" s="207"/>
      <c r="J6" s="207"/>
      <c r="K6" s="207"/>
      <c r="L6" s="207"/>
      <c r="M6" s="207"/>
      <c r="N6" s="208"/>
      <c r="O6" s="2"/>
      <c r="P6" s="201"/>
      <c r="Q6" s="202"/>
      <c r="R6" s="202"/>
      <c r="S6" s="18"/>
      <c r="U6" s="17" t="s">
        <v>33</v>
      </c>
      <c r="V6" s="20">
        <f>'Hist LJ01'!D20</f>
        <v>5003146.910000029</v>
      </c>
      <c r="X6" s="23" t="s">
        <v>34</v>
      </c>
      <c r="Y6" s="20">
        <f>Y5/H35</f>
        <v>71338.185833333278</v>
      </c>
    </row>
    <row r="7" spans="2:25" ht="16.2" thickBot="1" x14ac:dyDescent="0.35">
      <c r="B7" s="98"/>
      <c r="C7" s="92"/>
      <c r="D7" s="93"/>
      <c r="E7" s="9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LJ01'!E20</f>
        <v>5068465.7299999734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LJ01'!F20</f>
        <v>5058912.5099999662</v>
      </c>
      <c r="X8" s="4"/>
      <c r="Y8" s="14"/>
    </row>
    <row r="9" spans="2:25" ht="14.4" customHeight="1" x14ac:dyDescent="0.3">
      <c r="B9" s="98"/>
      <c r="C9" s="37">
        <f>C6/12</f>
        <v>4995511.7074999893</v>
      </c>
      <c r="D9" s="93"/>
      <c r="E9" s="38">
        <f>C9/E6</f>
        <v>116.17469087209277</v>
      </c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LJ01'!G20</f>
        <v>4808087.6700000139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LJ01'!H20</f>
        <v>5011604.5899999198</v>
      </c>
      <c r="X10" s="23" t="s">
        <v>26</v>
      </c>
      <c r="Y10" s="20">
        <f>SUMIFS('Hist LJ01'!$N:$N,'Hist LJ01'!$P:$P,"Hortifruti")</f>
        <v>7890617.2500000028</v>
      </c>
    </row>
    <row r="11" spans="2:25" ht="15" thickBot="1" x14ac:dyDescent="0.35">
      <c r="B11" s="98"/>
      <c r="H11" s="209">
        <v>2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LJ01'!I20</f>
        <v>5020870.8700000066</v>
      </c>
      <c r="X11" s="23" t="s">
        <v>32</v>
      </c>
      <c r="Y11" s="28">
        <f>Y10/12</f>
        <v>657551.43750000023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LJ01'!J20</f>
        <v>4777027.7400000095</v>
      </c>
      <c r="X12" s="23" t="s">
        <v>34</v>
      </c>
      <c r="Y12" s="28">
        <f>Y11/J35</f>
        <v>93935.919642857174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LJ01'!K20</f>
        <v>5009122.1799999876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LJ01'!L20</f>
        <v>5078982.2499999627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1</v>
      </c>
      <c r="S15" s="18"/>
      <c r="U15" s="17" t="s">
        <v>62</v>
      </c>
      <c r="V15" s="20">
        <f>'Hist LJ01'!M20</f>
        <v>6042576.5700000748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LJ01'!N20</f>
        <v>59946140.489999868</v>
      </c>
      <c r="X16" s="23" t="s">
        <v>26</v>
      </c>
      <c r="Y16" s="20">
        <f>SUMIFS('Hist LJ01'!$N:$N,'Hist LJ01'!$P:$P,"Confeitaria")</f>
        <v>1377199.0899999992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4995511.7074999893</v>
      </c>
      <c r="X17" s="23" t="s">
        <v>32</v>
      </c>
      <c r="Y17" s="28">
        <f>Y16/12</f>
        <v>114766.59083333326</v>
      </c>
    </row>
    <row r="18" spans="2:25" ht="15" thickBot="1" x14ac:dyDescent="0.35">
      <c r="B18" s="98"/>
      <c r="C18" s="8">
        <v>5</v>
      </c>
      <c r="E18" s="121">
        <v>9</v>
      </c>
      <c r="F18" s="123">
        <v>3</v>
      </c>
      <c r="H18" s="8">
        <v>2</v>
      </c>
      <c r="J18" s="8">
        <v>8</v>
      </c>
      <c r="L18" s="8">
        <v>4</v>
      </c>
      <c r="N18" s="121">
        <v>5</v>
      </c>
      <c r="O18" s="122">
        <v>2</v>
      </c>
      <c r="P18" s="123">
        <v>2</v>
      </c>
      <c r="Q18" s="3"/>
      <c r="R18" s="8">
        <v>1</v>
      </c>
      <c r="S18" s="18"/>
      <c r="U18" s="21" t="s">
        <v>74</v>
      </c>
      <c r="V18" s="22">
        <f>V17/43000</f>
        <v>116.17469087209277</v>
      </c>
      <c r="X18" s="23" t="s">
        <v>34</v>
      </c>
      <c r="Y18" s="28">
        <f>Y17/O35</f>
        <v>38255.530277777754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22</v>
      </c>
      <c r="E21" s="121">
        <v>1</v>
      </c>
      <c r="F21" s="123">
        <v>2</v>
      </c>
      <c r="H21" s="8">
        <v>5</v>
      </c>
      <c r="J21" s="8">
        <v>0</v>
      </c>
      <c r="L21" s="8">
        <v>2</v>
      </c>
      <c r="N21" s="121">
        <v>3</v>
      </c>
      <c r="O21" s="122">
        <v>1</v>
      </c>
      <c r="P21" s="123">
        <v>1</v>
      </c>
      <c r="Q21" s="3"/>
      <c r="R21" s="8">
        <v>3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LJ01'!$N:$N,'Hist LJ01'!$P:$P,"Frios")</f>
        <v>6438152.4400000218</v>
      </c>
      <c r="X22" s="23" t="s">
        <v>26</v>
      </c>
      <c r="Y22" s="20">
        <f>SUMIFS('Hist LJ01'!$N:$N,'Hist LJ01'!$P:$P,"Padaria")</f>
        <v>2731772.5200000005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536512.70333333511</v>
      </c>
      <c r="X23" s="23" t="s">
        <v>32</v>
      </c>
      <c r="Y23" s="20">
        <f>Y22/12</f>
        <v>227647.71000000005</v>
      </c>
    </row>
    <row r="24" spans="2:25" x14ac:dyDescent="0.3">
      <c r="B24" s="98"/>
      <c r="C24" s="8">
        <v>4</v>
      </c>
      <c r="E24" s="121">
        <v>1</v>
      </c>
      <c r="F24" s="135">
        <v>2</v>
      </c>
      <c r="H24" s="8">
        <v>5</v>
      </c>
      <c r="K24" s="4"/>
      <c r="L24" s="4"/>
      <c r="N24" s="131">
        <v>3</v>
      </c>
      <c r="Q24" s="3"/>
      <c r="R24" s="8">
        <v>2</v>
      </c>
      <c r="S24" s="18"/>
      <c r="U24" s="23" t="s">
        <v>34</v>
      </c>
      <c r="V24" s="20">
        <f>V23/L35</f>
        <v>107302.54066666702</v>
      </c>
      <c r="X24" s="23" t="s">
        <v>34</v>
      </c>
      <c r="Y24" s="20">
        <f>Y23/N35</f>
        <v>18970.642500000005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6</v>
      </c>
      <c r="F27" s="123">
        <v>0</v>
      </c>
      <c r="H27" s="4"/>
      <c r="K27" s="4"/>
      <c r="L27" s="4"/>
      <c r="M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M28" s="4"/>
      <c r="N28" s="4"/>
      <c r="Q28" s="3"/>
      <c r="S28" s="18"/>
      <c r="U28" s="23" t="s">
        <v>26</v>
      </c>
      <c r="V28" s="20">
        <f>SUMIFS('Hist LJ01'!$N:$N,'Hist LJ01'!$P:$P,"Loja")</f>
        <v>29221061.20000013</v>
      </c>
      <c r="X28" s="23" t="s">
        <v>26</v>
      </c>
      <c r="Y28" s="20">
        <f>SUMIFS('Hist LJ01'!$N:$N,'Hist LJ01'!$P:$P,"Rotisseria")</f>
        <v>1158580.9999999998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2435088.4333333443</v>
      </c>
      <c r="X29" s="23" t="s">
        <v>32</v>
      </c>
      <c r="Y29" s="20">
        <f>Y28/12</f>
        <v>96548.416666666642</v>
      </c>
    </row>
    <row r="30" spans="2:25" x14ac:dyDescent="0.3">
      <c r="B30" s="98"/>
      <c r="C30" s="4"/>
      <c r="D30" s="4"/>
      <c r="E30" s="121">
        <v>1</v>
      </c>
      <c r="F30" s="123">
        <v>0</v>
      </c>
      <c r="H30" s="4"/>
      <c r="K30" s="4"/>
      <c r="L30" s="4"/>
      <c r="M30" s="4"/>
      <c r="N30" s="4"/>
      <c r="Q30" s="3"/>
      <c r="S30" s="18"/>
      <c r="U30" s="23" t="s">
        <v>34</v>
      </c>
      <c r="V30" s="20">
        <f>V29/(E35+R35)</f>
        <v>65813.200900901196</v>
      </c>
      <c r="X30" s="23" t="s">
        <v>34</v>
      </c>
      <c r="Y30" s="20">
        <f>Y29/P35</f>
        <v>32182.805555555547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2" t="s">
        <v>64</v>
      </c>
      <c r="F32" s="213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32</v>
      </c>
      <c r="E33" s="214">
        <f>E30+E27+E24+E21+E18+E15+F18+F21+F24+F27+F30</f>
        <v>26</v>
      </c>
      <c r="F33" s="215"/>
      <c r="H33" s="8">
        <f>H30+H27+H24+H21+H18+H15</f>
        <v>13</v>
      </c>
      <c r="J33" s="8">
        <f>J30+J27+J24+J21+J18+J15</f>
        <v>9</v>
      </c>
      <c r="L33" s="8">
        <f>L30+L27+L24+L21+L18+L15</f>
        <v>7</v>
      </c>
      <c r="N33" s="121">
        <f>N30+N27+N24+N21+N18+N15</f>
        <v>12</v>
      </c>
      <c r="O33" s="122">
        <f>O30+O27+O24+O21+O18+O15</f>
        <v>3</v>
      </c>
      <c r="P33" s="123">
        <f>P30+P27+P24+P21+P18+P15</f>
        <v>3</v>
      </c>
      <c r="Q33" s="3"/>
      <c r="R33" s="8">
        <f>R15+R18+R21+R24+R27</f>
        <v>8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LJ01'!$N:$N,'Hist LJ01'!$P:$P,"Loja")</f>
        <v>29221061.20000013</v>
      </c>
      <c r="X34" s="23" t="s">
        <v>26</v>
      </c>
      <c r="Y34" s="20">
        <f>Y28+Y22+Y16</f>
        <v>5267552.6099999994</v>
      </c>
    </row>
    <row r="35" spans="2:26" x14ac:dyDescent="0.3">
      <c r="B35" s="98"/>
      <c r="C35" s="8">
        <v>29</v>
      </c>
      <c r="E35" s="220">
        <v>31</v>
      </c>
      <c r="F35" s="221"/>
      <c r="H35" s="8">
        <v>13</v>
      </c>
      <c r="J35" s="8">
        <v>7</v>
      </c>
      <c r="L35" s="8">
        <v>5</v>
      </c>
      <c r="N35" s="121">
        <v>12</v>
      </c>
      <c r="O35" s="122">
        <v>3</v>
      </c>
      <c r="P35" s="123">
        <v>3</v>
      </c>
      <c r="Q35" s="3"/>
      <c r="R35" s="8">
        <v>6</v>
      </c>
      <c r="S35" s="18"/>
      <c r="U35" s="23" t="s">
        <v>32</v>
      </c>
      <c r="V35" s="20">
        <f>V34/12</f>
        <v>2435088.4333333443</v>
      </c>
      <c r="X35" s="23" t="s">
        <v>32</v>
      </c>
      <c r="Y35" s="20">
        <f>Y34/12</f>
        <v>438962.71749999997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83968.566666667044</v>
      </c>
      <c r="X36" s="23" t="s">
        <v>34</v>
      </c>
      <c r="Y36" s="20">
        <f>Y35/SUM(N35:P35)</f>
        <v>24386.817638888886</v>
      </c>
    </row>
    <row r="37" spans="2:26" ht="15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5" thickBot="1" x14ac:dyDescent="0.35">
      <c r="B38" s="98"/>
      <c r="J38" s="223"/>
      <c r="K38" s="4"/>
      <c r="L38" s="223"/>
      <c r="M38" s="4"/>
      <c r="N38" s="223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116</v>
      </c>
      <c r="K39" s="99"/>
      <c r="L39" s="40">
        <f>SUM(A35:S35)</f>
        <v>109</v>
      </c>
      <c r="M39" s="99"/>
      <c r="N39" s="41">
        <f>L39-J39</f>
        <v>-7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X27:Y27"/>
    <mergeCell ref="X33:Y33"/>
    <mergeCell ref="U21:V21"/>
    <mergeCell ref="H11:N11"/>
    <mergeCell ref="E32:F32"/>
    <mergeCell ref="E33:F33"/>
    <mergeCell ref="E13:F13"/>
    <mergeCell ref="E14:F14"/>
    <mergeCell ref="E15:F15"/>
    <mergeCell ref="U27:V27"/>
    <mergeCell ref="U33:V33"/>
    <mergeCell ref="X3:Y3"/>
    <mergeCell ref="X15:Y15"/>
    <mergeCell ref="X9:Y9"/>
    <mergeCell ref="X21:Y21"/>
    <mergeCell ref="C3:R3"/>
    <mergeCell ref="U3:V3"/>
    <mergeCell ref="P5:R6"/>
    <mergeCell ref="H5:N6"/>
    <mergeCell ref="H7:N7"/>
    <mergeCell ref="H9:N10"/>
  </mergeCells>
  <phoneticPr fontId="4" type="noConversion"/>
  <conditionalFormatting sqref="N39:R39">
    <cfRule type="cellIs" dxfId="69" priority="1" operator="lessThan">
      <formula>0</formula>
    </cfRule>
    <cfRule type="cellIs" dxfId="68" priority="2" operator="greaterThan">
      <formula>0</formula>
    </cfRule>
    <cfRule type="cellIs" dxfId="67" priority="3" operator="lessThan">
      <formula>0</formula>
    </cfRule>
    <cfRule type="cellIs" dxfId="66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535B-5B0A-48A6-BD75-DD87D7D3E124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66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101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6.2" thickBot="1" x14ac:dyDescent="0.35">
      <c r="B4" s="98"/>
      <c r="C4" s="36"/>
      <c r="D4" s="1"/>
      <c r="E4" s="36"/>
      <c r="F4" s="132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LJ02'!B20</f>
        <v>2839277.8500000052</v>
      </c>
      <c r="X4" s="23" t="s">
        <v>26</v>
      </c>
      <c r="Y4" s="20">
        <f>SUMIFS('Hist LJ02'!$N:$N,'Hist LJ02'!$P:$P,"Açougue")</f>
        <v>5818951.9199999943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199" t="s">
        <v>30</v>
      </c>
      <c r="Q5" s="200"/>
      <c r="R5" s="200"/>
      <c r="S5" s="18"/>
      <c r="U5" s="17" t="s">
        <v>31</v>
      </c>
      <c r="V5" s="20">
        <f>'Hist LJ02'!C20</f>
        <v>2702365.4800000004</v>
      </c>
      <c r="X5" s="23" t="s">
        <v>32</v>
      </c>
      <c r="Y5" s="20">
        <f>Y4/12</f>
        <v>484912.65999999951</v>
      </c>
    </row>
    <row r="6" spans="2:25" ht="14.4" customHeight="1" x14ac:dyDescent="0.3">
      <c r="B6" s="98"/>
      <c r="C6" s="37">
        <f>V16</f>
        <v>35741918.960000016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01"/>
      <c r="Q6" s="202"/>
      <c r="R6" s="202"/>
      <c r="S6" s="18"/>
      <c r="U6" s="17" t="s">
        <v>33</v>
      </c>
      <c r="V6" s="20">
        <f>'Hist LJ02'!D20</f>
        <v>3066044.8300000052</v>
      </c>
      <c r="X6" s="23" t="s">
        <v>34</v>
      </c>
      <c r="Y6" s="20">
        <f>Y5/H35</f>
        <v>80818.776666666585</v>
      </c>
    </row>
    <row r="7" spans="2:25" ht="16.2" thickBot="1" x14ac:dyDescent="0.35">
      <c r="B7" s="98"/>
      <c r="C7" s="92"/>
      <c r="D7" s="93"/>
      <c r="E7" s="92"/>
      <c r="F7" s="13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LJ02'!E20</f>
        <v>3202572.3699999978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LJ02'!F20</f>
        <v>3090884.9899999988</v>
      </c>
      <c r="X8" s="4"/>
      <c r="Y8" s="14"/>
    </row>
    <row r="9" spans="2:25" ht="14.4" customHeight="1" x14ac:dyDescent="0.3">
      <c r="B9" s="98"/>
      <c r="C9" s="37">
        <f>C6/12</f>
        <v>2978493.246666668</v>
      </c>
      <c r="D9" s="93"/>
      <c r="E9" s="38">
        <f>C9/E6</f>
        <v>69.267284806201587</v>
      </c>
      <c r="F9" s="132"/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LJ02'!G20</f>
        <v>2939070.1999999955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LJ02'!H20</f>
        <v>3107973.0400000047</v>
      </c>
      <c r="X10" s="23" t="s">
        <v>26</v>
      </c>
      <c r="Y10" s="20">
        <f>SUMIFS('Hist LJ02'!$N:$N,'Hist LJ02'!$P:$P,"Hortifruti")</f>
        <v>5368221.2000000142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LJ02'!I20</f>
        <v>3033801.9400000046</v>
      </c>
      <c r="X11" s="23" t="s">
        <v>32</v>
      </c>
      <c r="Y11" s="28">
        <f>Y10/12</f>
        <v>447351.76666666783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LJ02'!J20</f>
        <v>2801352.6700000037</v>
      </c>
      <c r="X12" s="23" t="s">
        <v>34</v>
      </c>
      <c r="Y12" s="28">
        <f>Y11/J35</f>
        <v>89470.353333333565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LJ02'!K20</f>
        <v>2892700.8500000034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LJ02'!L20</f>
        <v>2797129.7400000012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1</v>
      </c>
      <c r="S15" s="18"/>
      <c r="U15" s="17" t="s">
        <v>62</v>
      </c>
      <c r="V15" s="20">
        <f>'Hist LJ02'!M20</f>
        <v>3268745.0000000028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LJ02'!N20</f>
        <v>35741918.960000016</v>
      </c>
      <c r="X16" s="23" t="s">
        <v>26</v>
      </c>
      <c r="Y16" s="20">
        <f>SUMIFS('Hist LJ02'!$N:$N,'Hist LJ02'!$P:$P,"Confeitaria")</f>
        <v>576209.63000000012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2978493.246666668</v>
      </c>
      <c r="X17" s="23" t="s">
        <v>32</v>
      </c>
      <c r="Y17" s="28">
        <f>Y16/12</f>
        <v>48017.469166666677</v>
      </c>
    </row>
    <row r="18" spans="2:25" ht="15" thickBot="1" x14ac:dyDescent="0.35">
      <c r="B18" s="98"/>
      <c r="C18" s="8">
        <v>3</v>
      </c>
      <c r="E18" s="121">
        <v>5</v>
      </c>
      <c r="F18" s="123">
        <v>2</v>
      </c>
      <c r="H18" s="8">
        <v>1</v>
      </c>
      <c r="J18" s="8">
        <v>4</v>
      </c>
      <c r="L18" s="8">
        <v>2</v>
      </c>
      <c r="N18" s="121">
        <v>3</v>
      </c>
      <c r="O18" s="122">
        <v>1</v>
      </c>
      <c r="P18" s="123">
        <v>1</v>
      </c>
      <c r="Q18" s="3"/>
      <c r="R18" s="8">
        <v>1</v>
      </c>
      <c r="S18" s="18"/>
      <c r="U18" s="21" t="s">
        <v>74</v>
      </c>
      <c r="V18" s="22">
        <f>V17/43000</f>
        <v>69.267284806201587</v>
      </c>
      <c r="X18" s="23" t="s">
        <v>34</v>
      </c>
      <c r="Y18" s="28">
        <f>Y17/O35</f>
        <v>24008.734583333338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11</v>
      </c>
      <c r="E21" s="121">
        <v>1</v>
      </c>
      <c r="F21" s="123">
        <v>1</v>
      </c>
      <c r="H21" s="8">
        <v>3</v>
      </c>
      <c r="J21" s="8">
        <v>1</v>
      </c>
      <c r="L21" s="8">
        <v>1</v>
      </c>
      <c r="N21" s="121">
        <v>2</v>
      </c>
      <c r="O21" s="122">
        <v>1</v>
      </c>
      <c r="P21" s="123">
        <v>0</v>
      </c>
      <c r="Q21" s="3"/>
      <c r="R21" s="8">
        <v>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LJ02'!$N:$N,'Hist LJ02'!$P:$P,"Frios")</f>
        <v>4618335.4200000186</v>
      </c>
      <c r="X22" s="23" t="s">
        <v>26</v>
      </c>
      <c r="Y22" s="20">
        <f>SUMIFS('Hist LJ02'!$N:$N,'Hist LJ02'!$P:$P,"Padaria")</f>
        <v>1697669.0099999993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384861.28500000155</v>
      </c>
      <c r="X23" s="23" t="s">
        <v>32</v>
      </c>
      <c r="Y23" s="20">
        <f>Y22/12</f>
        <v>141472.41749999995</v>
      </c>
    </row>
    <row r="24" spans="2:25" x14ac:dyDescent="0.3">
      <c r="B24" s="98"/>
      <c r="C24" s="8">
        <v>1</v>
      </c>
      <c r="E24" s="121">
        <v>0</v>
      </c>
      <c r="F24" s="135">
        <v>1</v>
      </c>
      <c r="H24" s="8">
        <v>2</v>
      </c>
      <c r="K24" s="4"/>
      <c r="L24" s="4"/>
      <c r="N24" s="131">
        <v>1</v>
      </c>
      <c r="Q24" s="3"/>
      <c r="R24" s="8">
        <v>1</v>
      </c>
      <c r="S24" s="18"/>
      <c r="U24" s="23" t="s">
        <v>34</v>
      </c>
      <c r="V24" s="20">
        <f>V23/L35</f>
        <v>96215.321250000386</v>
      </c>
      <c r="X24" s="23" t="s">
        <v>34</v>
      </c>
      <c r="Y24" s="20">
        <f>Y23/N35</f>
        <v>15719.157499999994</v>
      </c>
    </row>
    <row r="25" spans="2:25" ht="15" thickBot="1" x14ac:dyDescent="0.35">
      <c r="B25" s="98"/>
      <c r="K25" s="4"/>
      <c r="L25" s="4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N26" s="4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7</v>
      </c>
      <c r="F27" s="123">
        <v>1</v>
      </c>
      <c r="H27" s="4"/>
      <c r="K27" s="4"/>
      <c r="L27" s="4"/>
      <c r="N27" s="4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S28" s="18"/>
      <c r="U28" s="23" t="s">
        <v>26</v>
      </c>
      <c r="V28" s="20">
        <f>SUMIFS('Hist LJ02'!$N:$N,'Hist LJ02'!$P:$P,"Loja")</f>
        <v>17272292.100000124</v>
      </c>
      <c r="X28" s="23" t="s">
        <v>26</v>
      </c>
      <c r="Y28" s="20">
        <f>SUMIFS('Hist LJ02'!$N:$N,'Hist LJ02'!$P:$P,"Rotisseria")</f>
        <v>390239.68000000005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N29" s="4"/>
      <c r="R29" s="2"/>
      <c r="S29" s="18"/>
      <c r="U29" s="23" t="s">
        <v>32</v>
      </c>
      <c r="V29" s="20">
        <f>V28/12</f>
        <v>1439357.6750000103</v>
      </c>
      <c r="X29" s="23" t="s">
        <v>32</v>
      </c>
      <c r="Y29" s="20">
        <f>Y28/12</f>
        <v>32519.973333333339</v>
      </c>
    </row>
    <row r="30" spans="2:25" x14ac:dyDescent="0.3">
      <c r="B30" s="98"/>
      <c r="C30" s="4"/>
      <c r="D30" s="4"/>
      <c r="E30" s="121">
        <v>0</v>
      </c>
      <c r="F30" s="123">
        <v>0</v>
      </c>
      <c r="H30" s="4"/>
      <c r="K30" s="4"/>
      <c r="L30" s="4"/>
      <c r="N30" s="4"/>
      <c r="R30" s="2"/>
      <c r="S30" s="18"/>
      <c r="U30" s="23" t="s">
        <v>34</v>
      </c>
      <c r="V30" s="20">
        <f>V29/(E35+R35)</f>
        <v>59973.236458333762</v>
      </c>
      <c r="X30" s="23" t="s">
        <v>34</v>
      </c>
      <c r="Y30" s="20">
        <f>Y29/P35</f>
        <v>32519.973333333339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16</v>
      </c>
      <c r="E33" s="220">
        <f>E30+E27+E24+E21+E18+E15+F18+F21+F24+F27+F30</f>
        <v>19</v>
      </c>
      <c r="F33" s="221"/>
      <c r="H33" s="8">
        <f>H30+H27+H24+H21+H18+H15</f>
        <v>7</v>
      </c>
      <c r="J33" s="8">
        <f>J30+J27+J24+J21+J18+J15</f>
        <v>6</v>
      </c>
      <c r="L33" s="8">
        <f>L30+L27+L24+L21+L18+L15</f>
        <v>4</v>
      </c>
      <c r="N33" s="121">
        <f>N30+N27+N24+N21+N18+N15</f>
        <v>7</v>
      </c>
      <c r="O33" s="122">
        <f>O30+O27+O24+O21+O18+O15</f>
        <v>2</v>
      </c>
      <c r="P33" s="123">
        <f>P30+P27+P24+P21+P18+P15</f>
        <v>1</v>
      </c>
      <c r="Q33" s="3"/>
      <c r="R33" s="8">
        <f>R15+R18+R21+R24+R27+R30</f>
        <v>5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LJ02'!$N:$N,'Hist LJ02'!$P:$P,"Loja")</f>
        <v>17272292.100000124</v>
      </c>
      <c r="X34" s="23" t="s">
        <v>26</v>
      </c>
      <c r="Y34" s="20">
        <f>Y28+Y22+Y16</f>
        <v>2664118.3199999994</v>
      </c>
    </row>
    <row r="35" spans="2:26" x14ac:dyDescent="0.3">
      <c r="B35" s="98"/>
      <c r="C35" s="8">
        <v>20</v>
      </c>
      <c r="E35" s="220">
        <v>22</v>
      </c>
      <c r="F35" s="221"/>
      <c r="H35" s="8">
        <v>6</v>
      </c>
      <c r="J35" s="8">
        <v>5</v>
      </c>
      <c r="L35" s="8">
        <v>4</v>
      </c>
      <c r="N35" s="121">
        <v>9</v>
      </c>
      <c r="O35" s="122">
        <v>2</v>
      </c>
      <c r="P35" s="123">
        <v>1</v>
      </c>
      <c r="Q35" s="3"/>
      <c r="R35" s="8">
        <v>2</v>
      </c>
      <c r="S35" s="18"/>
      <c r="U35" s="23" t="s">
        <v>32</v>
      </c>
      <c r="V35" s="20">
        <f>V34/12</f>
        <v>1439357.6750000103</v>
      </c>
      <c r="X35" s="23" t="s">
        <v>32</v>
      </c>
      <c r="Y35" s="20">
        <f>Y34/12</f>
        <v>222009.85999999996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71967.883750000517</v>
      </c>
      <c r="X36" s="23" t="s">
        <v>34</v>
      </c>
      <c r="Y36" s="20">
        <f>Y35/SUM(N35:P35)</f>
        <v>18500.821666666663</v>
      </c>
    </row>
    <row r="37" spans="2:26" ht="15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Q37" s="3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5" thickBot="1" x14ac:dyDescent="0.35">
      <c r="B38" s="98"/>
      <c r="J38" s="223"/>
      <c r="K38" s="4"/>
      <c r="L38" s="223"/>
      <c r="M38" s="4"/>
      <c r="N38" s="223"/>
      <c r="Q38" s="3"/>
      <c r="S38" s="18"/>
    </row>
    <row r="39" spans="2:26" ht="18.600000000000001" thickBot="1" x14ac:dyDescent="0.35">
      <c r="B39" s="98"/>
      <c r="J39" s="39">
        <f>SUM(C33:R33)+H11+H7</f>
        <v>69</v>
      </c>
      <c r="K39" s="99"/>
      <c r="L39" s="40">
        <f>SUM(A35:S35)</f>
        <v>71</v>
      </c>
      <c r="M39" s="99"/>
      <c r="N39" s="41">
        <f>L39-J39</f>
        <v>2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65" priority="1" operator="lessThan">
      <formula>0</formula>
    </cfRule>
    <cfRule type="cellIs" dxfId="64" priority="2" operator="greaterThan">
      <formula>0</formula>
    </cfRule>
    <cfRule type="cellIs" dxfId="63" priority="3" operator="lessThan">
      <formula>0</formula>
    </cfRule>
    <cfRule type="cellIs" dxfId="62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9ED6-8943-4425-BEB8-EFB0E633771C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332031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102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5" thickBot="1" x14ac:dyDescent="0.35">
      <c r="B4" s="98"/>
      <c r="C4" s="36"/>
      <c r="D4" s="1"/>
      <c r="E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LJ03'!B20</f>
        <v>2785692.169999999</v>
      </c>
      <c r="X4" s="23" t="s">
        <v>26</v>
      </c>
      <c r="Y4" s="20">
        <f>SUMIFS('Hist LJ03'!$N:$N,'Hist LJ03'!$P:$P,"Açougue")</f>
        <v>6362337.3800000018</v>
      </c>
    </row>
    <row r="5" spans="2:25" ht="27.6" x14ac:dyDescent="0.3">
      <c r="B5" s="98"/>
      <c r="C5" s="16" t="s">
        <v>27</v>
      </c>
      <c r="D5" s="93"/>
      <c r="E5" s="16" t="s">
        <v>28</v>
      </c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LJ03'!C20</f>
        <v>2655535.3300000033</v>
      </c>
      <c r="X5" s="23" t="s">
        <v>32</v>
      </c>
      <c r="Y5" s="20">
        <f>Y4/12</f>
        <v>530194.78166666685</v>
      </c>
    </row>
    <row r="6" spans="2:25" ht="14.4" customHeight="1" x14ac:dyDescent="0.3">
      <c r="B6" s="98"/>
      <c r="C6" s="37">
        <f>V16</f>
        <v>35305397.830000028</v>
      </c>
      <c r="D6" s="93"/>
      <c r="E6" s="37">
        <v>43000</v>
      </c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LJ03'!D20</f>
        <v>3046525.3300000033</v>
      </c>
      <c r="X6" s="23" t="s">
        <v>34</v>
      </c>
      <c r="Y6" s="20">
        <f>Y5/H35</f>
        <v>75742.111666666693</v>
      </c>
    </row>
    <row r="7" spans="2:25" ht="16.2" thickBot="1" x14ac:dyDescent="0.35">
      <c r="B7" s="98"/>
      <c r="C7" s="92"/>
      <c r="D7" s="93"/>
      <c r="E7" s="9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LJ03'!E20</f>
        <v>2909466.9399999976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LJ03'!F20</f>
        <v>3015715.3099999949</v>
      </c>
      <c r="X8" s="4"/>
      <c r="Y8" s="14"/>
    </row>
    <row r="9" spans="2:25" ht="14.4" customHeight="1" x14ac:dyDescent="0.3">
      <c r="B9" s="98"/>
      <c r="C9" s="37">
        <f>C6/12</f>
        <v>2942116.4858333357</v>
      </c>
      <c r="D9" s="93"/>
      <c r="E9" s="38">
        <f>C9/E6</f>
        <v>68.421313624031058</v>
      </c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LJ03'!G20</f>
        <v>2860012.5199999972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LJ03'!H20</f>
        <v>2892461.7000000034</v>
      </c>
      <c r="X10" s="23" t="s">
        <v>26</v>
      </c>
      <c r="Y10" s="20">
        <f>SUMIFS('Hist LJ03'!$N:$N,'Hist LJ03'!$P:$P,"Hortifruti")</f>
        <v>4209707.5900000026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LJ03'!I20</f>
        <v>2995537.9600000083</v>
      </c>
      <c r="X11" s="23" t="s">
        <v>32</v>
      </c>
      <c r="Y11" s="28">
        <f>Y10/12</f>
        <v>350808.96583333355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LJ03'!J20</f>
        <v>2852898.6800000016</v>
      </c>
      <c r="X12" s="23" t="s">
        <v>34</v>
      </c>
      <c r="Y12" s="28">
        <f>Y11/J35</f>
        <v>70161.793166666714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LJ03'!K20</f>
        <v>2900315.7400000021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LJ03'!L20</f>
        <v>2981089.6999999969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1</v>
      </c>
      <c r="S15" s="18"/>
      <c r="U15" s="17" t="s">
        <v>62</v>
      </c>
      <c r="V15" s="20">
        <f>'Hist LJ03'!M20</f>
        <v>3410146.4500000086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LJ03'!N20</f>
        <v>35305397.830000028</v>
      </c>
      <c r="X16" s="23" t="s">
        <v>26</v>
      </c>
      <c r="Y16" s="20">
        <f>SUMIFS('Hist LJ03'!$N:$N,'Hist LJ03'!$P:$P,"Confeitaria")</f>
        <v>410726.5799999999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103</v>
      </c>
      <c r="Q17" s="3"/>
      <c r="R17" s="112" t="s">
        <v>72</v>
      </c>
      <c r="S17" s="18"/>
      <c r="U17" s="17" t="s">
        <v>73</v>
      </c>
      <c r="V17" s="20">
        <f>V16/12</f>
        <v>2942116.4858333357</v>
      </c>
      <c r="X17" s="23" t="s">
        <v>32</v>
      </c>
      <c r="Y17" s="28">
        <f>Y16/12</f>
        <v>34227.214999999989</v>
      </c>
    </row>
    <row r="18" spans="2:25" ht="15" thickBot="1" x14ac:dyDescent="0.35">
      <c r="B18" s="98"/>
      <c r="C18" s="8">
        <v>3</v>
      </c>
      <c r="E18" s="121">
        <v>6</v>
      </c>
      <c r="F18" s="123">
        <v>2</v>
      </c>
      <c r="H18" s="8">
        <v>1</v>
      </c>
      <c r="J18" s="8">
        <v>3</v>
      </c>
      <c r="L18" s="8">
        <v>2</v>
      </c>
      <c r="N18" s="121">
        <v>1</v>
      </c>
      <c r="O18" s="122">
        <v>1</v>
      </c>
      <c r="P18" s="123">
        <v>1</v>
      </c>
      <c r="Q18" s="3"/>
      <c r="R18" s="8">
        <v>1</v>
      </c>
      <c r="S18" s="18"/>
      <c r="U18" s="21" t="s">
        <v>74</v>
      </c>
      <c r="V18" s="22">
        <f>V17/43000</f>
        <v>68.421313624031058</v>
      </c>
      <c r="X18" s="23" t="s">
        <v>34</v>
      </c>
      <c r="Y18" s="28">
        <f>Y17/O35</f>
        <v>17113.607499999995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19</v>
      </c>
      <c r="E21" s="121">
        <v>1</v>
      </c>
      <c r="F21" s="123">
        <v>0</v>
      </c>
      <c r="H21" s="8">
        <v>4</v>
      </c>
      <c r="J21" s="8">
        <v>1</v>
      </c>
      <c r="L21" s="8">
        <v>1</v>
      </c>
      <c r="N21" s="121">
        <v>0</v>
      </c>
      <c r="O21" s="122">
        <v>1</v>
      </c>
      <c r="P21" s="123">
        <v>0</v>
      </c>
      <c r="Q21" s="3"/>
      <c r="R21" s="8">
        <v>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LJ03'!$N:$N,'Hist LJ03'!$P:$P,"Frios")</f>
        <v>3697699.5599999977</v>
      </c>
      <c r="X22" s="23" t="s">
        <v>26</v>
      </c>
      <c r="Y22" s="20">
        <f>SUMIFS('Hist LJ03'!$N:$N,'Hist LJ03'!$P:$P,"Padaria")</f>
        <v>815953.91999999993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308141.62999999983</v>
      </c>
      <c r="X23" s="23" t="s">
        <v>32</v>
      </c>
      <c r="Y23" s="20">
        <f>Y22/12</f>
        <v>67996.159999999989</v>
      </c>
    </row>
    <row r="24" spans="2:25" x14ac:dyDescent="0.3">
      <c r="B24" s="98"/>
      <c r="C24" s="8">
        <v>1</v>
      </c>
      <c r="E24" s="121">
        <v>0</v>
      </c>
      <c r="F24" s="135">
        <v>1</v>
      </c>
      <c r="H24" s="8">
        <v>2</v>
      </c>
      <c r="K24" s="4"/>
      <c r="L24" s="4"/>
      <c r="N24" s="131">
        <v>1</v>
      </c>
      <c r="Q24" s="3"/>
      <c r="R24" s="8">
        <v>1</v>
      </c>
      <c r="S24" s="18"/>
      <c r="U24" s="23" t="s">
        <v>34</v>
      </c>
      <c r="V24" s="20">
        <f>V23/L35</f>
        <v>102713.87666666661</v>
      </c>
      <c r="X24" s="23" t="s">
        <v>34</v>
      </c>
      <c r="Y24" s="20">
        <f>Y23/N35</f>
        <v>16999.039999999997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2</v>
      </c>
      <c r="F27" s="123">
        <v>0</v>
      </c>
      <c r="H27" s="4"/>
      <c r="K27" s="4"/>
      <c r="L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LJ03'!$N:$N,'Hist LJ03'!$P:$P,"Loja")</f>
        <v>19806359.120000143</v>
      </c>
      <c r="X28" s="23" t="s">
        <v>26</v>
      </c>
      <c r="Y28" s="20">
        <f>SUMIFS('Hist LJ03'!$N:$N,'Hist LJ03'!$P:$P,"Rotisseria")</f>
        <v>2613.6800000000003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1650529.9266666786</v>
      </c>
      <c r="X29" s="23" t="s">
        <v>32</v>
      </c>
      <c r="Y29" s="20">
        <f>Y28/12</f>
        <v>217.8066666666667</v>
      </c>
    </row>
    <row r="30" spans="2:25" x14ac:dyDescent="0.3">
      <c r="B30" s="98"/>
      <c r="C30" s="4"/>
      <c r="D30" s="4"/>
      <c r="E30" s="121">
        <v>0</v>
      </c>
      <c r="F30" s="123">
        <v>1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97089.995686275215</v>
      </c>
      <c r="X30" s="23" t="s">
        <v>34</v>
      </c>
      <c r="Y30" s="20">
        <f>IFERROR(Y29/P35,0)</f>
        <v>0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24</v>
      </c>
      <c r="E33" s="220">
        <f>E30+E27+E24+E21+E18+E15+F30+F27+F24+F21+F18</f>
        <v>14</v>
      </c>
      <c r="F33" s="221"/>
      <c r="H33" s="8">
        <f>H30+H27+H24+H21+H18+H15</f>
        <v>8</v>
      </c>
      <c r="J33" s="8">
        <f>J30+J27+J24+J21+J18+J15</f>
        <v>5</v>
      </c>
      <c r="L33" s="8">
        <f>L30+L27+L24+L21+L18+L15</f>
        <v>4</v>
      </c>
      <c r="N33" s="121">
        <f>N30+N27+N24+N21+N18+N15</f>
        <v>3</v>
      </c>
      <c r="O33" s="122">
        <f>O30+O27+O24+O21+O18+O15</f>
        <v>2</v>
      </c>
      <c r="P33" s="123">
        <f>P30+P27+P24+P21+P18+P15</f>
        <v>1</v>
      </c>
      <c r="Q33" s="3"/>
      <c r="R33" s="8">
        <f>R27+R24+R21+R18+R15</f>
        <v>5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LJ03'!$N:$N,'Hist LJ03'!$P:$P,"Loja")</f>
        <v>19806359.120000143</v>
      </c>
      <c r="X34" s="23" t="s">
        <v>26</v>
      </c>
      <c r="Y34" s="20">
        <f>Y28+Y22+Y16</f>
        <v>1229294.18</v>
      </c>
    </row>
    <row r="35" spans="2:26" x14ac:dyDescent="0.3">
      <c r="B35" s="98"/>
      <c r="C35" s="8">
        <v>22</v>
      </c>
      <c r="E35" s="220">
        <v>15</v>
      </c>
      <c r="F35" s="221"/>
      <c r="H35" s="8">
        <v>7</v>
      </c>
      <c r="J35" s="8">
        <v>5</v>
      </c>
      <c r="L35" s="8">
        <v>3</v>
      </c>
      <c r="N35" s="121">
        <v>4</v>
      </c>
      <c r="O35" s="122">
        <v>2</v>
      </c>
      <c r="P35" s="123">
        <f t="shared" ref="P35" si="0">P33/SUM($N$33:$P$33)*$O$36</f>
        <v>0</v>
      </c>
      <c r="Q35" s="3"/>
      <c r="R35" s="8">
        <v>2</v>
      </c>
      <c r="S35" s="18"/>
      <c r="U35" s="23" t="s">
        <v>32</v>
      </c>
      <c r="V35" s="20">
        <f>V34/12</f>
        <v>1650529.9266666786</v>
      </c>
      <c r="X35" s="23" t="s">
        <v>32</v>
      </c>
      <c r="Y35" s="20">
        <f>Y34/12</f>
        <v>102441.18166666666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75024.087575758123</v>
      </c>
      <c r="X36" s="23" t="s">
        <v>34</v>
      </c>
      <c r="Y36" s="20">
        <f>Y35/SUM(N35:P35)</f>
        <v>17073.530277777776</v>
      </c>
    </row>
    <row r="37" spans="2:26" ht="15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5" thickBot="1" x14ac:dyDescent="0.35">
      <c r="B38" s="98"/>
      <c r="J38" s="223"/>
      <c r="K38" s="4"/>
      <c r="L38" s="223"/>
      <c r="M38" s="4"/>
      <c r="N38" s="223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68</v>
      </c>
      <c r="K39" s="99"/>
      <c r="L39" s="40">
        <f>SUM(C35:R35)</f>
        <v>60</v>
      </c>
      <c r="M39" s="99"/>
      <c r="N39" s="41">
        <f>L39-J39</f>
        <v>-8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E34:F34"/>
    <mergeCell ref="E35:F35"/>
    <mergeCell ref="E32:F32"/>
    <mergeCell ref="E33:F33"/>
    <mergeCell ref="E13:F13"/>
    <mergeCell ref="E14:F14"/>
    <mergeCell ref="E15:F15"/>
    <mergeCell ref="X9:Y9"/>
    <mergeCell ref="X15:Y15"/>
    <mergeCell ref="U21:V21"/>
    <mergeCell ref="X21:Y21"/>
    <mergeCell ref="H9:N10"/>
    <mergeCell ref="H11:N11"/>
    <mergeCell ref="U27:V27"/>
    <mergeCell ref="X27:Y27"/>
    <mergeCell ref="U33:V33"/>
    <mergeCell ref="X33:Y33"/>
    <mergeCell ref="J37:J38"/>
    <mergeCell ref="L37:L38"/>
    <mergeCell ref="N37:N38"/>
    <mergeCell ref="H7:N7"/>
    <mergeCell ref="C3:R3"/>
    <mergeCell ref="U3:V3"/>
    <mergeCell ref="X3:Y3"/>
    <mergeCell ref="H5:N6"/>
    <mergeCell ref="P5:R6"/>
  </mergeCells>
  <conditionalFormatting sqref="N39:R39">
    <cfRule type="cellIs" dxfId="61" priority="1" operator="lessThan">
      <formula>0</formula>
    </cfRule>
    <cfRule type="cellIs" dxfId="60" priority="2" operator="greaterThan">
      <formula>0</formula>
    </cfRule>
    <cfRule type="cellIs" dxfId="59" priority="3" operator="lessThan">
      <formula>0</formula>
    </cfRule>
    <cfRule type="cellIs" dxfId="58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BB45-DDCC-4CA8-8A97-36507C1D88A6}">
  <sheetPr>
    <tabColor theme="5" tint="-0.499984740745262"/>
    <pageSetUpPr fitToPage="1"/>
  </sheetPr>
  <dimension ref="B1:XFC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1" style="2" customWidth="1"/>
    <col min="27" max="16383" width="13.88671875" style="2" hidden="1"/>
    <col min="16384" max="16384" width="1.88671875" style="2" customWidth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104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5" thickBot="1" x14ac:dyDescent="0.35">
      <c r="B4" s="98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LJ04'!B20</f>
        <v>2255242.1299999976</v>
      </c>
      <c r="X4" s="23" t="s">
        <v>26</v>
      </c>
      <c r="Y4" s="20">
        <f>SUMIFS('Hist LJ04'!$N:$N,'Hist LJ04'!$P:$P,"Açougue")</f>
        <v>5249804.4200000055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LJ04'!C20</f>
        <v>2123168.3599999985</v>
      </c>
      <c r="X5" s="23" t="s">
        <v>32</v>
      </c>
      <c r="Y5" s="20">
        <f>Y4/12</f>
        <v>437483.70166666713</v>
      </c>
    </row>
    <row r="6" spans="2:25" ht="14.4" customHeight="1" x14ac:dyDescent="0.3">
      <c r="B6" s="98"/>
      <c r="C6" s="37">
        <f>V16</f>
        <v>28365263.559999987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LJ04'!D20</f>
        <v>2418000.2600000007</v>
      </c>
      <c r="X6" s="23" t="s">
        <v>34</v>
      </c>
      <c r="Y6" s="20">
        <f>Y5/H35</f>
        <v>72913.950277777854</v>
      </c>
    </row>
    <row r="7" spans="2:25" ht="16.2" thickBot="1" x14ac:dyDescent="0.35">
      <c r="B7" s="98"/>
      <c r="C7" s="92"/>
      <c r="D7" s="93"/>
      <c r="E7" s="92"/>
      <c r="F7" s="13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LJ04'!E20</f>
        <v>2311418.3600000003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LJ04'!F20</f>
        <v>2406334.1799999997</v>
      </c>
      <c r="X8" s="4"/>
      <c r="Y8" s="14"/>
    </row>
    <row r="9" spans="2:25" ht="14.4" customHeight="1" x14ac:dyDescent="0.3">
      <c r="B9" s="98"/>
      <c r="C9" s="37">
        <f>C6/12</f>
        <v>2363771.9633333324</v>
      </c>
      <c r="D9" s="93"/>
      <c r="E9" s="38">
        <f>C9/E6</f>
        <v>54.97144100775192</v>
      </c>
      <c r="F9" s="132"/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LJ04'!G20</f>
        <v>2302464.0900000026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LJ04'!H20</f>
        <v>2373204.1399999997</v>
      </c>
      <c r="X10" s="23" t="s">
        <v>26</v>
      </c>
      <c r="Y10" s="20">
        <f>SUMIFS('Hist LJ04'!$N:$N,'Hist LJ04'!$P:$P,"Hortifruti")</f>
        <v>4006181.3499999996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LJ04'!I20</f>
        <v>2392137.8900000015</v>
      </c>
      <c r="X11" s="23" t="s">
        <v>32</v>
      </c>
      <c r="Y11" s="28">
        <f>Y10/12</f>
        <v>333848.4458333333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LJ04'!J20</f>
        <v>2319689.540000001</v>
      </c>
      <c r="X12" s="23" t="s">
        <v>34</v>
      </c>
      <c r="Y12" s="28">
        <f>Y11/J35</f>
        <v>66769.689166666663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LJ04'!K20</f>
        <v>2358182.9599999962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LJ04'!L20</f>
        <v>2405167.4099999992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0</v>
      </c>
      <c r="N15" s="121">
        <v>0</v>
      </c>
      <c r="O15" s="122">
        <v>0</v>
      </c>
      <c r="P15" s="123">
        <v>0</v>
      </c>
      <c r="Q15" s="3"/>
      <c r="R15" s="8">
        <v>0</v>
      </c>
      <c r="S15" s="18"/>
      <c r="U15" s="17" t="s">
        <v>62</v>
      </c>
      <c r="V15" s="20">
        <f>'Hist LJ04'!M20</f>
        <v>2700254.2399999909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LJ04'!N20</f>
        <v>28365263.559999987</v>
      </c>
      <c r="X16" s="23" t="s">
        <v>26</v>
      </c>
      <c r="Y16" s="20">
        <f>SUMIFS('Hist LJ04'!$N:$N,'Hist LJ04'!$P:$P,"Confeitaria")</f>
        <v>435801.46999999974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2363771.9633333324</v>
      </c>
      <c r="X17" s="23" t="s">
        <v>32</v>
      </c>
      <c r="Y17" s="28">
        <f>Y16/12</f>
        <v>36316.789166666647</v>
      </c>
    </row>
    <row r="18" spans="2:25" ht="15" thickBot="1" x14ac:dyDescent="0.35">
      <c r="B18" s="98"/>
      <c r="C18" s="8">
        <v>3</v>
      </c>
      <c r="E18" s="121">
        <v>4</v>
      </c>
      <c r="F18" s="123">
        <v>2</v>
      </c>
      <c r="H18" s="8">
        <v>1</v>
      </c>
      <c r="J18" s="8">
        <v>2</v>
      </c>
      <c r="L18" s="8">
        <v>0</v>
      </c>
      <c r="N18" s="121">
        <v>3</v>
      </c>
      <c r="O18" s="122">
        <v>1</v>
      </c>
      <c r="P18" s="123">
        <v>0</v>
      </c>
      <c r="Q18" s="3"/>
      <c r="R18" s="8">
        <v>1</v>
      </c>
      <c r="S18" s="18"/>
      <c r="U18" s="21" t="s">
        <v>74</v>
      </c>
      <c r="V18" s="22">
        <f>V17/43000</f>
        <v>54.97144100775192</v>
      </c>
      <c r="X18" s="23" t="s">
        <v>34</v>
      </c>
      <c r="Y18" s="28">
        <f>Y17/O35</f>
        <v>18158.394583333324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12</v>
      </c>
      <c r="E21" s="121">
        <v>1</v>
      </c>
      <c r="F21" s="123">
        <v>1</v>
      </c>
      <c r="H21" s="8">
        <v>2</v>
      </c>
      <c r="J21" s="8">
        <v>1</v>
      </c>
      <c r="L21" s="8">
        <v>1</v>
      </c>
      <c r="N21" s="121">
        <v>1</v>
      </c>
      <c r="O21" s="122">
        <v>1</v>
      </c>
      <c r="P21" s="123">
        <v>0</v>
      </c>
      <c r="Q21" s="3"/>
      <c r="R21" s="8">
        <v>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LJ04'!$N:$N,'Hist LJ04'!$P:$P,"Frios")</f>
        <v>3364237.4399999958</v>
      </c>
      <c r="X22" s="23" t="s">
        <v>26</v>
      </c>
      <c r="Y22" s="20">
        <f>SUMIFS('Hist LJ04'!$N:$N,'Hist LJ04'!$P:$P,"Padaria")</f>
        <v>988989.49999999977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280353.11999999965</v>
      </c>
      <c r="X23" s="23" t="s">
        <v>32</v>
      </c>
      <c r="Y23" s="20">
        <f>Y22/12</f>
        <v>82415.791666666642</v>
      </c>
    </row>
    <row r="24" spans="2:25" x14ac:dyDescent="0.3">
      <c r="B24" s="98"/>
      <c r="C24" s="8">
        <v>1</v>
      </c>
      <c r="E24" s="121">
        <v>0</v>
      </c>
      <c r="F24" s="135">
        <v>1</v>
      </c>
      <c r="H24" s="8">
        <v>2</v>
      </c>
      <c r="K24" s="4"/>
      <c r="L24" s="4"/>
      <c r="N24" s="131">
        <v>1</v>
      </c>
      <c r="Q24" s="3"/>
      <c r="R24" s="8">
        <v>1</v>
      </c>
      <c r="S24" s="18"/>
      <c r="U24" s="23" t="s">
        <v>34</v>
      </c>
      <c r="V24" s="20">
        <f>V23/L35</f>
        <v>280353.11999999965</v>
      </c>
      <c r="X24" s="23" t="s">
        <v>34</v>
      </c>
      <c r="Y24" s="20">
        <f>Y23/N35</f>
        <v>13735.965277777774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4</v>
      </c>
      <c r="F27" s="123">
        <v>0</v>
      </c>
      <c r="H27" s="4"/>
      <c r="K27" s="4"/>
      <c r="L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LJ04'!$N:$N,'Hist LJ04'!$P:$P,"Loja")</f>
        <v>14295425.020000076</v>
      </c>
      <c r="X28" s="23" t="s">
        <v>26</v>
      </c>
      <c r="Y28" s="20">
        <f>SUMIFS('Hist LJ04'!$N:$N,'Hist LJ04'!$P:$P,"Rotisseria")</f>
        <v>24824.36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1191285.4183333397</v>
      </c>
      <c r="X29" s="23" t="s">
        <v>32</v>
      </c>
      <c r="Y29" s="20">
        <f>Y28/12</f>
        <v>2068.6966666666667</v>
      </c>
    </row>
    <row r="30" spans="2:25" x14ac:dyDescent="0.3">
      <c r="B30" s="98"/>
      <c r="C30" s="4"/>
      <c r="D30" s="4"/>
      <c r="E30" s="121">
        <v>0</v>
      </c>
      <c r="F30" s="123">
        <v>0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70075.612843137627</v>
      </c>
      <c r="X30" s="23" t="s">
        <v>34</v>
      </c>
      <c r="Y30" s="20">
        <f>IFERROR(Y29/P35,0)</f>
        <v>0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17</v>
      </c>
      <c r="E33" s="220">
        <f>E30+E27+E24+E21+E18+E15+F30+F27+F24+F21+F18</f>
        <v>14</v>
      </c>
      <c r="F33" s="221"/>
      <c r="H33" s="8">
        <f>H30+H27+H24+H21+H18+H15</f>
        <v>6</v>
      </c>
      <c r="J33" s="8">
        <f>J30+J27+J24+J21+J18+J15</f>
        <v>4</v>
      </c>
      <c r="L33" s="8">
        <f>L30+L27+L24+L21+L18+L15</f>
        <v>1</v>
      </c>
      <c r="N33" s="121">
        <f>N30+N27+N24+N21+N18+N15</f>
        <v>5</v>
      </c>
      <c r="O33" s="122">
        <f>O30+O27+O24+O21+O18+O15</f>
        <v>2</v>
      </c>
      <c r="P33" s="123">
        <f>P30+P27+P24+P21+P18+P15</f>
        <v>0</v>
      </c>
      <c r="Q33" s="3"/>
      <c r="R33" s="8">
        <f>R30+R27+R24+R21+R18+R15</f>
        <v>4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LJ04'!$N:$N,'Hist LJ04'!$P:$P,"Loja")</f>
        <v>14295425.020000076</v>
      </c>
      <c r="X34" s="23" t="s">
        <v>26</v>
      </c>
      <c r="Y34" s="20">
        <f>Y28+Y22+Y16</f>
        <v>1449615.3299999996</v>
      </c>
    </row>
    <row r="35" spans="2:26" x14ac:dyDescent="0.3">
      <c r="B35" s="98"/>
      <c r="C35" s="8">
        <v>14</v>
      </c>
      <c r="E35" s="220">
        <v>14</v>
      </c>
      <c r="F35" s="221"/>
      <c r="H35" s="8">
        <v>6</v>
      </c>
      <c r="J35" s="8">
        <v>5</v>
      </c>
      <c r="L35" s="8">
        <v>1</v>
      </c>
      <c r="N35" s="121">
        <v>6</v>
      </c>
      <c r="O35" s="122">
        <v>2</v>
      </c>
      <c r="P35" s="123">
        <f t="shared" ref="P35" si="0">P33/SUM($N$33:$P$33)*$O$36</f>
        <v>0</v>
      </c>
      <c r="Q35" s="3"/>
      <c r="R35" s="8">
        <v>3</v>
      </c>
      <c r="S35" s="18"/>
      <c r="U35" s="23" t="s">
        <v>32</v>
      </c>
      <c r="V35" s="20">
        <f>V34/12</f>
        <v>1191285.4183333397</v>
      </c>
      <c r="X35" s="23" t="s">
        <v>32</v>
      </c>
      <c r="Y35" s="20">
        <f>Y34/12</f>
        <v>120801.27749999997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85091.815595238557</v>
      </c>
      <c r="X36" s="23" t="s">
        <v>34</v>
      </c>
      <c r="Y36" s="20">
        <f>Y35/SUM(N35:P35)</f>
        <v>15100.159687499996</v>
      </c>
    </row>
    <row r="37" spans="2:26" ht="15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5" thickBot="1" x14ac:dyDescent="0.35">
      <c r="B38" s="98"/>
      <c r="J38" s="223"/>
      <c r="K38" s="4"/>
      <c r="L38" s="223"/>
      <c r="M38" s="4"/>
      <c r="N38" s="223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55</v>
      </c>
      <c r="K39" s="99"/>
      <c r="L39" s="40">
        <f>SUM(C35:R35)</f>
        <v>51</v>
      </c>
      <c r="M39" s="99"/>
      <c r="N39" s="41">
        <f>L39-J39</f>
        <v>-4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57" priority="1" operator="lessThan">
      <formula>0</formula>
    </cfRule>
    <cfRule type="cellIs" dxfId="56" priority="2" operator="greaterThan">
      <formula>0</formula>
    </cfRule>
    <cfRule type="cellIs" dxfId="55" priority="3" operator="lessThan">
      <formula>0</formula>
    </cfRule>
    <cfRule type="cellIs" dxfId="54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0DC5-42C8-44A0-AA29-14192D437875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3.332031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105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5" thickBot="1" x14ac:dyDescent="0.35">
      <c r="B4" s="98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LJ05'!B20</f>
        <v>3181874.2499999991</v>
      </c>
      <c r="X4" s="23" t="s">
        <v>26</v>
      </c>
      <c r="Y4" s="20">
        <f>SUMIFS('Hist LJ05'!$N:$N,'Hist LJ05'!$P:$P,"Açougue")</f>
        <v>9071357.5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LJ05'!C20</f>
        <v>3138878.7500000051</v>
      </c>
      <c r="X5" s="23" t="s">
        <v>32</v>
      </c>
      <c r="Y5" s="20">
        <f>Y4/12</f>
        <v>755946.45833333337</v>
      </c>
    </row>
    <row r="6" spans="2:25" ht="14.4" customHeight="1" x14ac:dyDescent="0.3">
      <c r="B6" s="98"/>
      <c r="C6" s="37">
        <f>V16</f>
        <v>42055413.720000058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LJ05'!D20</f>
        <v>3437306.290000008</v>
      </c>
      <c r="X6" s="23" t="s">
        <v>34</v>
      </c>
      <c r="Y6" s="20">
        <f>Y5/H35</f>
        <v>94493.307291666672</v>
      </c>
    </row>
    <row r="7" spans="2:25" ht="16.2" thickBot="1" x14ac:dyDescent="0.35">
      <c r="B7" s="98"/>
      <c r="C7" s="92"/>
      <c r="D7" s="93"/>
      <c r="E7" s="92"/>
      <c r="F7" s="13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LJ05'!E20</f>
        <v>3626851.3900000006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LJ05'!F20</f>
        <v>3511361.330000001</v>
      </c>
      <c r="X8" s="4"/>
      <c r="Y8" s="14"/>
    </row>
    <row r="9" spans="2:25" ht="14.4" customHeight="1" x14ac:dyDescent="0.3">
      <c r="B9" s="98"/>
      <c r="C9" s="37">
        <f>C6/12</f>
        <v>3504617.8100000047</v>
      </c>
      <c r="D9" s="93"/>
      <c r="E9" s="38">
        <f>C9/E6</f>
        <v>81.502739767441966</v>
      </c>
      <c r="F9" s="132"/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LJ05'!G20</f>
        <v>3390641.5500000156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LJ05'!H20</f>
        <v>3635735.9900000044</v>
      </c>
      <c r="X10" s="23" t="s">
        <v>26</v>
      </c>
      <c r="Y10" s="20">
        <f>SUMIFS('Hist LJ05'!$N:$N,'Hist LJ05'!$P:$P,"Hortifruti")</f>
        <v>5529932.110000005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LJ05'!I20</f>
        <v>3635916.7900000047</v>
      </c>
      <c r="X11" s="23" t="s">
        <v>32</v>
      </c>
      <c r="Y11" s="28">
        <f>Y10/12</f>
        <v>460827.67583333375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LJ05'!J20</f>
        <v>3451916.5500000082</v>
      </c>
      <c r="X12" s="23" t="s">
        <v>34</v>
      </c>
      <c r="Y12" s="28">
        <f>Y11/J35</f>
        <v>230413.83791666687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LJ05'!K20</f>
        <v>3491968.400000005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LJ05'!L20</f>
        <v>3548148.2699999949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1</v>
      </c>
      <c r="S15" s="18"/>
      <c r="U15" s="17" t="s">
        <v>62</v>
      </c>
      <c r="V15" s="20">
        <f>'Hist LJ05'!M20</f>
        <v>4004814.1600000095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LJ05'!N20</f>
        <v>42055413.720000058</v>
      </c>
      <c r="X16" s="23" t="s">
        <v>26</v>
      </c>
      <c r="Y16" s="20">
        <f>SUMIFS('Hist LJ05'!$N:$N,'Hist LJ05'!$P:$P,"Confeitaria")</f>
        <v>530367.36999999976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3504617.8100000047</v>
      </c>
      <c r="X17" s="23" t="s">
        <v>32</v>
      </c>
      <c r="Y17" s="28">
        <f>Y16/12</f>
        <v>44197.280833333316</v>
      </c>
    </row>
    <row r="18" spans="2:25" ht="15" thickBot="1" x14ac:dyDescent="0.35">
      <c r="B18" s="98"/>
      <c r="C18" s="8">
        <v>4</v>
      </c>
      <c r="E18" s="121">
        <v>6</v>
      </c>
      <c r="F18" s="123">
        <v>2</v>
      </c>
      <c r="H18" s="8">
        <v>2</v>
      </c>
      <c r="J18" s="8">
        <v>4</v>
      </c>
      <c r="L18" s="8">
        <v>2</v>
      </c>
      <c r="N18" s="121">
        <v>5</v>
      </c>
      <c r="O18" s="122">
        <v>1</v>
      </c>
      <c r="P18" s="123">
        <v>0</v>
      </c>
      <c r="Q18" s="3"/>
      <c r="R18" s="8">
        <v>1</v>
      </c>
      <c r="S18" s="18"/>
      <c r="U18" s="21" t="s">
        <v>74</v>
      </c>
      <c r="V18" s="22">
        <f>V17/43000</f>
        <v>81.502739767441966</v>
      </c>
      <c r="X18" s="23" t="s">
        <v>34</v>
      </c>
      <c r="Y18" s="28">
        <f>Y17/O35</f>
        <v>22098.640416666658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18</v>
      </c>
      <c r="E21" s="121">
        <v>1</v>
      </c>
      <c r="F21" s="123">
        <v>1</v>
      </c>
      <c r="H21" s="8">
        <v>4</v>
      </c>
      <c r="J21" s="8">
        <v>1</v>
      </c>
      <c r="L21" s="8">
        <v>2</v>
      </c>
      <c r="N21" s="121">
        <v>2</v>
      </c>
      <c r="O21" s="122">
        <v>1</v>
      </c>
      <c r="P21" s="123">
        <v>0</v>
      </c>
      <c r="Q21" s="3"/>
      <c r="R21" s="8">
        <v>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LJ05'!$N:$N,'Hist LJ05'!$P:$P,"Frios")</f>
        <v>5330680.9500000086</v>
      </c>
      <c r="X22" s="23" t="s">
        <v>26</v>
      </c>
      <c r="Y22" s="20">
        <f>SUMIFS('Hist LJ05'!$N:$N,'Hist LJ05'!$P:$P,"Padaria")</f>
        <v>1785382.4899999998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444223.41250000073</v>
      </c>
      <c r="X23" s="23" t="s">
        <v>32</v>
      </c>
      <c r="Y23" s="20">
        <f>Y22/12</f>
        <v>148781.87416666665</v>
      </c>
    </row>
    <row r="24" spans="2:25" x14ac:dyDescent="0.3">
      <c r="B24" s="98"/>
      <c r="C24" s="8">
        <v>2</v>
      </c>
      <c r="E24" s="121">
        <v>0</v>
      </c>
      <c r="F24" s="135">
        <v>1</v>
      </c>
      <c r="H24" s="8">
        <v>3</v>
      </c>
      <c r="K24" s="4"/>
      <c r="L24" s="4"/>
      <c r="N24" s="131">
        <v>2</v>
      </c>
      <c r="Q24" s="3"/>
      <c r="R24" s="8">
        <v>2</v>
      </c>
      <c r="S24" s="18"/>
      <c r="U24" s="23" t="s">
        <v>34</v>
      </c>
      <c r="V24" s="20">
        <f>V23/L35</f>
        <v>111055.85312500018</v>
      </c>
      <c r="X24" s="23" t="s">
        <v>34</v>
      </c>
      <c r="Y24" s="20">
        <f>Y23/N35</f>
        <v>14878.187416666664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4</v>
      </c>
      <c r="F27" s="123">
        <v>0</v>
      </c>
      <c r="H27" s="4"/>
      <c r="K27" s="4"/>
      <c r="L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LJ05'!$N:$N,'Hist LJ05'!$P:$P,"Loja")</f>
        <v>19802402.350000147</v>
      </c>
      <c r="X28" s="23" t="s">
        <v>26</v>
      </c>
      <c r="Y28" s="20">
        <f>SUMIFS('Hist LJ05'!$N:$N,'Hist LJ05'!$P:$P,"Rotisseria")</f>
        <v>5290.9500000000007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1650200.1958333456</v>
      </c>
      <c r="X29" s="23" t="s">
        <v>32</v>
      </c>
      <c r="Y29" s="20">
        <f>Y28/12</f>
        <v>440.91250000000008</v>
      </c>
    </row>
    <row r="30" spans="2:25" x14ac:dyDescent="0.3">
      <c r="B30" s="98"/>
      <c r="C30" s="4"/>
      <c r="D30" s="4"/>
      <c r="E30" s="121">
        <v>0</v>
      </c>
      <c r="F30" s="123">
        <v>0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61118.525771605397</v>
      </c>
      <c r="X30" s="23" t="s">
        <v>34</v>
      </c>
      <c r="Y30" s="20">
        <f>IFERROR(Y29/P35,0)</f>
        <v>0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25</v>
      </c>
      <c r="E33" s="220">
        <f>E30+E27+E24+E21+E18+E15+F30+F27+F24+F21+F18</f>
        <v>16</v>
      </c>
      <c r="F33" s="221"/>
      <c r="H33" s="8">
        <f>H30+H27+H24+H21+H18+H15</f>
        <v>10</v>
      </c>
      <c r="J33" s="8">
        <f>J30+J27+J24+J21+J18+J15</f>
        <v>6</v>
      </c>
      <c r="L33" s="8">
        <f>L30+L27+L24+L21+L18+L15</f>
        <v>5</v>
      </c>
      <c r="N33" s="121">
        <f>N30+N27+N24+N21+N18+N15</f>
        <v>10</v>
      </c>
      <c r="O33" s="122">
        <f>O30+O27+O24+O21+O18+O15</f>
        <v>2</v>
      </c>
      <c r="P33" s="123">
        <f>P30+P27+P24+P21+P18+P15</f>
        <v>0</v>
      </c>
      <c r="Q33" s="3"/>
      <c r="R33" s="8">
        <f>R30+R27+R24+R21+R18+R15</f>
        <v>6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LJ05'!$N:$N,'Hist LJ05'!$P:$P,"Loja")</f>
        <v>19802402.350000147</v>
      </c>
      <c r="X34" s="23" t="s">
        <v>26</v>
      </c>
      <c r="Y34" s="20">
        <f>Y28+Y22+Y16</f>
        <v>2321040.8099999996</v>
      </c>
    </row>
    <row r="35" spans="2:26" x14ac:dyDescent="0.3">
      <c r="B35" s="98"/>
      <c r="C35" s="8">
        <v>19</v>
      </c>
      <c r="E35" s="220">
        <v>22</v>
      </c>
      <c r="F35" s="221"/>
      <c r="H35" s="8">
        <v>8</v>
      </c>
      <c r="J35" s="8">
        <v>2</v>
      </c>
      <c r="L35" s="8">
        <v>4</v>
      </c>
      <c r="N35" s="121">
        <v>10</v>
      </c>
      <c r="O35" s="122">
        <v>2</v>
      </c>
      <c r="P35" s="123">
        <f t="shared" ref="P35" si="0">P33/SUM($N$33:$P$33)*$O$36</f>
        <v>0</v>
      </c>
      <c r="Q35" s="3"/>
      <c r="R35" s="8">
        <v>5</v>
      </c>
      <c r="S35" s="18"/>
      <c r="U35" s="23" t="s">
        <v>32</v>
      </c>
      <c r="V35" s="20">
        <f>V34/12</f>
        <v>1650200.1958333456</v>
      </c>
      <c r="X35" s="23" t="s">
        <v>32</v>
      </c>
      <c r="Y35" s="20">
        <f>Y34/12</f>
        <v>193420.06749999998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86852.641885965553</v>
      </c>
      <c r="X36" s="23" t="s">
        <v>34</v>
      </c>
      <c r="Y36" s="20">
        <f>Y35/SUM(N35:P35)</f>
        <v>16118.338958333332</v>
      </c>
    </row>
    <row r="37" spans="2:26" ht="15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5" thickBot="1" x14ac:dyDescent="0.35">
      <c r="B38" s="98"/>
      <c r="J38" s="223"/>
      <c r="K38" s="4"/>
      <c r="L38" s="223"/>
      <c r="M38" s="4"/>
      <c r="N38" s="223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82</v>
      </c>
      <c r="K39" s="99"/>
      <c r="L39" s="40">
        <f>SUM(A35:S35)</f>
        <v>72</v>
      </c>
      <c r="M39" s="99"/>
      <c r="N39" s="41">
        <f>L39-J39</f>
        <v>-10</v>
      </c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53" priority="1" operator="lessThan">
      <formula>0</formula>
    </cfRule>
    <cfRule type="cellIs" dxfId="52" priority="2" operator="greaterThan">
      <formula>0</formula>
    </cfRule>
    <cfRule type="cellIs" dxfId="51" priority="3" operator="lessThan">
      <formula>0</formula>
    </cfRule>
    <cfRule type="cellIs" dxfId="50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33EF-7A71-43E1-8C51-954201C2C49E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106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6.2" thickBot="1" x14ac:dyDescent="0.35">
      <c r="B4" s="98"/>
      <c r="C4" s="36"/>
      <c r="D4" s="1"/>
      <c r="E4" s="36"/>
      <c r="F4" s="132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LJ06'!B20</f>
        <v>3688089.6500000041</v>
      </c>
      <c r="X4" s="23" t="s">
        <v>26</v>
      </c>
      <c r="Y4" s="20">
        <f>SUMIFS('Hist LJ06'!$N:$N,'Hist LJ06'!$P:$P,"Açougue")</f>
        <v>9739563.1599999946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LJ06'!C20</f>
        <v>3750186.3500000071</v>
      </c>
      <c r="X5" s="23" t="s">
        <v>32</v>
      </c>
      <c r="Y5" s="20">
        <f>Y4/12</f>
        <v>811630.26333333284</v>
      </c>
    </row>
    <row r="6" spans="2:25" ht="14.4" customHeight="1" x14ac:dyDescent="0.3">
      <c r="B6" s="98"/>
      <c r="C6" s="37">
        <f>V16</f>
        <v>49244758.01000008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LJ06'!D20</f>
        <v>4120868.4000000125</v>
      </c>
      <c r="X6" s="23" t="s">
        <v>34</v>
      </c>
      <c r="Y6" s="20">
        <f>Y5/H35</f>
        <v>90181.140370370311</v>
      </c>
    </row>
    <row r="7" spans="2:25" ht="16.2" thickBot="1" x14ac:dyDescent="0.35">
      <c r="B7" s="98"/>
      <c r="C7" s="92"/>
      <c r="D7" s="93"/>
      <c r="E7" s="92"/>
      <c r="F7" s="13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LJ06'!E20</f>
        <v>4257513.640000009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LJ06'!F20</f>
        <v>4148699.600000001</v>
      </c>
      <c r="X8" s="4"/>
      <c r="Y8" s="14"/>
    </row>
    <row r="9" spans="2:25" ht="14.4" customHeight="1" x14ac:dyDescent="0.3">
      <c r="B9" s="98"/>
      <c r="C9" s="37">
        <f>C6/12</f>
        <v>4103729.8341666735</v>
      </c>
      <c r="D9" s="93"/>
      <c r="E9" s="38">
        <f>C9/E6</f>
        <v>95.435577538759844</v>
      </c>
      <c r="F9" s="132"/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LJ06'!G20</f>
        <v>3975894.6600000258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LJ06'!H20</f>
        <v>4210990.3600000059</v>
      </c>
      <c r="X10" s="23" t="s">
        <v>26</v>
      </c>
      <c r="Y10" s="20">
        <f>SUMIFS('Hist LJ06'!$N:$N,'Hist LJ06'!$P:$P,"Hortifruti")</f>
        <v>6605936.1000000034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LJ06'!I20</f>
        <v>4228069.1700000102</v>
      </c>
      <c r="X11" s="23" t="s">
        <v>32</v>
      </c>
      <c r="Y11" s="28">
        <f>Y10/12</f>
        <v>550494.67500000028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LJ06'!J20</f>
        <v>3934609.0700000077</v>
      </c>
      <c r="X12" s="23" t="s">
        <v>34</v>
      </c>
      <c r="Y12" s="28">
        <f>Y11/J35</f>
        <v>110098.93500000006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LJ06'!K20</f>
        <v>4116730.3599999873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LJ06'!L20</f>
        <v>4088787.4300000076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0</v>
      </c>
      <c r="S15" s="18"/>
      <c r="U15" s="17" t="s">
        <v>62</v>
      </c>
      <c r="V15" s="20">
        <f>'Hist LJ06'!M20</f>
        <v>4724319.3199999938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LJ06'!N20</f>
        <v>49244758.01000008</v>
      </c>
      <c r="X16" s="23" t="s">
        <v>26</v>
      </c>
      <c r="Y16" s="20">
        <f>SUMIFS('Hist LJ06'!$N:$N,'Hist LJ06'!$P:$P,"Confeitaria")</f>
        <v>656472.20999999985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4103729.8341666735</v>
      </c>
      <c r="X17" s="23" t="s">
        <v>32</v>
      </c>
      <c r="Y17" s="28">
        <f>Y16/12</f>
        <v>54706.017499999987</v>
      </c>
    </row>
    <row r="18" spans="2:25" ht="15" thickBot="1" x14ac:dyDescent="0.35">
      <c r="B18" s="98"/>
      <c r="C18" s="8">
        <v>4</v>
      </c>
      <c r="E18" s="121">
        <v>8</v>
      </c>
      <c r="F18" s="123">
        <v>3</v>
      </c>
      <c r="H18" s="8">
        <v>2</v>
      </c>
      <c r="J18" s="8">
        <v>5</v>
      </c>
      <c r="L18" s="8">
        <v>3</v>
      </c>
      <c r="N18" s="121">
        <v>5</v>
      </c>
      <c r="O18" s="122">
        <v>1</v>
      </c>
      <c r="P18" s="123">
        <v>1</v>
      </c>
      <c r="Q18" s="3"/>
      <c r="R18" s="8">
        <v>2</v>
      </c>
      <c r="S18" s="18"/>
      <c r="U18" s="21" t="s">
        <v>74</v>
      </c>
      <c r="V18" s="22">
        <f>V17/43000</f>
        <v>95.435577538759844</v>
      </c>
      <c r="X18" s="23" t="s">
        <v>34</v>
      </c>
      <c r="Y18" s="28">
        <f>Y17/O35</f>
        <v>27353.008749999994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18</v>
      </c>
      <c r="E21" s="121">
        <v>1</v>
      </c>
      <c r="F21" s="123">
        <v>2</v>
      </c>
      <c r="H21" s="8">
        <v>4</v>
      </c>
      <c r="J21" s="8">
        <v>1</v>
      </c>
      <c r="L21" s="8">
        <v>2</v>
      </c>
      <c r="N21" s="121">
        <v>3</v>
      </c>
      <c r="O21" s="122">
        <v>2</v>
      </c>
      <c r="P21" s="123">
        <v>1</v>
      </c>
      <c r="Q21" s="3"/>
      <c r="R21" s="8">
        <v>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LJ06'!$N:$N,'Hist LJ06'!$P:$P,"Frios")</f>
        <v>6241154.5400000103</v>
      </c>
      <c r="X22" s="23" t="s">
        <v>26</v>
      </c>
      <c r="Y22" s="20">
        <f>SUMIFS('Hist LJ06'!$N:$N,'Hist LJ06'!$P:$P,"Padaria")</f>
        <v>2156970.5200000009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520096.21166666754</v>
      </c>
      <c r="X23" s="23" t="s">
        <v>32</v>
      </c>
      <c r="Y23" s="20">
        <f>Y22/12</f>
        <v>179747.54333333342</v>
      </c>
    </row>
    <row r="24" spans="2:25" x14ac:dyDescent="0.3">
      <c r="B24" s="98"/>
      <c r="C24" s="8">
        <v>2</v>
      </c>
      <c r="E24" s="121">
        <v>0</v>
      </c>
      <c r="F24" s="135">
        <v>2</v>
      </c>
      <c r="H24" s="8">
        <v>4</v>
      </c>
      <c r="K24" s="4"/>
      <c r="L24" s="4"/>
      <c r="N24" s="131">
        <v>2</v>
      </c>
      <c r="Q24" s="3"/>
      <c r="R24" s="8">
        <v>2</v>
      </c>
      <c r="S24" s="18"/>
      <c r="U24" s="23" t="s">
        <v>34</v>
      </c>
      <c r="V24" s="20">
        <f>V23/L35</f>
        <v>104019.2423333335</v>
      </c>
      <c r="X24" s="23" t="s">
        <v>34</v>
      </c>
      <c r="Y24" s="20">
        <f>Y23/N35</f>
        <v>14978.961944444452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5</v>
      </c>
      <c r="F27" s="123">
        <v>0</v>
      </c>
      <c r="H27" s="4"/>
      <c r="K27" s="4"/>
      <c r="L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LJ06'!$N:$N,'Hist LJ06'!$P:$P,"Loja")</f>
        <v>23299393.750000156</v>
      </c>
      <c r="X28" s="23" t="s">
        <v>26</v>
      </c>
      <c r="Y28" s="20">
        <f>SUMIFS('Hist LJ06'!$N:$N,'Hist LJ06'!$P:$P,"Rotisseria")</f>
        <v>545267.7300000001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1941616.1458333463</v>
      </c>
      <c r="X29" s="23" t="s">
        <v>32</v>
      </c>
      <c r="Y29" s="20">
        <f>Y28/12</f>
        <v>45438.977500000008</v>
      </c>
    </row>
    <row r="30" spans="2:25" x14ac:dyDescent="0.3">
      <c r="B30" s="98"/>
      <c r="C30" s="4"/>
      <c r="D30" s="4"/>
      <c r="E30" s="121">
        <v>0</v>
      </c>
      <c r="F30" s="123">
        <v>0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71911.709104938753</v>
      </c>
      <c r="X30" s="23" t="s">
        <v>34</v>
      </c>
      <c r="Y30" s="20">
        <f>IFERROR(Y29/P35,0)</f>
        <v>22719.488750000004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25</v>
      </c>
      <c r="E33" s="220">
        <f>E30+E27+E24+E21+E18+E15+F30+F27+F24+F21+F18</f>
        <v>22</v>
      </c>
      <c r="F33" s="221"/>
      <c r="H33" s="8">
        <f>H30+H27+H24+H21+H18+H15</f>
        <v>11</v>
      </c>
      <c r="J33" s="8">
        <f>J30+J27+J24+J21+J18+J15</f>
        <v>7</v>
      </c>
      <c r="L33" s="8">
        <f>L30+L27+L24+L21+L18+L15</f>
        <v>6</v>
      </c>
      <c r="N33" s="121">
        <f>N30+N27+N24+N21+N18+N15</f>
        <v>11</v>
      </c>
      <c r="O33" s="122">
        <f>O30+O27+O24+O21+O18+O15</f>
        <v>3</v>
      </c>
      <c r="P33" s="123">
        <f>P30+P27+P24+P21+P18+P15</f>
        <v>2</v>
      </c>
      <c r="Q33" s="3"/>
      <c r="R33" s="8">
        <f>R30+R27+R24+R21+R18+R15</f>
        <v>6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LJ06'!$N:$N,'Hist LJ06'!$P:$P,"Loja")</f>
        <v>23299393.750000156</v>
      </c>
      <c r="X34" s="23" t="s">
        <v>26</v>
      </c>
      <c r="Y34" s="20">
        <f>Y28+Y22+Y16</f>
        <v>3358710.4600000009</v>
      </c>
    </row>
    <row r="35" spans="2:26" x14ac:dyDescent="0.3">
      <c r="B35" s="98"/>
      <c r="C35" s="8">
        <v>23</v>
      </c>
      <c r="E35" s="220">
        <v>23</v>
      </c>
      <c r="F35" s="221"/>
      <c r="H35" s="8">
        <v>9</v>
      </c>
      <c r="J35" s="8">
        <v>5</v>
      </c>
      <c r="L35" s="8">
        <v>5</v>
      </c>
      <c r="N35" s="121">
        <v>12</v>
      </c>
      <c r="O35" s="122">
        <v>2</v>
      </c>
      <c r="P35" s="123">
        <v>2</v>
      </c>
      <c r="Q35" s="3"/>
      <c r="R35" s="8">
        <v>4</v>
      </c>
      <c r="S35" s="18"/>
      <c r="U35" s="23" t="s">
        <v>32</v>
      </c>
      <c r="V35" s="20">
        <f>V34/12</f>
        <v>1941616.1458333463</v>
      </c>
      <c r="X35" s="23" t="s">
        <v>32</v>
      </c>
      <c r="Y35" s="20">
        <f>Y34/12</f>
        <v>279892.53833333339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84418.093297102008</v>
      </c>
      <c r="X36" s="23" t="s">
        <v>34</v>
      </c>
      <c r="Y36" s="20">
        <f>Y35/SUM(N35:P35)</f>
        <v>17493.283645833337</v>
      </c>
    </row>
    <row r="37" spans="2:26" ht="15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5" thickBot="1" x14ac:dyDescent="0.35">
      <c r="B38" s="98"/>
      <c r="J38" s="223"/>
      <c r="K38" s="4"/>
      <c r="L38" s="223"/>
      <c r="M38" s="4"/>
      <c r="N38" s="223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95</v>
      </c>
      <c r="K39" s="99"/>
      <c r="L39" s="40">
        <f>SUM(A35:S35)</f>
        <v>85</v>
      </c>
      <c r="M39" s="99"/>
      <c r="N39" s="41">
        <f>L39-J39</f>
        <v>-10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49" priority="1" operator="lessThan">
      <formula>0</formula>
    </cfRule>
    <cfRule type="cellIs" dxfId="48" priority="2" operator="greaterThan">
      <formula>0</formula>
    </cfRule>
    <cfRule type="cellIs" dxfId="47" priority="3" operator="lessThan">
      <formula>0</formula>
    </cfRule>
    <cfRule type="cellIs" dxfId="46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C323-D1A7-4EEA-829C-31CBF53AE9CA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441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107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5" thickBot="1" x14ac:dyDescent="0.35">
      <c r="B4" s="98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LJ07'!B20</f>
        <v>3821531.6400000043</v>
      </c>
      <c r="X4" s="23" t="s">
        <v>26</v>
      </c>
      <c r="Y4" s="20">
        <f>SUMIFS('Hist LJ07'!$N:$N,'Hist LJ07'!$P:$P,"Açougue")</f>
        <v>8011649.4800000032</v>
      </c>
    </row>
    <row r="5" spans="2:25" ht="27.6" x14ac:dyDescent="0.3">
      <c r="B5" s="98"/>
      <c r="C5" s="16" t="s">
        <v>27</v>
      </c>
      <c r="D5" s="93"/>
      <c r="E5" s="16" t="s">
        <v>28</v>
      </c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LJ07'!C20</f>
        <v>3629668.459999999</v>
      </c>
      <c r="X5" s="23" t="s">
        <v>32</v>
      </c>
      <c r="Y5" s="20">
        <f>Y4/12</f>
        <v>667637.4566666669</v>
      </c>
    </row>
    <row r="6" spans="2:25" ht="14.4" customHeight="1" x14ac:dyDescent="0.3">
      <c r="B6" s="98"/>
      <c r="C6" s="37">
        <f>V16</f>
        <v>48793096.350000054</v>
      </c>
      <c r="D6" s="93"/>
      <c r="E6" s="37">
        <v>43000</v>
      </c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LJ07'!D20</f>
        <v>4145407.47</v>
      </c>
      <c r="X6" s="23" t="s">
        <v>34</v>
      </c>
      <c r="Y6" s="20">
        <f>Y5/H35</f>
        <v>95376.779523809557</v>
      </c>
    </row>
    <row r="7" spans="2:25" ht="16.2" thickBot="1" x14ac:dyDescent="0.35">
      <c r="B7" s="98"/>
      <c r="C7" s="92"/>
      <c r="D7" s="93"/>
      <c r="E7" s="9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LJ07'!E20</f>
        <v>4341610.5700000115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LJ07'!F20</f>
        <v>4016592.5700000157</v>
      </c>
      <c r="X8" s="4"/>
      <c r="Y8" s="14"/>
    </row>
    <row r="9" spans="2:25" ht="14.4" customHeight="1" x14ac:dyDescent="0.3">
      <c r="B9" s="98"/>
      <c r="C9" s="37">
        <f>C6/12</f>
        <v>4066091.3625000045</v>
      </c>
      <c r="D9" s="93"/>
      <c r="E9" s="38">
        <f>C9/E6</f>
        <v>94.560264244186143</v>
      </c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LJ07'!G20</f>
        <v>3792851.7700000079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LJ07'!H20</f>
        <v>4114301.7400000063</v>
      </c>
      <c r="X10" s="23" t="s">
        <v>26</v>
      </c>
      <c r="Y10" s="20">
        <f>SUMIFS('Hist LJ07'!$N:$N,'Hist LJ07'!$P:$P,"Hortifruti")</f>
        <v>5758169.3600000031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LJ07'!I20</f>
        <v>4102324.9200000069</v>
      </c>
      <c r="X11" s="23" t="s">
        <v>32</v>
      </c>
      <c r="Y11" s="28">
        <f>Y10/12</f>
        <v>479847.44666666695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LJ07'!J20</f>
        <v>3896949.4000000032</v>
      </c>
      <c r="X12" s="23" t="s">
        <v>34</v>
      </c>
      <c r="Y12" s="28">
        <f>Y11/J35</f>
        <v>79974.574444444486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LJ07'!K20</f>
        <v>3922833.7800000058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LJ07'!L20</f>
        <v>4199361.370000001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1</v>
      </c>
      <c r="S15" s="18"/>
      <c r="U15" s="17" t="s">
        <v>62</v>
      </c>
      <c r="V15" s="20">
        <f>'Hist LJ07'!M20</f>
        <v>4809662.6599999852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LJ07'!N20</f>
        <v>48793096.350000054</v>
      </c>
      <c r="X16" s="23" t="s">
        <v>26</v>
      </c>
      <c r="Y16" s="20">
        <f>SUMIFS('Hist LJ07'!$N:$N,'Hist LJ07'!$P:$P,"Confeitaria")</f>
        <v>612869.44999999995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4066091.3625000045</v>
      </c>
      <c r="X17" s="23" t="s">
        <v>32</v>
      </c>
      <c r="Y17" s="28">
        <f>Y16/12</f>
        <v>51072.454166666663</v>
      </c>
    </row>
    <row r="18" spans="2:25" ht="15" thickBot="1" x14ac:dyDescent="0.35">
      <c r="B18" s="98"/>
      <c r="C18" s="8">
        <v>4</v>
      </c>
      <c r="E18" s="121">
        <v>9</v>
      </c>
      <c r="F18" s="123">
        <v>3</v>
      </c>
      <c r="H18" s="8">
        <v>2</v>
      </c>
      <c r="J18" s="8">
        <v>4</v>
      </c>
      <c r="L18" s="8">
        <v>3</v>
      </c>
      <c r="N18" s="121">
        <v>4</v>
      </c>
      <c r="O18" s="122">
        <v>1</v>
      </c>
      <c r="P18" s="123">
        <v>1</v>
      </c>
      <c r="Q18" s="3"/>
      <c r="R18" s="8">
        <v>1</v>
      </c>
      <c r="S18" s="18"/>
      <c r="U18" s="21" t="s">
        <v>74</v>
      </c>
      <c r="V18" s="22">
        <f>V17/43000</f>
        <v>94.560264244186143</v>
      </c>
      <c r="X18" s="23" t="s">
        <v>34</v>
      </c>
      <c r="Y18" s="28">
        <f>Y17/O35</f>
        <v>25536.227083333331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20</v>
      </c>
      <c r="E21" s="121">
        <v>1</v>
      </c>
      <c r="F21" s="123">
        <v>1</v>
      </c>
      <c r="H21" s="8">
        <v>4</v>
      </c>
      <c r="J21" s="8">
        <v>1</v>
      </c>
      <c r="L21" s="8">
        <v>2</v>
      </c>
      <c r="N21" s="121">
        <v>2</v>
      </c>
      <c r="O21" s="122">
        <v>1</v>
      </c>
      <c r="P21" s="123">
        <v>1</v>
      </c>
      <c r="Q21" s="3"/>
      <c r="R21" s="8">
        <v>2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LJ07'!$N:$N,'Hist LJ07'!$P:$P,"Frios")</f>
        <v>5677925.1700000055</v>
      </c>
      <c r="X22" s="23" t="s">
        <v>26</v>
      </c>
      <c r="Y22" s="20">
        <f>SUMIFS('Hist LJ07'!$N:$N,'Hist LJ07'!$P:$P,"Padaria")</f>
        <v>1235218.0300000005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473160.43083333381</v>
      </c>
      <c r="X23" s="23" t="s">
        <v>32</v>
      </c>
      <c r="Y23" s="20">
        <f>Y22/12</f>
        <v>102934.83583333337</v>
      </c>
    </row>
    <row r="24" spans="2:25" x14ac:dyDescent="0.3">
      <c r="B24" s="98"/>
      <c r="C24" s="8">
        <v>4</v>
      </c>
      <c r="E24" s="121">
        <v>0</v>
      </c>
      <c r="F24" s="135">
        <v>4</v>
      </c>
      <c r="H24" s="8">
        <v>3</v>
      </c>
      <c r="K24" s="4"/>
      <c r="L24" s="4"/>
      <c r="N24" s="131">
        <v>1</v>
      </c>
      <c r="Q24" s="3"/>
      <c r="R24" s="8">
        <v>2</v>
      </c>
      <c r="S24" s="18"/>
      <c r="U24" s="23" t="s">
        <v>34</v>
      </c>
      <c r="V24" s="20">
        <f>V23/L35</f>
        <v>157720.14361111127</v>
      </c>
      <c r="X24" s="23" t="s">
        <v>34</v>
      </c>
      <c r="Y24" s="20">
        <f>Y23/N35</f>
        <v>9357.7123484848526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2</v>
      </c>
      <c r="F27" s="123">
        <v>2</v>
      </c>
      <c r="H27" s="4"/>
      <c r="K27" s="4"/>
      <c r="L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LJ07'!$N:$N,'Hist LJ07'!$P:$P,"Loja")</f>
        <v>27119394.610000152</v>
      </c>
      <c r="X28" s="23" t="s">
        <v>26</v>
      </c>
      <c r="Y28" s="20">
        <f>SUMIFS('Hist LJ07'!$N:$N,'Hist LJ07'!$P:$P,"Rotisseria")</f>
        <v>377870.24999999994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2259949.5508333459</v>
      </c>
      <c r="X29" s="23" t="s">
        <v>32</v>
      </c>
      <c r="Y29" s="20">
        <f>Y28/12</f>
        <v>31489.187499999996</v>
      </c>
    </row>
    <row r="30" spans="2:25" x14ac:dyDescent="0.3">
      <c r="B30" s="98"/>
      <c r="C30" s="4"/>
      <c r="D30" s="4"/>
      <c r="E30" s="121">
        <v>0</v>
      </c>
      <c r="F30" s="123">
        <v>0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77929.294856322274</v>
      </c>
      <c r="X30" s="23" t="s">
        <v>34</v>
      </c>
      <c r="Y30" s="20">
        <f>IFERROR(Y29/P35,0)</f>
        <v>15744.593749999998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29</v>
      </c>
      <c r="E33" s="220">
        <f>E30+E27+E24+E21+E18+E15+F30+F27+F24+F21+F18</f>
        <v>23</v>
      </c>
      <c r="F33" s="221"/>
      <c r="H33" s="8">
        <f>H30+H27+H24+H21+H18+H15</f>
        <v>10</v>
      </c>
      <c r="J33" s="8">
        <f>J30+J27+J24+J21+J18+J15</f>
        <v>6</v>
      </c>
      <c r="L33" s="8">
        <f>L30+L27+L24+L21+L18+L15</f>
        <v>6</v>
      </c>
      <c r="N33" s="121">
        <f>N30+N27+N24+N21+N18+N15</f>
        <v>8</v>
      </c>
      <c r="O33" s="122">
        <f>O30+O27+O24+O21+O18+O15</f>
        <v>2</v>
      </c>
      <c r="P33" s="123">
        <f>P30+P27+P24+P21+P18+P15</f>
        <v>2</v>
      </c>
      <c r="Q33" s="3"/>
      <c r="R33" s="8">
        <f>R30+R27+R24+R21+R18+R15</f>
        <v>7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LJ07'!$N:$N,'Hist LJ07'!$P:$P,"Loja")</f>
        <v>27119394.610000152</v>
      </c>
      <c r="X34" s="23" t="s">
        <v>26</v>
      </c>
      <c r="Y34" s="20">
        <f>Y28+Y22+Y16</f>
        <v>2225957.7300000004</v>
      </c>
    </row>
    <row r="35" spans="2:26" x14ac:dyDescent="0.3">
      <c r="B35" s="98"/>
      <c r="C35" s="8">
        <v>32</v>
      </c>
      <c r="E35" s="220">
        <v>25</v>
      </c>
      <c r="F35" s="221"/>
      <c r="H35" s="8">
        <v>7</v>
      </c>
      <c r="J35" s="8">
        <v>6</v>
      </c>
      <c r="L35" s="8">
        <v>3</v>
      </c>
      <c r="N35" s="121">
        <v>11</v>
      </c>
      <c r="O35" s="122">
        <v>2</v>
      </c>
      <c r="P35" s="123">
        <v>2</v>
      </c>
      <c r="Q35" s="3"/>
      <c r="R35" s="8">
        <v>4</v>
      </c>
      <c r="S35" s="18"/>
      <c r="U35" s="23" t="s">
        <v>32</v>
      </c>
      <c r="V35" s="20">
        <f>V34/12</f>
        <v>2259949.5508333459</v>
      </c>
      <c r="X35" s="23" t="s">
        <v>32</v>
      </c>
      <c r="Y35" s="20">
        <f>Y34/12</f>
        <v>185496.47750000004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70623.423463542058</v>
      </c>
      <c r="X36" s="23" t="s">
        <v>34</v>
      </c>
      <c r="Y36" s="20">
        <f>Y35/SUM(N35:P35)</f>
        <v>12366.431833333336</v>
      </c>
    </row>
    <row r="37" spans="2:26" ht="12.6" customHeight="1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O37" s="117"/>
      <c r="P37" s="117"/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8.600000000000001" thickBot="1" x14ac:dyDescent="0.35">
      <c r="B38" s="98"/>
      <c r="J38" s="223"/>
      <c r="K38" s="4"/>
      <c r="L38" s="223"/>
      <c r="M38" s="4"/>
      <c r="N38" s="223"/>
      <c r="O38" s="117"/>
      <c r="P38" s="117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95</v>
      </c>
      <c r="K39" s="99"/>
      <c r="L39" s="40">
        <f>SUM(C35:R35)</f>
        <v>92</v>
      </c>
      <c r="M39" s="99"/>
      <c r="N39" s="41">
        <f>L39-J39</f>
        <v>-3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O37:P39 N39:R39">
    <cfRule type="cellIs" dxfId="45" priority="1" operator="lessThan">
      <formula>0</formula>
    </cfRule>
    <cfRule type="cellIs" dxfId="44" priority="2" operator="greaterThan">
      <formula>0</formula>
    </cfRule>
    <cfRule type="cellIs" dxfId="43" priority="3" operator="lessThan">
      <formula>0</formula>
    </cfRule>
    <cfRule type="cellIs" dxfId="42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D4C8-3ACA-411B-9A5F-9684644C21D6}">
  <sheetPr>
    <tabColor theme="5" tint="-0.499984740745262"/>
    <pageSetUpPr fitToPage="1"/>
  </sheetPr>
  <dimension ref="A1:Z41"/>
  <sheetViews>
    <sheetView showGridLines="0" topLeftCell="A2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66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108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6.2" thickBot="1" x14ac:dyDescent="0.35">
      <c r="B4" s="98"/>
      <c r="C4" s="36"/>
      <c r="D4" s="1"/>
      <c r="E4" s="36"/>
      <c r="F4" s="132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LJ08'!B20</f>
        <v>3219511.350000002</v>
      </c>
      <c r="X4" s="23" t="s">
        <v>26</v>
      </c>
      <c r="Y4" s="20">
        <f>SUMIFS('Hist LJ08'!$N:$N,'Hist LJ08'!$P:$P,"Açougue")</f>
        <v>5763222.339999998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LJ08'!C20</f>
        <v>3101720.290000001</v>
      </c>
      <c r="X5" s="23" t="s">
        <v>32</v>
      </c>
      <c r="Y5" s="20">
        <f>Y4/12</f>
        <v>480268.52833333315</v>
      </c>
    </row>
    <row r="6" spans="2:25" ht="14.4" customHeight="1" x14ac:dyDescent="0.3">
      <c r="B6" s="98"/>
      <c r="C6" s="37">
        <f>V16</f>
        <v>40395066.50000006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LJ08'!D20</f>
        <v>3370344.0800000075</v>
      </c>
      <c r="X6" s="23" t="s">
        <v>34</v>
      </c>
      <c r="Y6" s="20">
        <f>Y5/H35</f>
        <v>53363.169814814792</v>
      </c>
    </row>
    <row r="7" spans="2:25" ht="16.2" thickBot="1" x14ac:dyDescent="0.35">
      <c r="B7" s="98"/>
      <c r="C7" s="92"/>
      <c r="D7" s="93"/>
      <c r="E7" s="92"/>
      <c r="F7" s="132"/>
      <c r="H7" s="209">
        <v>1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LJ08'!E20</f>
        <v>3379026.7800000054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LJ08'!F20</f>
        <v>3349745.2200000025</v>
      </c>
      <c r="X8" s="4"/>
      <c r="Y8" s="14"/>
    </row>
    <row r="9" spans="2:25" ht="14.4" customHeight="1" x14ac:dyDescent="0.3">
      <c r="B9" s="98"/>
      <c r="C9" s="37">
        <f>C6/12</f>
        <v>3366255.5416666716</v>
      </c>
      <c r="D9" s="93"/>
      <c r="E9" s="38">
        <f>C9/E6</f>
        <v>78.285012596899335</v>
      </c>
      <c r="F9" s="132"/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LJ08'!G20</f>
        <v>3073145.9500000039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LJ08'!H20</f>
        <v>3277172.190000006</v>
      </c>
      <c r="X10" s="23" t="s">
        <v>26</v>
      </c>
      <c r="Y10" s="20">
        <f>SUMIFS('Hist LJ08'!$N:$N,'Hist LJ08'!$P:$P,"Hortifruti")</f>
        <v>4834607.6000000043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LJ08'!I20</f>
        <v>3265256.8200000073</v>
      </c>
      <c r="X11" s="23" t="s">
        <v>32</v>
      </c>
      <c r="Y11" s="28">
        <f>Y10/12</f>
        <v>402883.96666666702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LJ08'!J20</f>
        <v>3058803.9700000077</v>
      </c>
      <c r="X12" s="23" t="s">
        <v>34</v>
      </c>
      <c r="Y12" s="28">
        <f>Y11/J35</f>
        <v>80576.793333333408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LJ08'!K20</f>
        <v>3373792.8500000034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LJ08'!L20</f>
        <v>3601251.9000000022</v>
      </c>
      <c r="X14" s="4"/>
      <c r="Y14" s="14"/>
    </row>
    <row r="15" spans="2:25" x14ac:dyDescent="0.3">
      <c r="B15" s="98"/>
      <c r="C15" s="8">
        <v>1</v>
      </c>
      <c r="E15" s="220">
        <v>1</v>
      </c>
      <c r="F15" s="221"/>
      <c r="H15" s="8">
        <v>1</v>
      </c>
      <c r="J15" s="8">
        <v>1</v>
      </c>
      <c r="L15" s="8">
        <v>1</v>
      </c>
      <c r="N15" s="121">
        <v>1</v>
      </c>
      <c r="O15" s="122">
        <v>0</v>
      </c>
      <c r="P15" s="123">
        <v>0</v>
      </c>
      <c r="Q15" s="3"/>
      <c r="R15" s="8">
        <v>1</v>
      </c>
      <c r="S15" s="18"/>
      <c r="U15" s="17" t="s">
        <v>62</v>
      </c>
      <c r="V15" s="20">
        <f>'Hist LJ08'!M20</f>
        <v>4325295.1000000108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LJ08'!N20</f>
        <v>40395066.50000006</v>
      </c>
      <c r="X16" s="23" t="s">
        <v>26</v>
      </c>
      <c r="Y16" s="20">
        <f>SUMIFS('Hist LJ08'!$N:$N,'Hist LJ08'!$P:$P,"Confeitaria")</f>
        <v>608704.16999999993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3366255.5416666716</v>
      </c>
      <c r="X17" s="23" t="s">
        <v>32</v>
      </c>
      <c r="Y17" s="28">
        <f>Y16/12</f>
        <v>50725.347499999996</v>
      </c>
    </row>
    <row r="18" spans="2:25" ht="15" thickBot="1" x14ac:dyDescent="0.35">
      <c r="B18" s="98"/>
      <c r="C18" s="8">
        <v>3</v>
      </c>
      <c r="E18" s="121">
        <v>6</v>
      </c>
      <c r="F18" s="123">
        <v>3</v>
      </c>
      <c r="H18" s="8">
        <v>2</v>
      </c>
      <c r="J18" s="8">
        <v>4</v>
      </c>
      <c r="L18" s="8">
        <v>2</v>
      </c>
      <c r="N18" s="121">
        <v>5</v>
      </c>
      <c r="O18" s="122">
        <v>1</v>
      </c>
      <c r="P18" s="123">
        <v>1</v>
      </c>
      <c r="Q18" s="3"/>
      <c r="R18" s="8">
        <v>1</v>
      </c>
      <c r="S18" s="18"/>
      <c r="U18" s="21" t="s">
        <v>74</v>
      </c>
      <c r="V18" s="22">
        <f>V17/43000</f>
        <v>78.285012596899335</v>
      </c>
      <c r="X18" s="23" t="s">
        <v>34</v>
      </c>
      <c r="Y18" s="28">
        <f>Y17/O35</f>
        <v>25362.673749999998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v>15</v>
      </c>
      <c r="E21" s="121">
        <v>1</v>
      </c>
      <c r="F21" s="123">
        <v>2</v>
      </c>
      <c r="H21" s="8">
        <v>3</v>
      </c>
      <c r="J21" s="8">
        <v>1</v>
      </c>
      <c r="L21" s="8">
        <v>2</v>
      </c>
      <c r="N21" s="121">
        <v>3</v>
      </c>
      <c r="O21" s="122">
        <v>1</v>
      </c>
      <c r="P21" s="123">
        <v>1</v>
      </c>
      <c r="Q21" s="3"/>
      <c r="R21" s="8">
        <v>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LJ08'!$N:$N,'Hist LJ08'!$P:$P,"Frios")</f>
        <v>5713222.6300000083</v>
      </c>
      <c r="X22" s="23" t="s">
        <v>26</v>
      </c>
      <c r="Y22" s="20">
        <f>SUMIFS('Hist LJ08'!$N:$N,'Hist LJ08'!$P:$P,"Padaria")</f>
        <v>1850270.94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476101.885833334</v>
      </c>
      <c r="X23" s="23" t="s">
        <v>32</v>
      </c>
      <c r="Y23" s="20">
        <f>Y22/12</f>
        <v>154189.245</v>
      </c>
    </row>
    <row r="24" spans="2:25" x14ac:dyDescent="0.3">
      <c r="B24" s="98"/>
      <c r="C24" s="8">
        <v>0</v>
      </c>
      <c r="E24" s="121">
        <v>0</v>
      </c>
      <c r="F24" s="135">
        <v>1</v>
      </c>
      <c r="H24" s="8">
        <v>2</v>
      </c>
      <c r="K24" s="4"/>
      <c r="L24" s="4"/>
      <c r="N24" s="131">
        <v>1</v>
      </c>
      <c r="Q24" s="3"/>
      <c r="R24" s="8">
        <v>2</v>
      </c>
      <c r="S24" s="18"/>
      <c r="U24" s="23" t="s">
        <v>34</v>
      </c>
      <c r="V24" s="20">
        <f>V23/L35</f>
        <v>68014.555119047713</v>
      </c>
      <c r="X24" s="23" t="s">
        <v>34</v>
      </c>
      <c r="Y24" s="20">
        <f>Y23/N35</f>
        <v>11860.711153846154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v>2</v>
      </c>
      <c r="F27" s="123">
        <v>1</v>
      </c>
      <c r="H27" s="4"/>
      <c r="K27" s="4"/>
      <c r="L27" s="4"/>
      <c r="N27" s="4"/>
      <c r="Q27" s="3"/>
      <c r="R27" s="8">
        <v>1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LJ08'!$N:$N,'Hist LJ08'!$P:$P,"Loja")</f>
        <v>20800045.410000172</v>
      </c>
      <c r="X28" s="23" t="s">
        <v>26</v>
      </c>
      <c r="Y28" s="20">
        <f>SUMIFS('Hist LJ08'!$N:$N,'Hist LJ08'!$P:$P,"Rotisseria")</f>
        <v>824993.41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1733337.1175000144</v>
      </c>
      <c r="X29" s="23" t="s">
        <v>32</v>
      </c>
      <c r="Y29" s="20">
        <f>Y28/12</f>
        <v>68749.450833333336</v>
      </c>
    </row>
    <row r="30" spans="2:25" x14ac:dyDescent="0.3">
      <c r="B30" s="98"/>
      <c r="C30" s="4"/>
      <c r="D30" s="4"/>
      <c r="E30" s="121">
        <v>1</v>
      </c>
      <c r="F30" s="123">
        <v>0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86666.855875000721</v>
      </c>
      <c r="X30" s="23" t="s">
        <v>34</v>
      </c>
      <c r="Y30" s="20">
        <f>IFERROR(Y29/P35,0)</f>
        <v>34374.725416666668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19</v>
      </c>
      <c r="E33" s="220">
        <f>E30+E27+E24+E21+E18+E15+F30+F27+F24+F21+F18</f>
        <v>18</v>
      </c>
      <c r="F33" s="221"/>
      <c r="H33" s="8">
        <f>H30+H27+H24+H21+H18+H15</f>
        <v>8</v>
      </c>
      <c r="J33" s="8">
        <f>J30+J27+J24+J21+J18+J15</f>
        <v>6</v>
      </c>
      <c r="L33" s="8">
        <f>L30+L27+L24+L21+L18+L15</f>
        <v>5</v>
      </c>
      <c r="N33" s="121">
        <f>N30+N27+N24+N21+N18+N15</f>
        <v>10</v>
      </c>
      <c r="O33" s="122">
        <f>O30+O27+O24+O21+O18+O15</f>
        <v>2</v>
      </c>
      <c r="P33" s="123">
        <f>P30+P27+P24+P21+P18+P15</f>
        <v>2</v>
      </c>
      <c r="Q33" s="3"/>
      <c r="R33" s="8">
        <f>R27+R30+R24+R21+R18+R15</f>
        <v>6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LJ08'!$N:$N,'Hist LJ08'!$P:$P,"Loja")</f>
        <v>20800045.410000172</v>
      </c>
      <c r="X34" s="23" t="s">
        <v>26</v>
      </c>
      <c r="Y34" s="20">
        <f>Y28+Y22+Y16</f>
        <v>3283968.52</v>
      </c>
    </row>
    <row r="35" spans="2:26" x14ac:dyDescent="0.3">
      <c r="B35" s="98"/>
      <c r="C35" s="8">
        <v>31</v>
      </c>
      <c r="E35" s="220">
        <v>16</v>
      </c>
      <c r="F35" s="221"/>
      <c r="H35" s="8">
        <v>9</v>
      </c>
      <c r="J35" s="8">
        <v>5</v>
      </c>
      <c r="L35" s="8">
        <v>7</v>
      </c>
      <c r="N35" s="121">
        <v>13</v>
      </c>
      <c r="O35" s="122">
        <v>2</v>
      </c>
      <c r="P35" s="123">
        <v>2</v>
      </c>
      <c r="Q35" s="3"/>
      <c r="R35" s="8">
        <v>4</v>
      </c>
      <c r="S35" s="18"/>
      <c r="U35" s="23" t="s">
        <v>32</v>
      </c>
      <c r="V35" s="20">
        <f>V34/12</f>
        <v>1733337.1175000144</v>
      </c>
      <c r="X35" s="23" t="s">
        <v>32</v>
      </c>
      <c r="Y35" s="20">
        <f>Y34/12</f>
        <v>273664.04333333333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55914.100564516593</v>
      </c>
      <c r="X36" s="23" t="s">
        <v>34</v>
      </c>
      <c r="Y36" s="20">
        <f>Y35/SUM(N35:P35)</f>
        <v>16097.884901960784</v>
      </c>
    </row>
    <row r="37" spans="2:26" ht="11.4" customHeight="1" thickBot="1" x14ac:dyDescent="0.35">
      <c r="B37" s="98"/>
      <c r="J37" s="222" t="s">
        <v>64</v>
      </c>
      <c r="K37" s="4"/>
      <c r="L37" s="222" t="s">
        <v>99</v>
      </c>
      <c r="M37" s="4"/>
      <c r="N37" s="222" t="s">
        <v>100</v>
      </c>
      <c r="O37" s="117"/>
      <c r="P37" s="117"/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8.600000000000001" thickBot="1" x14ac:dyDescent="0.35">
      <c r="B38" s="98"/>
      <c r="J38" s="223"/>
      <c r="K38" s="4"/>
      <c r="L38" s="223"/>
      <c r="M38" s="4"/>
      <c r="N38" s="223"/>
      <c r="O38" s="117"/>
      <c r="P38" s="117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78</v>
      </c>
      <c r="K39" s="99"/>
      <c r="L39" s="40">
        <f>SUM(C35:R35)</f>
        <v>89</v>
      </c>
      <c r="M39" s="99"/>
      <c r="N39" s="41">
        <f>L39-J39</f>
        <v>11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E34:F34"/>
    <mergeCell ref="E35:F35"/>
    <mergeCell ref="J37:J38"/>
    <mergeCell ref="L37:L38"/>
    <mergeCell ref="N37:N38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O37:P39 N39:R39">
    <cfRule type="cellIs" dxfId="41" priority="1" operator="lessThan">
      <formula>0</formula>
    </cfRule>
    <cfRule type="cellIs" dxfId="40" priority="2" operator="greaterThan">
      <formula>0</formula>
    </cfRule>
    <cfRule type="cellIs" dxfId="39" priority="3" operator="lessThan">
      <formula>0</formula>
    </cfRule>
    <cfRule type="cellIs" dxfId="38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63A2-69D2-495C-AFF2-A6A6BA244788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9.33203125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9.6640625" style="13" bestFit="1" customWidth="1"/>
    <col min="23" max="23" width="2.88671875" style="2" customWidth="1"/>
    <col min="24" max="25" width="18.6640625" style="2" customWidth="1"/>
    <col min="26" max="26" width="2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109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6.2" thickBot="1" x14ac:dyDescent="0.35">
      <c r="B4" s="98"/>
      <c r="C4" s="36"/>
      <c r="D4" s="1"/>
      <c r="E4" s="36"/>
      <c r="F4" s="132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LJTT'!B20</f>
        <v>26463387.28999998</v>
      </c>
      <c r="X4" s="23" t="s">
        <v>26</v>
      </c>
      <c r="Y4" s="20">
        <f>SUMIFS('Hist LJTT'!$N:$N,'Hist LJTT'!$P:$P,"Açougue")</f>
        <v>61145643.18999999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LJTT'!C20</f>
        <v>25496698.239999965</v>
      </c>
      <c r="X5" s="23" t="s">
        <v>32</v>
      </c>
      <c r="Y5" s="20">
        <f>Y4/12</f>
        <v>5095470.2658333322</v>
      </c>
    </row>
    <row r="6" spans="2:25" ht="14.4" customHeight="1" x14ac:dyDescent="0.3">
      <c r="B6" s="98"/>
      <c r="C6" s="37">
        <f>V16</f>
        <v>339847055.42000014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LJTT'!D20</f>
        <v>28607643.570000067</v>
      </c>
      <c r="X6" s="23" t="s">
        <v>34</v>
      </c>
      <c r="Y6" s="20">
        <f>Y5/H35</f>
        <v>78391.850243589724</v>
      </c>
    </row>
    <row r="7" spans="2:25" ht="16.2" thickBot="1" x14ac:dyDescent="0.35">
      <c r="B7" s="98"/>
      <c r="C7" s="92"/>
      <c r="D7" s="93"/>
      <c r="E7" s="92"/>
      <c r="F7" s="132"/>
      <c r="H7" s="209">
        <v>8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LJTT'!E20</f>
        <v>29096925.779999994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LJTT'!F20</f>
        <v>28598245.709999979</v>
      </c>
      <c r="X8" s="4"/>
      <c r="Y8" s="14"/>
    </row>
    <row r="9" spans="2:25" ht="14.4" customHeight="1" x14ac:dyDescent="0.3">
      <c r="B9" s="98"/>
      <c r="C9" s="37">
        <f>C6/12</f>
        <v>28320587.951666679</v>
      </c>
      <c r="D9" s="93"/>
      <c r="E9" s="38">
        <f>'PLJ01'!E9+'PLJ02'!E9+'PLJ03'!E9+'PLJ04'!E9+'PLJ05'!E9+'PLJ06'!E9+'PLJ07'!E9+'PLJ08'!E9</f>
        <v>658.61832445736457</v>
      </c>
      <c r="F9" s="132"/>
      <c r="H9" s="203" t="s">
        <v>42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LJTT'!G20</f>
        <v>27142168.41000006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LJTT'!H20</f>
        <v>28623443.749999952</v>
      </c>
      <c r="X10" s="23" t="s">
        <v>26</v>
      </c>
      <c r="Y10" s="20">
        <f>SUMIFS('Hist LJTT'!$N:$N,'Hist LJTT'!$P:$P,"Hortifruti")</f>
        <v>44203372.56000004</v>
      </c>
    </row>
    <row r="11" spans="2:25" ht="15" thickBot="1" x14ac:dyDescent="0.35">
      <c r="B11" s="98"/>
      <c r="H11" s="209">
        <v>9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LJTT'!I20</f>
        <v>28673916.360000048</v>
      </c>
      <c r="X11" s="23" t="s">
        <v>32</v>
      </c>
      <c r="Y11" s="28">
        <f>Y10/12</f>
        <v>3683614.3800000031</v>
      </c>
    </row>
    <row r="12" spans="2:25" x14ac:dyDescent="0.3">
      <c r="B12" s="98"/>
      <c r="N12" s="2"/>
      <c r="O12" s="2"/>
      <c r="P12" s="2"/>
      <c r="R12" s="2"/>
      <c r="S12" s="18"/>
      <c r="U12" s="17" t="s">
        <v>49</v>
      </c>
      <c r="V12" s="20">
        <f>'Hist LJTT'!J20</f>
        <v>27093247.620000038</v>
      </c>
      <c r="X12" s="23" t="s">
        <v>34</v>
      </c>
      <c r="Y12" s="28">
        <f>Y11/J35</f>
        <v>92090.359500000079</v>
      </c>
    </row>
    <row r="13" spans="2:25" ht="18.600000000000001" customHeight="1" thickBot="1" x14ac:dyDescent="0.35">
      <c r="B13" s="98"/>
      <c r="C13" s="110" t="s">
        <v>50</v>
      </c>
      <c r="D13" s="4"/>
      <c r="E13" s="216" t="s">
        <v>51</v>
      </c>
      <c r="F13" s="217"/>
      <c r="G13" s="4"/>
      <c r="H13" s="108" t="s">
        <v>52</v>
      </c>
      <c r="J13" s="106" t="s">
        <v>53</v>
      </c>
      <c r="K13" s="4"/>
      <c r="L13" s="104" t="s">
        <v>54</v>
      </c>
      <c r="M13" s="4"/>
      <c r="N13" s="127" t="s">
        <v>55</v>
      </c>
      <c r="O13" s="128" t="s">
        <v>56</v>
      </c>
      <c r="P13" s="129" t="s">
        <v>57</v>
      </c>
      <c r="R13" s="112" t="s">
        <v>58</v>
      </c>
      <c r="S13" s="18"/>
      <c r="U13" s="17" t="s">
        <v>59</v>
      </c>
      <c r="V13" s="20">
        <f>'Hist LJTT'!K20</f>
        <v>28065647.11999999</v>
      </c>
      <c r="X13" s="25" t="s">
        <v>36</v>
      </c>
      <c r="Y13" s="29">
        <v>80000</v>
      </c>
    </row>
    <row r="14" spans="2:25" ht="18.600000000000001" customHeight="1" thickBot="1" x14ac:dyDescent="0.35">
      <c r="B14" s="98"/>
      <c r="C14" s="111" t="s">
        <v>60</v>
      </c>
      <c r="E14" s="218" t="s">
        <v>60</v>
      </c>
      <c r="F14" s="219"/>
      <c r="H14" s="109" t="s">
        <v>60</v>
      </c>
      <c r="J14" s="107" t="s">
        <v>60</v>
      </c>
      <c r="L14" s="105" t="s">
        <v>60</v>
      </c>
      <c r="N14" s="118" t="s">
        <v>60</v>
      </c>
      <c r="O14" s="119" t="s">
        <v>60</v>
      </c>
      <c r="P14" s="120" t="s">
        <v>60</v>
      </c>
      <c r="R14" s="112" t="s">
        <v>60</v>
      </c>
      <c r="S14" s="18"/>
      <c r="U14" s="17" t="s">
        <v>61</v>
      </c>
      <c r="V14" s="20">
        <f>'Hist LJTT'!L20</f>
        <v>28699918.069999967</v>
      </c>
      <c r="X14" s="4"/>
      <c r="Y14" s="14"/>
    </row>
    <row r="15" spans="2:25" x14ac:dyDescent="0.3">
      <c r="B15" s="98"/>
      <c r="C15" s="8">
        <f>'PLJ01'!C15+'PLJ02'!C15+'PLJ03'!C15+'PLJ04'!C15+'PLJ05'!C15+'PLJ06'!C15+'PLJ07'!C15+'PLJ08'!C15</f>
        <v>8</v>
      </c>
      <c r="E15" s="220">
        <f>'PLJ01'!E15+'PLJ02'!E15+'PLJ03'!E15+'PLJ04'!E15+'PLJ05'!E15+'PLJ06'!E15+'PLJ07'!E15+'PLJ08'!E15</f>
        <v>8</v>
      </c>
      <c r="F15" s="221">
        <f>'PLJ01'!F15+'PLJ02'!F15+'PLJ03'!F15+'PLJ04'!F15+'PLJ05'!F15+'PLJ06'!F15+'PLJ07'!F15+'PLJ08'!F15</f>
        <v>0</v>
      </c>
      <c r="H15" s="8">
        <f>'PLJ01'!H15+'PLJ02'!H15+'PLJ03'!H15+'PLJ04'!H15+'PLJ05'!H15+'PLJ06'!H15+'PLJ07'!H15+'PLJ08'!H15</f>
        <v>8</v>
      </c>
      <c r="J15" s="8">
        <f>'PLJ01'!J15+'PLJ02'!J15+'PLJ03'!J15+'PLJ04'!J15+'PLJ05'!J15+'PLJ06'!J15+'PLJ07'!J15+'PLJ08'!J15</f>
        <v>8</v>
      </c>
      <c r="L15" s="8">
        <f>'PLJ01'!L15+'PLJ02'!L15+'PLJ03'!L15+'PLJ04'!L15+'PLJ05'!L15+'PLJ06'!L15+'PLJ07'!L15+'PLJ08'!L15</f>
        <v>7</v>
      </c>
      <c r="N15" s="121">
        <f>'PLJ01'!N15+'PLJ02'!N15+'PLJ03'!N15+'PLJ04'!N15+'PLJ05'!N15+'PLJ06'!N15+'PLJ07'!N15+'PLJ08'!N15</f>
        <v>7</v>
      </c>
      <c r="O15" s="122">
        <f>'PLJ01'!O15+'PLJ02'!O15+'PLJ03'!O15+'PLJ04'!O15+'PLJ05'!O15+'PLJ06'!O15+'PLJ07'!O15+'PLJ08'!O15</f>
        <v>0</v>
      </c>
      <c r="P15" s="123">
        <f>'PLJ01'!P15+'PLJ02'!P15+'PLJ03'!P15+'PLJ04'!P15+'PLJ05'!P15+'PLJ06'!P15+'PLJ07'!P15+'PLJ08'!P15</f>
        <v>0</v>
      </c>
      <c r="Q15" s="3"/>
      <c r="R15" s="8">
        <f>'PLJ01'!R15+'PLJ02'!R15+'PLJ03'!R15+'PLJ04'!R15+'PLJ05'!R15+'PLJ06'!R15+'PLJ07'!R15+'PLJ08'!R15</f>
        <v>6</v>
      </c>
      <c r="S15" s="18"/>
      <c r="U15" s="17" t="s">
        <v>62</v>
      </c>
      <c r="V15" s="20">
        <f>'Hist LJTT'!M20</f>
        <v>33285813.500000075</v>
      </c>
      <c r="X15" s="192" t="s">
        <v>63</v>
      </c>
      <c r="Y15" s="193"/>
    </row>
    <row r="16" spans="2:25" ht="15.6" x14ac:dyDescent="0.3">
      <c r="B16" s="98"/>
      <c r="Q16" s="3"/>
      <c r="S16" s="18"/>
      <c r="U16" s="32" t="s">
        <v>64</v>
      </c>
      <c r="V16" s="33">
        <f>'Hist LJTT'!N20</f>
        <v>339847055.42000014</v>
      </c>
      <c r="X16" s="23" t="s">
        <v>26</v>
      </c>
      <c r="Y16" s="20">
        <f>SUMIFS('Hist LJTT'!$N:$N,'Hist LJTT'!$P:$P,"Confeitaria")</f>
        <v>5208349.9699999988</v>
      </c>
    </row>
    <row r="17" spans="2:25" x14ac:dyDescent="0.3">
      <c r="B17" s="98"/>
      <c r="C17" s="15" t="s">
        <v>65</v>
      </c>
      <c r="D17" s="4"/>
      <c r="E17" s="133" t="s">
        <v>66</v>
      </c>
      <c r="F17" s="134" t="s">
        <v>67</v>
      </c>
      <c r="G17" s="4"/>
      <c r="H17" s="101" t="s">
        <v>68</v>
      </c>
      <c r="J17" s="102" t="s">
        <v>66</v>
      </c>
      <c r="K17" s="4"/>
      <c r="L17" s="103" t="s">
        <v>69</v>
      </c>
      <c r="M17" s="4"/>
      <c r="N17" s="124" t="s">
        <v>69</v>
      </c>
      <c r="O17" s="125" t="s">
        <v>70</v>
      </c>
      <c r="P17" s="126" t="s">
        <v>71</v>
      </c>
      <c r="Q17" s="3"/>
      <c r="R17" s="112" t="s">
        <v>72</v>
      </c>
      <c r="S17" s="18"/>
      <c r="U17" s="17" t="s">
        <v>73</v>
      </c>
      <c r="V17" s="20">
        <f>V16/12</f>
        <v>28320587.951666679</v>
      </c>
      <c r="X17" s="23" t="s">
        <v>32</v>
      </c>
      <c r="Y17" s="28">
        <f>Y16/12</f>
        <v>434029.16416666657</v>
      </c>
    </row>
    <row r="18" spans="2:25" ht="15" thickBot="1" x14ac:dyDescent="0.35">
      <c r="B18" s="98"/>
      <c r="C18" s="8">
        <f>'PLJ01'!C18+'PLJ02'!C18+'PLJ03'!C18+'PLJ04'!C18+'PLJ05'!C18+'PLJ06'!C18+'PLJ07'!C18+'PLJ08'!C18</f>
        <v>29</v>
      </c>
      <c r="E18" s="121">
        <f>'PLJ01'!E18+'PLJ02'!E18+'PLJ03'!E18+'PLJ04'!E18+'PLJ05'!E18+'PLJ06'!E18+'PLJ07'!E18+'PLJ08'!E18</f>
        <v>53</v>
      </c>
      <c r="F18" s="123">
        <f>'PLJ01'!F18+'PLJ02'!F18+'PLJ03'!F18+'PLJ04'!F18+'PLJ05'!F18+'PLJ06'!F18+'PLJ07'!F18+'PLJ08'!F18</f>
        <v>20</v>
      </c>
      <c r="H18" s="8">
        <f>'PLJ01'!H18+'PLJ02'!H18+'PLJ03'!H18+'PLJ04'!H18+'PLJ05'!H18+'PLJ06'!H18+'PLJ07'!H18+'PLJ08'!H18</f>
        <v>13</v>
      </c>
      <c r="J18" s="8">
        <f>'PLJ01'!J18+'PLJ02'!J18+'PLJ03'!J18+'PLJ04'!J18+'PLJ05'!J18+'PLJ06'!J18+'PLJ07'!J18+'PLJ08'!J18</f>
        <v>34</v>
      </c>
      <c r="L18" s="8">
        <f>'PLJ01'!L18+'PLJ02'!L18+'PLJ03'!L18+'PLJ04'!L18+'PLJ05'!L18+'PLJ06'!L18+'PLJ07'!L18+'PLJ08'!L18</f>
        <v>18</v>
      </c>
      <c r="N18" s="121">
        <f>'PLJ01'!N18+'PLJ02'!N18+'PLJ03'!N18+'PLJ04'!N18+'PLJ05'!N18+'PLJ06'!N18+'PLJ07'!N18+'PLJ08'!N18</f>
        <v>31</v>
      </c>
      <c r="O18" s="122">
        <f>'PLJ01'!O18+'PLJ02'!O18+'PLJ03'!O18+'PLJ04'!O18+'PLJ05'!O18+'PLJ06'!O18+'PLJ07'!O18+'PLJ08'!O18</f>
        <v>9</v>
      </c>
      <c r="P18" s="123">
        <f>'PLJ01'!P18+'PLJ02'!P18+'PLJ03'!P18+'PLJ04'!P18+'PLJ05'!P18+'PLJ06'!P18+'PLJ07'!P18+'PLJ08'!P18</f>
        <v>7</v>
      </c>
      <c r="Q18" s="3"/>
      <c r="R18" s="8">
        <f>'PLJ01'!R18+'PLJ02'!R18+'PLJ03'!R18+'PLJ04'!R18+'PLJ05'!R18+'PLJ06'!R18+'PLJ07'!R18+'PLJ08'!R18</f>
        <v>9</v>
      </c>
      <c r="S18" s="18"/>
      <c r="U18" s="21" t="s">
        <v>74</v>
      </c>
      <c r="V18" s="22">
        <f>V17/43000</f>
        <v>658.61832445736468</v>
      </c>
      <c r="X18" s="23" t="s">
        <v>34</v>
      </c>
      <c r="Y18" s="28">
        <f>Y17/O35</f>
        <v>28935.277611111105</v>
      </c>
    </row>
    <row r="19" spans="2:25" ht="15" thickBot="1" x14ac:dyDescent="0.35">
      <c r="B19" s="98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C20" s="15" t="s">
        <v>75</v>
      </c>
      <c r="D20" s="4"/>
      <c r="E20" s="133" t="s">
        <v>76</v>
      </c>
      <c r="F20" s="134" t="s">
        <v>77</v>
      </c>
      <c r="G20" s="4"/>
      <c r="H20" s="101" t="s">
        <v>78</v>
      </c>
      <c r="J20" s="102" t="s">
        <v>79</v>
      </c>
      <c r="K20" s="4"/>
      <c r="L20" s="103" t="s">
        <v>66</v>
      </c>
      <c r="M20" s="4"/>
      <c r="N20" s="124" t="s">
        <v>80</v>
      </c>
      <c r="O20" s="125" t="s">
        <v>81</v>
      </c>
      <c r="P20" s="126" t="s">
        <v>81</v>
      </c>
      <c r="Q20" s="3"/>
      <c r="R20" s="112" t="s">
        <v>81</v>
      </c>
      <c r="S20" s="18"/>
    </row>
    <row r="21" spans="2:25" x14ac:dyDescent="0.3">
      <c r="B21" s="98"/>
      <c r="C21" s="8">
        <f>'PLJ01'!C21+'PLJ02'!C21+'PLJ03'!C21+'PLJ04'!C21+'PLJ05'!C21+'PLJ06'!C21+'PLJ07'!C21+'PLJ08'!C21</f>
        <v>135</v>
      </c>
      <c r="E21" s="121">
        <f>'PLJ01'!E21+'PLJ02'!E21+'PLJ03'!E21+'PLJ04'!E21+'PLJ05'!E21+'PLJ06'!E21+'PLJ07'!E21+'PLJ08'!E21</f>
        <v>8</v>
      </c>
      <c r="F21" s="123">
        <f>'PLJ01'!F21+'PLJ02'!F21+'PLJ03'!F21+'PLJ04'!F21+'PLJ05'!F21+'PLJ06'!F21+'PLJ07'!F21+'PLJ08'!F21</f>
        <v>10</v>
      </c>
      <c r="H21" s="8">
        <f>'PLJ01'!H21+'PLJ02'!H21+'PLJ03'!H21+'PLJ04'!H21+'PLJ05'!H21+'PLJ06'!H21+'PLJ07'!H21+'PLJ08'!H21</f>
        <v>29</v>
      </c>
      <c r="J21" s="8">
        <f>'PLJ01'!J21+'PLJ02'!J21+'PLJ03'!J21+'PLJ04'!J21+'PLJ05'!J21+'PLJ06'!J21+'PLJ07'!J21+'PLJ08'!J21</f>
        <v>7</v>
      </c>
      <c r="L21" s="8">
        <f>'PLJ01'!L21+'PLJ02'!L21+'PLJ03'!L21+'PLJ04'!L21+'PLJ05'!L21+'PLJ06'!L21+'PLJ07'!L21+'PLJ08'!L21</f>
        <v>13</v>
      </c>
      <c r="N21" s="121">
        <f>'PLJ01'!N21+'PLJ02'!N21+'PLJ03'!N21+'PLJ04'!N21+'PLJ05'!N21+'PLJ06'!N21+'PLJ07'!N21+'PLJ08'!N21</f>
        <v>16</v>
      </c>
      <c r="O21" s="122">
        <f>'PLJ01'!O21+'PLJ02'!O21+'PLJ03'!O21+'PLJ04'!O21+'PLJ05'!O21+'PLJ06'!O21+'PLJ07'!O21+'PLJ08'!O21</f>
        <v>9</v>
      </c>
      <c r="P21" s="123">
        <f>'PLJ01'!P21+'PLJ02'!P21+'PLJ03'!P21+'PLJ04'!P21+'PLJ05'!P21+'PLJ06'!P21+'PLJ07'!P21+'PLJ08'!P21</f>
        <v>4</v>
      </c>
      <c r="Q21" s="3"/>
      <c r="R21" s="8">
        <f>'PLJ01'!R21+'PLJ02'!R21+'PLJ03'!R21+'PLJ04'!R21+'PLJ05'!R21+'PLJ06'!R21+'PLJ07'!R21+'PLJ08'!R21</f>
        <v>11</v>
      </c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Q22" s="3"/>
      <c r="S22" s="18"/>
      <c r="U22" s="23" t="s">
        <v>26</v>
      </c>
      <c r="V22" s="20">
        <f>SUMIFS('Hist LJTT'!$N:$N,'Hist LJTT'!$P:$P,"Frios")</f>
        <v>41081408.150000066</v>
      </c>
      <c r="X22" s="23" t="s">
        <v>26</v>
      </c>
      <c r="Y22" s="20">
        <f>SUMIFS('Hist LJTT'!$N:$N,'Hist LJTT'!$P:$P,"Padaria")</f>
        <v>13262226.930000002</v>
      </c>
    </row>
    <row r="23" spans="2:25" x14ac:dyDescent="0.3">
      <c r="B23" s="98"/>
      <c r="C23" s="15" t="s">
        <v>84</v>
      </c>
      <c r="D23" s="4"/>
      <c r="E23" s="133" t="s">
        <v>81</v>
      </c>
      <c r="F23" s="134" t="s">
        <v>85</v>
      </c>
      <c r="G23" s="4"/>
      <c r="H23" s="101" t="s">
        <v>86</v>
      </c>
      <c r="K23" s="4"/>
      <c r="L23" s="4"/>
      <c r="M23" s="4"/>
      <c r="N23" s="130" t="s">
        <v>81</v>
      </c>
      <c r="Q23" s="3"/>
      <c r="R23" s="112" t="s">
        <v>87</v>
      </c>
      <c r="S23" s="18"/>
      <c r="U23" s="23" t="s">
        <v>32</v>
      </c>
      <c r="V23" s="20">
        <f>V22/12</f>
        <v>3423450.6791666723</v>
      </c>
      <c r="X23" s="23" t="s">
        <v>32</v>
      </c>
      <c r="Y23" s="20">
        <f>Y22/12</f>
        <v>1105185.5775000001</v>
      </c>
    </row>
    <row r="24" spans="2:25" x14ac:dyDescent="0.3">
      <c r="B24" s="98"/>
      <c r="C24" s="8">
        <f>'PLJ01'!C24+'PLJ02'!C24+'PLJ03'!C24+'PLJ04'!C24+'PLJ05'!C24+'PLJ06'!C24+'PLJ07'!C24+'PLJ08'!C24</f>
        <v>15</v>
      </c>
      <c r="E24" s="121">
        <f>'PLJ01'!E24+'PLJ02'!E24+'PLJ03'!E24+'PLJ04'!E24+'PLJ05'!E24+'PLJ06'!E24+'PLJ07'!E24+'PLJ08'!E24</f>
        <v>1</v>
      </c>
      <c r="F24" s="135">
        <f>'PLJ01'!F24+'PLJ02'!F24+'PLJ03'!F24+'PLJ04'!F24+'PLJ05'!F24+'PLJ06'!F24+'PLJ07'!F24+'PLJ08'!F24</f>
        <v>13</v>
      </c>
      <c r="H24" s="8">
        <f>'PLJ01'!H24+'PLJ02'!H24+'PLJ03'!H24+'PLJ04'!H24+'PLJ05'!H24+'PLJ06'!H24+'PLJ07'!H24+'PLJ08'!H24</f>
        <v>23</v>
      </c>
      <c r="K24" s="4"/>
      <c r="L24" s="4"/>
      <c r="N24" s="131">
        <f>'PLJ01'!N24+'PLJ02'!N24+'PLJ03'!N24+'PLJ04'!N24+'PLJ05'!N24+'PLJ06'!N24+'PLJ07'!N24+'PLJ08'!N24</f>
        <v>12</v>
      </c>
      <c r="Q24" s="3"/>
      <c r="R24" s="8">
        <f>'PLJ01'!R24+'PLJ02'!R24+'PLJ03'!R24+'PLJ04'!R24+'PLJ05'!R24+'PLJ06'!R24+'PLJ07'!R24+'PLJ08'!R24</f>
        <v>13</v>
      </c>
      <c r="S24" s="18"/>
      <c r="U24" s="23" t="s">
        <v>34</v>
      </c>
      <c r="V24" s="20">
        <f>V23/L35</f>
        <v>106982.83372395851</v>
      </c>
      <c r="X24" s="23" t="s">
        <v>34</v>
      </c>
      <c r="Y24" s="20">
        <f>Y23/N35</f>
        <v>14934.940236486489</v>
      </c>
    </row>
    <row r="25" spans="2:25" ht="15" thickBot="1" x14ac:dyDescent="0.35">
      <c r="B25" s="98"/>
      <c r="K25" s="4"/>
      <c r="L25" s="4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C26" s="4"/>
      <c r="D26" s="4"/>
      <c r="E26" s="133" t="s">
        <v>88</v>
      </c>
      <c r="F26" s="134" t="s">
        <v>89</v>
      </c>
      <c r="G26" s="4"/>
      <c r="H26" s="4"/>
      <c r="K26" s="4"/>
      <c r="L26" s="4"/>
      <c r="M26" s="4"/>
      <c r="N26" s="4"/>
      <c r="Q26" s="3"/>
      <c r="R26" s="112" t="s">
        <v>90</v>
      </c>
      <c r="S26" s="18"/>
      <c r="V26" s="24"/>
    </row>
    <row r="27" spans="2:25" x14ac:dyDescent="0.3">
      <c r="B27" s="98"/>
      <c r="C27" s="4"/>
      <c r="D27" s="4"/>
      <c r="E27" s="121">
        <f>'PLJ01'!E27+'PLJ02'!E27+'PLJ03'!E27+'PLJ04'!E27+'PLJ05'!E27+'PLJ06'!E27+'PLJ07'!E27+'PLJ08'!E27</f>
        <v>32</v>
      </c>
      <c r="F27" s="123">
        <f>'PLJ01'!F27+'PLJ02'!F27+'PLJ03'!F27+'PLJ04'!F27+'PLJ05'!F27+'PLJ06'!F27+'PLJ07'!F27+'PLJ08'!F27</f>
        <v>4</v>
      </c>
      <c r="H27" s="4"/>
      <c r="K27" s="4"/>
      <c r="L27" s="4"/>
      <c r="N27" s="4"/>
      <c r="Q27" s="3"/>
      <c r="R27" s="8">
        <f>'PLJ01'!R27+'PLJ02'!R27+'PLJ03'!R27+'PLJ04'!R27+'PLJ05'!R27+'PLJ06'!R27+'PLJ07'!R27+'PLJ08'!R27</f>
        <v>8</v>
      </c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C28" s="4"/>
      <c r="D28" s="4"/>
      <c r="H28" s="4"/>
      <c r="K28" s="4"/>
      <c r="L28" s="4"/>
      <c r="N28" s="4"/>
      <c r="Q28" s="3"/>
      <c r="S28" s="18"/>
      <c r="U28" s="23" t="s">
        <v>26</v>
      </c>
      <c r="V28" s="20">
        <f>SUMIFS('Hist LJTT'!$N:$N,'Hist LJTT'!$P:$P,"Loja")</f>
        <v>171616373.56000111</v>
      </c>
      <c r="X28" s="23" t="s">
        <v>26</v>
      </c>
      <c r="Y28" s="20">
        <f>SUMIFS('Hist LJTT'!$N:$N,'Hist LJTT'!$P:$P,"Rotisseria")</f>
        <v>3329681.06</v>
      </c>
    </row>
    <row r="29" spans="2:25" x14ac:dyDescent="0.3">
      <c r="B29" s="98"/>
      <c r="C29" s="4"/>
      <c r="D29" s="4"/>
      <c r="E29" s="133" t="s">
        <v>93</v>
      </c>
      <c r="F29" s="134" t="s">
        <v>94</v>
      </c>
      <c r="G29" s="4"/>
      <c r="H29" s="4"/>
      <c r="K29" s="4"/>
      <c r="L29" s="4"/>
      <c r="M29" s="4"/>
      <c r="N29" s="4"/>
      <c r="Q29" s="3"/>
      <c r="S29" s="18"/>
      <c r="U29" s="23" t="s">
        <v>32</v>
      </c>
      <c r="V29" s="20">
        <f>V28/12</f>
        <v>14301364.463333426</v>
      </c>
      <c r="X29" s="23" t="s">
        <v>32</v>
      </c>
      <c r="Y29" s="20">
        <f>Y28/12</f>
        <v>277473.42166666669</v>
      </c>
    </row>
    <row r="30" spans="2:25" x14ac:dyDescent="0.3">
      <c r="B30" s="98"/>
      <c r="C30" s="4"/>
      <c r="D30" s="4"/>
      <c r="E30" s="121">
        <f>'PLJ01'!E30+'PLJ02'!E30+'PLJ03'!E30+'PLJ04'!E30+'PLJ05'!E30+'PLJ06'!E30+'PLJ07'!E30+'PLJ08'!E30</f>
        <v>2</v>
      </c>
      <c r="F30" s="123">
        <f>'PLJ01'!F30+'PLJ02'!F30+'PLJ03'!F30+'PLJ04'!F30+'PLJ05'!F30+'PLJ06'!F30+'PLJ07'!F30+'PLJ08'!F30</f>
        <v>1</v>
      </c>
      <c r="H30" s="4"/>
      <c r="K30" s="4"/>
      <c r="L30" s="4"/>
      <c r="N30" s="4"/>
      <c r="Q30" s="3"/>
      <c r="S30" s="18"/>
      <c r="U30" s="23" t="s">
        <v>34</v>
      </c>
      <c r="V30" s="20">
        <f>V29/(E35+R35)</f>
        <v>72229.113451178913</v>
      </c>
      <c r="X30" s="23" t="s">
        <v>34</v>
      </c>
      <c r="Y30" s="20">
        <f>Y29/P35</f>
        <v>18498.228111111112</v>
      </c>
    </row>
    <row r="31" spans="2:25" ht="15" thickBot="1" x14ac:dyDescent="0.35">
      <c r="B31" s="98"/>
      <c r="C31" s="143" t="s">
        <v>95</v>
      </c>
      <c r="D31" s="4"/>
      <c r="H31" s="4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C32" s="15" t="s">
        <v>64</v>
      </c>
      <c r="D32" s="4"/>
      <c r="E32" s="216" t="s">
        <v>64</v>
      </c>
      <c r="F32" s="217"/>
      <c r="G32" s="4"/>
      <c r="H32" s="101" t="s">
        <v>64</v>
      </c>
      <c r="J32" s="102" t="s">
        <v>64</v>
      </c>
      <c r="K32" s="4"/>
      <c r="L32" s="103" t="s">
        <v>64</v>
      </c>
      <c r="M32" s="4"/>
      <c r="N32" s="127" t="s">
        <v>55</v>
      </c>
      <c r="O32" s="128" t="s">
        <v>56</v>
      </c>
      <c r="P32" s="129" t="s">
        <v>57</v>
      </c>
      <c r="Q32" s="3"/>
      <c r="R32" s="112" t="s">
        <v>64</v>
      </c>
      <c r="S32" s="18"/>
      <c r="V32" s="2"/>
    </row>
    <row r="33" spans="2:26" x14ac:dyDescent="0.3">
      <c r="B33" s="98"/>
      <c r="C33" s="8">
        <f>C30+C27+C24+C21+C18+C15</f>
        <v>187</v>
      </c>
      <c r="E33" s="220">
        <f>E30+E27+E24+E21+E18+E15+F30+F27+F24+F21+F18</f>
        <v>152</v>
      </c>
      <c r="F33" s="221"/>
      <c r="H33" s="8">
        <f>H30+H27+H24+H21+H18+H15</f>
        <v>73</v>
      </c>
      <c r="J33" s="8">
        <f>J30+J27+J24+J21+J18+J15</f>
        <v>49</v>
      </c>
      <c r="L33" s="8">
        <f>L30+L27+L24+L21+L18+L15</f>
        <v>38</v>
      </c>
      <c r="N33" s="137">
        <f>N30+N27+N24+N21+N18+N15</f>
        <v>66</v>
      </c>
      <c r="O33" s="138">
        <f>O30+O27+O24+O21+O18+O15</f>
        <v>18</v>
      </c>
      <c r="P33" s="139">
        <f>P30+P27+P24+P21+P18+P15</f>
        <v>11</v>
      </c>
      <c r="Q33" s="3"/>
      <c r="R33" s="8">
        <f>R27+R30+R24+R21+R18+R15</f>
        <v>47</v>
      </c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C34" s="15" t="s">
        <v>64</v>
      </c>
      <c r="D34" s="4"/>
      <c r="E34" s="216" t="s">
        <v>64</v>
      </c>
      <c r="F34" s="217"/>
      <c r="G34" s="4"/>
      <c r="H34" s="101" t="s">
        <v>64</v>
      </c>
      <c r="J34" s="102" t="s">
        <v>64</v>
      </c>
      <c r="K34" s="4"/>
      <c r="L34" s="103" t="s">
        <v>64</v>
      </c>
      <c r="M34" s="4"/>
      <c r="N34" s="140" t="s">
        <v>55</v>
      </c>
      <c r="O34" s="141" t="s">
        <v>56</v>
      </c>
      <c r="P34" s="142" t="s">
        <v>57</v>
      </c>
      <c r="Q34" s="3"/>
      <c r="R34" s="112" t="s">
        <v>64</v>
      </c>
      <c r="S34" s="18"/>
      <c r="U34" s="23" t="s">
        <v>26</v>
      </c>
      <c r="V34" s="20">
        <f>SUMIFS('Hist LJTT'!$N:$N,'Hist LJTT'!$P:$P,"Loja")</f>
        <v>171616373.56000111</v>
      </c>
      <c r="X34" s="23" t="s">
        <v>26</v>
      </c>
      <c r="Y34" s="20">
        <f>Y28+Y22+Y16</f>
        <v>21800257.960000001</v>
      </c>
    </row>
    <row r="35" spans="2:26" x14ac:dyDescent="0.3">
      <c r="B35" s="98"/>
      <c r="C35" s="8">
        <v>190</v>
      </c>
      <c r="E35" s="220">
        <v>167</v>
      </c>
      <c r="F35" s="221"/>
      <c r="H35" s="8">
        <v>65</v>
      </c>
      <c r="J35" s="8">
        <v>40</v>
      </c>
      <c r="L35" s="8">
        <v>32</v>
      </c>
      <c r="N35" s="121">
        <v>74</v>
      </c>
      <c r="O35" s="122">
        <v>15</v>
      </c>
      <c r="P35" s="123">
        <v>15</v>
      </c>
      <c r="Q35" s="3"/>
      <c r="R35" s="8">
        <v>31</v>
      </c>
      <c r="S35" s="18"/>
      <c r="U35" s="23" t="s">
        <v>32</v>
      </c>
      <c r="V35" s="20">
        <f>V34/12</f>
        <v>14301364.463333426</v>
      </c>
      <c r="X35" s="23" t="s">
        <v>32</v>
      </c>
      <c r="Y35" s="20">
        <f>Y34/12</f>
        <v>1816688.1633333333</v>
      </c>
    </row>
    <row r="36" spans="2:26" ht="15" thickBot="1" x14ac:dyDescent="0.35">
      <c r="B36" s="98"/>
      <c r="C36" s="143" t="s">
        <v>98</v>
      </c>
      <c r="S36" s="18"/>
      <c r="U36" s="23" t="s">
        <v>34</v>
      </c>
      <c r="V36" s="20">
        <f>V35/C35</f>
        <v>75270.339280702246</v>
      </c>
      <c r="X36" s="23" t="s">
        <v>34</v>
      </c>
      <c r="Y36" s="20">
        <f>Y35/SUM(N35:P35)</f>
        <v>17468.155416666668</v>
      </c>
    </row>
    <row r="37" spans="2:26" ht="11.4" customHeight="1" thickBot="1" x14ac:dyDescent="0.35">
      <c r="B37" s="98"/>
      <c r="J37" s="222" t="s">
        <v>64</v>
      </c>
      <c r="K37" s="4"/>
      <c r="L37" s="222" t="s">
        <v>110</v>
      </c>
      <c r="M37" s="4"/>
      <c r="N37" s="222" t="s">
        <v>100</v>
      </c>
      <c r="O37" s="117"/>
      <c r="P37" s="117"/>
      <c r="Q37" s="94"/>
      <c r="R37" s="95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ht="18.600000000000001" thickBot="1" x14ac:dyDescent="0.35">
      <c r="B38" s="98"/>
      <c r="J38" s="223"/>
      <c r="K38" s="4"/>
      <c r="L38" s="223"/>
      <c r="M38" s="4"/>
      <c r="N38" s="223"/>
      <c r="O38" s="117"/>
      <c r="P38" s="117"/>
      <c r="Q38" s="94"/>
      <c r="R38" s="95"/>
      <c r="S38" s="18"/>
    </row>
    <row r="39" spans="2:26" ht="18.600000000000001" thickBot="1" x14ac:dyDescent="0.35">
      <c r="B39" s="98"/>
      <c r="J39" s="39">
        <f>SUM(C33:R33)+H11+H7</f>
        <v>658</v>
      </c>
      <c r="K39" s="99"/>
      <c r="L39" s="40">
        <v>629</v>
      </c>
      <c r="M39" s="99"/>
      <c r="N39" s="41">
        <f>L39-J39</f>
        <v>-29</v>
      </c>
      <c r="O39" s="117"/>
      <c r="P39" s="117"/>
      <c r="Q39" s="34"/>
      <c r="R39" s="42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ht="28.8" x14ac:dyDescent="0.3">
      <c r="K41" s="2" t="s">
        <v>111</v>
      </c>
      <c r="L41" s="143">
        <f>'PLJ01'!L39+'PLJ02'!L39+'PLJ03'!L39+'PLJ04'!L39+'PLJ05'!L39+'PLJ06'!L39+'PLJ07'!L39+'PLJ08'!L39</f>
        <v>629</v>
      </c>
      <c r="N41" s="143" t="s">
        <v>112</v>
      </c>
    </row>
  </sheetData>
  <mergeCells count="26">
    <mergeCell ref="H7:N7"/>
    <mergeCell ref="C3:R3"/>
    <mergeCell ref="U3:V3"/>
    <mergeCell ref="X3:Y3"/>
    <mergeCell ref="H5:N6"/>
    <mergeCell ref="P5:R6"/>
    <mergeCell ref="E33:F33"/>
    <mergeCell ref="U33:V33"/>
    <mergeCell ref="X33:Y33"/>
    <mergeCell ref="H9:N10"/>
    <mergeCell ref="X9:Y9"/>
    <mergeCell ref="H11:N11"/>
    <mergeCell ref="E13:F13"/>
    <mergeCell ref="E14:F14"/>
    <mergeCell ref="E15:F15"/>
    <mergeCell ref="X15:Y15"/>
    <mergeCell ref="U21:V21"/>
    <mergeCell ref="X21:Y21"/>
    <mergeCell ref="U27:V27"/>
    <mergeCell ref="X27:Y27"/>
    <mergeCell ref="E32:F32"/>
    <mergeCell ref="E34:F34"/>
    <mergeCell ref="E35:F35"/>
    <mergeCell ref="J37:J38"/>
    <mergeCell ref="L37:L38"/>
    <mergeCell ref="N37:N38"/>
  </mergeCells>
  <conditionalFormatting sqref="O37:P39 N39 Q39:R39">
    <cfRule type="cellIs" dxfId="37" priority="1" operator="lessThan">
      <formula>0</formula>
    </cfRule>
    <cfRule type="cellIs" dxfId="36" priority="2" operator="greaterThan">
      <formula>0</formula>
    </cfRule>
    <cfRule type="cellIs" dxfId="35" priority="3" operator="lessThan">
      <formula>0</formula>
    </cfRule>
    <cfRule type="cellIs" dxfId="34" priority="4" operator="greaterThan">
      <formula>0</formula>
    </cfRule>
  </conditionalFormatting>
  <pageMargins left="0.25" right="0.25" top="0.75" bottom="0.75" header="0.3" footer="0.3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2353-3C5F-412C-B28C-8E49D892BCC8}">
  <sheetPr>
    <tabColor theme="4" tint="-0.249977111117893"/>
  </sheetPr>
  <dimension ref="A1:P112"/>
  <sheetViews>
    <sheetView showGridLines="0" zoomScale="70" zoomScaleNormal="70" workbookViewId="0"/>
  </sheetViews>
  <sheetFormatPr defaultColWidth="0" defaultRowHeight="14.4" customHeight="1" x14ac:dyDescent="0.3"/>
  <cols>
    <col min="1" max="1" width="1.6640625" style="151" customWidth="1"/>
    <col min="2" max="2" width="11.6640625" style="4" customWidth="1"/>
    <col min="3" max="3" width="12.109375" style="4" customWidth="1"/>
    <col min="4" max="4" width="12.6640625" style="4" customWidth="1"/>
    <col min="5" max="5" width="41" style="9" bestFit="1" customWidth="1"/>
    <col min="6" max="6" width="24.33203125" style="9" bestFit="1" customWidth="1"/>
    <col min="7" max="7" width="33.33203125" customWidth="1"/>
    <col min="8" max="8" width="14.44140625" bestFit="1" customWidth="1"/>
    <col min="9" max="9" width="15.33203125" customWidth="1"/>
    <col min="10" max="10" width="32.44140625" bestFit="1" customWidth="1"/>
    <col min="11" max="11" width="12.44140625" customWidth="1"/>
    <col min="12" max="12" width="16.6640625" customWidth="1"/>
    <col min="13" max="13" width="29.33203125" customWidth="1"/>
    <col min="14" max="14" width="23.33203125" customWidth="1"/>
    <col min="15" max="15" width="15.109375" bestFit="1" customWidth="1"/>
    <col min="16" max="16" width="2.33203125" customWidth="1"/>
    <col min="17" max="16384" width="8.88671875" hidden="1"/>
  </cols>
  <sheetData>
    <row r="1" spans="1:15" ht="7.95" customHeight="1" x14ac:dyDescent="0.3"/>
    <row r="2" spans="1:15" x14ac:dyDescent="0.3"/>
    <row r="3" spans="1:15" x14ac:dyDescent="0.3"/>
    <row r="4" spans="1:15" ht="15" thickBot="1" x14ac:dyDescent="0.35"/>
    <row r="5" spans="1:15" x14ac:dyDescent="0.3">
      <c r="B5" s="82" t="s">
        <v>0</v>
      </c>
      <c r="C5" s="83" t="s">
        <v>1</v>
      </c>
      <c r="D5" s="80"/>
      <c r="F5" s="81" t="s">
        <v>2</v>
      </c>
    </row>
    <row r="6" spans="1:15" ht="15" thickBot="1" x14ac:dyDescent="0.35">
      <c r="B6" s="84">
        <f>SUM(C10:C375)</f>
        <v>60</v>
      </c>
      <c r="C6" s="85">
        <f>SUM(E10:E352)</f>
        <v>0</v>
      </c>
      <c r="D6" s="80">
        <f>C6-B6</f>
        <v>-60</v>
      </c>
      <c r="E6" s="116"/>
      <c r="F6" s="115">
        <f>COUNTIFS(D:D,"Demitido")</f>
        <v>0</v>
      </c>
    </row>
    <row r="7" spans="1:15" x14ac:dyDescent="0.3">
      <c r="D7" s="80"/>
    </row>
    <row r="8" spans="1:15" ht="16.2" thickBot="1" x14ac:dyDescent="0.35">
      <c r="D8" s="245" t="s">
        <v>3</v>
      </c>
      <c r="E8" s="246"/>
      <c r="F8" s="246"/>
      <c r="G8" s="182" t="s">
        <v>4</v>
      </c>
      <c r="H8" s="247" t="s">
        <v>5</v>
      </c>
      <c r="I8" s="247"/>
      <c r="J8" s="247"/>
      <c r="K8" s="247"/>
      <c r="L8" s="247"/>
      <c r="M8" s="226" t="s">
        <v>6</v>
      </c>
      <c r="N8" s="226"/>
      <c r="O8" s="227"/>
    </row>
    <row r="9" spans="1:15" s="179" customFormat="1" ht="18" x14ac:dyDescent="0.3">
      <c r="A9" s="171" t="s">
        <v>7</v>
      </c>
      <c r="B9" s="231" t="s">
        <v>8</v>
      </c>
      <c r="C9" s="235"/>
      <c r="D9" s="172" t="s">
        <v>9</v>
      </c>
      <c r="E9" s="173" t="s">
        <v>10</v>
      </c>
      <c r="F9" s="173" t="s">
        <v>11</v>
      </c>
      <c r="G9" s="183" t="str">
        <f>IFERROR(IF(VLOOKUP($A9,#REF!,7,0)="","",VLOOKUP($A9,#REF!,7,0)),"")</f>
        <v/>
      </c>
      <c r="H9" s="174" t="str">
        <f>IFERROR(IF(VLOOKUP($A9,#REF!,8,0)="","",VLOOKUP($A9,#REF!,8,0)),"")</f>
        <v/>
      </c>
      <c r="I9" s="175" t="str">
        <f>IFERROR(IF(VLOOKUP($A9,#REF!,9,0)="","",VLOOKUP($A9,#REF!,9,0)),"")</f>
        <v/>
      </c>
      <c r="J9" s="175" t="str">
        <f>IFERROR(IF(VLOOKUP($A9,#REF!,10,0)="","",VLOOKUP($A9,#REF!,10,0)),"")</f>
        <v/>
      </c>
      <c r="K9" s="175" t="str">
        <f>IFERROR(IF(VLOOKUP($A9,#REF!,11,0)="","",VLOOKUP($A9,#REF!,11,0)),"")</f>
        <v/>
      </c>
      <c r="L9" s="175" t="str">
        <f>IFERROR(IF(VLOOKUP($A9,#REF!,12,0)="","",VLOOKUP($A9,#REF!,12,0)),"")</f>
        <v/>
      </c>
      <c r="M9" s="176" t="str">
        <f>IFERROR(IF(VLOOKUP($A9,#REF!,13,0)="","",VLOOKUP($A9,#REF!,13,0)),"")</f>
        <v/>
      </c>
      <c r="N9" s="177" t="str">
        <f>IFERROR(IF(VLOOKUP($A9,#REF!,14,0)="","",VLOOKUP($A9,#REF!,14,0)),"")</f>
        <v/>
      </c>
      <c r="O9" s="178" t="str">
        <f>IFERROR(IF(VLOOKUP($A9,#REF!,15,0)="","",VLOOKUP($A9,#REF!,15,0)),"")</f>
        <v/>
      </c>
    </row>
    <row r="10" spans="1:15" x14ac:dyDescent="0.3">
      <c r="A10" s="151" t="s">
        <v>113</v>
      </c>
      <c r="B10" s="236"/>
      <c r="C10" s="237"/>
      <c r="D10" s="168" t="str">
        <f>IFERROR(VLOOKUP($A10,Banco!$A:$D,7,0),"")</f>
        <v/>
      </c>
      <c r="E10" s="66" t="str">
        <f>IFERROR(VLOOKUP($A10,Banco!$A:$G,10,0),"-")</f>
        <v>-</v>
      </c>
      <c r="F10" s="67" t="str">
        <f>IFERROR(RIGHT(VLOOKUP($E10,Banco!$G:$I,3,0),24),"")</f>
        <v/>
      </c>
      <c r="G10" s="67" t="str">
        <f>IFERROR(IF(VLOOKUP($A10,#REF!,7,0)="","",VLOOKUP($A10,#REF!,7,0)),"")</f>
        <v/>
      </c>
      <c r="H10" s="158" t="str">
        <f>IFERROR(IF(VLOOKUP($A10,#REF!,8,0)="","",VLOOKUP($A10,#REF!,8,0)),"")</f>
        <v/>
      </c>
      <c r="I10" s="67" t="str">
        <f>IFERROR(IF(VLOOKUP($A10,#REF!,9,0)="","",VLOOKUP($A10,#REF!,9,0)),"")</f>
        <v/>
      </c>
      <c r="J10" s="67" t="str">
        <f>IFERROR(IF(VLOOKUP($A10,#REF!,10,0)="","",VLOOKUP($A10,#REF!,10,0)),"")</f>
        <v/>
      </c>
      <c r="K10" s="67" t="str">
        <f>IFERROR(IF(VLOOKUP($A10,#REF!,11,0)="","",VLOOKUP($A10,#REF!,11,0)),"")</f>
        <v/>
      </c>
      <c r="L10" s="67" t="str">
        <f>IFERROR(IF(VLOOKUP($A10,#REF!,12,0)="","",VLOOKUP($A10,#REF!,12,0)),"")</f>
        <v/>
      </c>
      <c r="M10" s="67" t="str">
        <f>IFERROR(IF(VLOOKUP($A10,#REF!,13,0)="","",VLOOKUP($A10,#REF!,13,0)),"")</f>
        <v/>
      </c>
      <c r="N10" s="66" t="str">
        <f>IFERROR(IF(VLOOKUP($A10,#REF!,14,0)="","",VLOOKUP($A10,#REF!,14,0)),"")</f>
        <v/>
      </c>
      <c r="O10" s="169" t="str">
        <f>IFERROR(IF(VLOOKUP($A10,#REF!,15,0)="","",VLOOKUP($A10,#REF!,15,0)),"")</f>
        <v/>
      </c>
    </row>
    <row r="11" spans="1:15" x14ac:dyDescent="0.3">
      <c r="A11" s="151" t="s">
        <v>114</v>
      </c>
      <c r="B11" s="233"/>
      <c r="C11" s="238"/>
      <c r="D11" s="168" t="str">
        <f>IFERROR(VLOOKUP($A11,Banco!$A:$D,7,0),"")</f>
        <v/>
      </c>
      <c r="E11" s="66" t="str">
        <f>IFERROR(VLOOKUP($A11,Banco!$A:$G,10,0),"-")</f>
        <v>-</v>
      </c>
      <c r="F11" s="67" t="str">
        <f>IFERROR(RIGHT(VLOOKUP($E11,Banco!$G:$I,3,0),24),"")</f>
        <v/>
      </c>
      <c r="G11" s="67" t="str">
        <f>IFERROR(IF(VLOOKUP($A11,#REF!,7,0)="","",VLOOKUP($A11,#REF!,7,0)),"")</f>
        <v/>
      </c>
      <c r="H11" s="158" t="str">
        <f>IFERROR(IF(VLOOKUP($A11,#REF!,8,0)="","",VLOOKUP($A11,#REF!,8,0)),"")</f>
        <v/>
      </c>
      <c r="I11" s="67" t="str">
        <f>IFERROR(IF(VLOOKUP($A11,#REF!,9,0)="","",VLOOKUP($A11,#REF!,9,0)),"")</f>
        <v/>
      </c>
      <c r="J11" s="67" t="str">
        <f>IFERROR(IF(VLOOKUP($A11,#REF!,10,0)="","",VLOOKUP($A11,#REF!,10,0)),"")</f>
        <v/>
      </c>
      <c r="K11" s="67" t="str">
        <f>IFERROR(IF(VLOOKUP($A11,#REF!,11,0)="","",VLOOKUP($A11,#REF!,11,0)),"")</f>
        <v/>
      </c>
      <c r="L11" s="67" t="str">
        <f>IFERROR(IF(VLOOKUP($A11,#REF!,12,0)="","",VLOOKUP($A11,#REF!,12,0)),"")</f>
        <v/>
      </c>
      <c r="M11" s="67" t="str">
        <f>IFERROR(IF(VLOOKUP($A11,#REF!,13,0)="","",VLOOKUP($A11,#REF!,13,0)),"")</f>
        <v/>
      </c>
      <c r="N11" s="66" t="str">
        <f>IFERROR(IF(VLOOKUP($A11,#REF!,14,0)="","",VLOOKUP($A11,#REF!,14,0)),"")</f>
        <v/>
      </c>
      <c r="O11" s="169" t="str">
        <f>IFERROR(IF(VLOOKUP($A11,#REF!,15,0)="","",VLOOKUP($A11,#REF!,15,0)),"")</f>
        <v/>
      </c>
    </row>
    <row r="12" spans="1:15" x14ac:dyDescent="0.3">
      <c r="A12" s="151" t="s">
        <v>115</v>
      </c>
      <c r="B12" s="70" t="s">
        <v>12</v>
      </c>
      <c r="C12" s="159">
        <f>'PLJ30'!H7</f>
        <v>2</v>
      </c>
      <c r="D12" s="168" t="str">
        <f>IFERROR(VLOOKUP($A12,Banco!$A:$D,7,0),"")</f>
        <v/>
      </c>
      <c r="E12" s="66" t="str">
        <f>IFERROR(VLOOKUP($A12,Banco!$A:$G,10,0),"-")</f>
        <v>-</v>
      </c>
      <c r="F12" s="67" t="str">
        <f>IFERROR(RIGHT(VLOOKUP($E12,Banco!$G:$I,3,0),24),"")</f>
        <v/>
      </c>
      <c r="G12" s="67" t="str">
        <f>IFERROR(IF(VLOOKUP($A12,#REF!,7,0)="","",VLOOKUP($A12,#REF!,7,0)),"")</f>
        <v/>
      </c>
      <c r="H12" s="158" t="str">
        <f>IFERROR(IF(VLOOKUP($A12,#REF!,8,0)="","",VLOOKUP($A12,#REF!,8,0)),"")</f>
        <v/>
      </c>
      <c r="I12" s="67" t="str">
        <f>IFERROR(IF(VLOOKUP($A12,#REF!,9,0)="","",VLOOKUP($A12,#REF!,9,0)),"")</f>
        <v/>
      </c>
      <c r="J12" s="67" t="str">
        <f>IFERROR(IF(VLOOKUP($A12,#REF!,10,0)="","",VLOOKUP($A12,#REF!,10,0)),"")</f>
        <v/>
      </c>
      <c r="K12" s="67" t="str">
        <f>IFERROR(IF(VLOOKUP($A12,#REF!,11,0)="","",VLOOKUP($A12,#REF!,11,0)),"")</f>
        <v/>
      </c>
      <c r="L12" s="67" t="str">
        <f>IFERROR(IF(VLOOKUP($A12,#REF!,12,0)="","",VLOOKUP($A12,#REF!,12,0)),"")</f>
        <v/>
      </c>
      <c r="M12" s="67" t="str">
        <f>IFERROR(IF(VLOOKUP($A12,#REF!,13,0)="","",VLOOKUP($A12,#REF!,13,0)),"")</f>
        <v/>
      </c>
      <c r="N12" s="66" t="str">
        <f>IFERROR(IF(VLOOKUP($A12,#REF!,14,0)="","",VLOOKUP($A12,#REF!,14,0)),"")</f>
        <v/>
      </c>
      <c r="O12" s="169" t="str">
        <f>IFERROR(IF(VLOOKUP($A12,#REF!,15,0)="","",VLOOKUP($A12,#REF!,15,0)),"")</f>
        <v/>
      </c>
    </row>
    <row r="13" spans="1:15" s="10" customFormat="1" ht="15" thickBot="1" x14ac:dyDescent="0.35">
      <c r="A13" s="152"/>
      <c r="B13" s="228" t="s">
        <v>13</v>
      </c>
      <c r="C13" s="229"/>
      <c r="D13" s="230"/>
      <c r="E13" s="160">
        <f>COUNTIFS(E10:E11,"&lt;&gt;-")-COUNTIFS(D10:D11,"Afastamento")-COUNTIFS(D10:D11,"Demitido")</f>
        <v>0</v>
      </c>
      <c r="F13" s="136">
        <f>E13-C11</f>
        <v>0</v>
      </c>
      <c r="G13" s="12" t="str">
        <f>IFERROR(IF(VLOOKUP($A13,#REF!,7,0)="","",VLOOKUP($A13,#REF!,7,0)),"")</f>
        <v/>
      </c>
      <c r="H13" s="10" t="str">
        <f>IFERROR(IF(VLOOKUP($A13,#REF!,8,0)="","",VLOOKUP($A13,#REF!,8,0)),"")</f>
        <v/>
      </c>
      <c r="I13" s="10" t="str">
        <f>IFERROR(IF(VLOOKUP($A13,#REF!,9,0)="","",VLOOKUP($A13,#REF!,9,0)),"")</f>
        <v/>
      </c>
      <c r="J13" s="10" t="str">
        <f>IFERROR(IF(VLOOKUP($A13,#REF!,10,0)="","",VLOOKUP($A13,#REF!,10,0)),"")</f>
        <v/>
      </c>
      <c r="K13" s="10" t="str">
        <f>IFERROR(IF(VLOOKUP($A13,#REF!,11,0)="","",VLOOKUP($A13,#REF!,11,0)),"")</f>
        <v/>
      </c>
      <c r="L13" s="10" t="str">
        <f>IFERROR(IF(VLOOKUP($A13,#REF!,12,0)="","",VLOOKUP($A13,#REF!,12,0)),"")</f>
        <v/>
      </c>
      <c r="M13" s="10" t="str">
        <f>IFERROR(IF(VLOOKUP($A13,#REF!,13,0)="","",VLOOKUP($A13,#REF!,13,0)),"")</f>
        <v/>
      </c>
      <c r="N13" s="10" t="str">
        <f>IFERROR(IF(VLOOKUP($A13,#REF!,14,0)="","",VLOOKUP($A13,#REF!,14,0)),"")</f>
        <v/>
      </c>
      <c r="O13" s="10" t="str">
        <f>IFERROR(IF(VLOOKUP($A13,#REF!,15,0)="","",VLOOKUP($A13,#REF!,15,0)),"")</f>
        <v/>
      </c>
    </row>
    <row r="14" spans="1:15" s="12" customFormat="1" ht="12" customHeight="1" thickBot="1" x14ac:dyDescent="0.35">
      <c r="A14" s="153"/>
      <c r="G14" s="12" t="str">
        <f>IFERROR(IF(VLOOKUP($A14,#REF!,7,0)="","",VLOOKUP($A14,#REF!,7,0)),"")</f>
        <v/>
      </c>
      <c r="H14" s="12" t="str">
        <f>IFERROR(IF(VLOOKUP($A14,#REF!,8,0)="","",VLOOKUP($A14,#REF!,8,0)),"")</f>
        <v/>
      </c>
      <c r="I14" s="12" t="str">
        <f>IFERROR(IF(VLOOKUP($A14,#REF!,9,0)="","",VLOOKUP($A14,#REF!,9,0)),"")</f>
        <v/>
      </c>
      <c r="J14" s="12" t="str">
        <f>IFERROR(IF(VLOOKUP($A14,#REF!,10,0)="","",VLOOKUP($A14,#REF!,10,0)),"")</f>
        <v/>
      </c>
      <c r="K14" s="12" t="str">
        <f>IFERROR(IF(VLOOKUP($A14,#REF!,11,0)="","",VLOOKUP($A14,#REF!,11,0)),"")</f>
        <v/>
      </c>
      <c r="L14" s="11" t="str">
        <f>IFERROR(IF(VLOOKUP($A14,#REF!,12,0)="","",VLOOKUP($A14,#REF!,12,0)),"")</f>
        <v/>
      </c>
      <c r="M14" s="12" t="str">
        <f>IFERROR(IF(VLOOKUP($A14,#REF!,13,0)="","",VLOOKUP($A14,#REF!,13,0)),"")</f>
        <v/>
      </c>
      <c r="N14" s="12" t="str">
        <f>IFERROR(IF(VLOOKUP($A14,#REF!,14,0)="","",VLOOKUP($A14,#REF!,14,0)),"")</f>
        <v/>
      </c>
      <c r="O14" s="12" t="str">
        <f>IFERROR(IF(VLOOKUP($A14,#REF!,15,0)="","",VLOOKUP($A14,#REF!,15,0)),"")</f>
        <v/>
      </c>
    </row>
    <row r="15" spans="1:15" ht="18" x14ac:dyDescent="0.3">
      <c r="A15" s="156" t="s">
        <v>7</v>
      </c>
      <c r="B15" s="231" t="s">
        <v>116</v>
      </c>
      <c r="C15" s="232"/>
      <c r="D15" s="161" t="s">
        <v>9</v>
      </c>
      <c r="E15" s="162" t="s">
        <v>10</v>
      </c>
      <c r="F15" s="162" t="s">
        <v>11</v>
      </c>
      <c r="G15" s="183" t="str">
        <f>IFERROR(IF(VLOOKUP($A15,#REF!,7,0)="","",VLOOKUP($A15,#REF!,7,0)),"")</f>
        <v/>
      </c>
      <c r="H15" s="163" t="str">
        <f>IFERROR(IF(VLOOKUP($A15,#REF!,8,0)="","",VLOOKUP($A15,#REF!,8,0)),"")</f>
        <v/>
      </c>
      <c r="I15" s="164" t="str">
        <f>IFERROR(IF(VLOOKUP($A15,#REF!,9,0)="","",VLOOKUP($A15,#REF!,9,0)),"")</f>
        <v/>
      </c>
      <c r="J15" s="164" t="str">
        <f>IFERROR(IF(VLOOKUP($A15,#REF!,10,0)="","",VLOOKUP($A15,#REF!,10,0)),"")</f>
        <v/>
      </c>
      <c r="K15" s="164" t="str">
        <f>IFERROR(IF(VLOOKUP($A15,#REF!,11,0)="","",VLOOKUP($A15,#REF!,11,0)),"")</f>
        <v/>
      </c>
      <c r="L15" s="164" t="str">
        <f>IFERROR(IF(VLOOKUP($A15,#REF!,12,0)="","",VLOOKUP($A15,#REF!,12,0)),"")</f>
        <v/>
      </c>
      <c r="M15" s="165" t="str">
        <f>IFERROR(IF(VLOOKUP($A15,#REF!,13,0)="","",VLOOKUP($A15,#REF!,13,0)),"")</f>
        <v/>
      </c>
      <c r="N15" s="166" t="str">
        <f>IFERROR(IF(VLOOKUP($A15,#REF!,14,0)="","",VLOOKUP($A15,#REF!,14,0)),"")</f>
        <v/>
      </c>
      <c r="O15" s="167" t="str">
        <f>IFERROR(IF(VLOOKUP($A15,#REF!,15,0)="","",VLOOKUP($A15,#REF!,15,0)),"")</f>
        <v/>
      </c>
    </row>
    <row r="16" spans="1:15" x14ac:dyDescent="0.3">
      <c r="A16" s="151" t="s">
        <v>117</v>
      </c>
      <c r="B16" s="233"/>
      <c r="C16" s="234"/>
      <c r="D16" s="168" t="str">
        <f>IFERROR(VLOOKUP($A16,Banco!$A:$D,7,0),"")</f>
        <v/>
      </c>
      <c r="E16" s="66" t="str">
        <f>IFERROR(VLOOKUP($A16,Banco!$A:$G,10,0),"-")</f>
        <v>-</v>
      </c>
      <c r="F16" s="67" t="str">
        <f>IFERROR(RIGHT(VLOOKUP($E16,Banco!$G:$I,3,0),24),"")</f>
        <v/>
      </c>
      <c r="G16" s="67" t="str">
        <f>IFERROR(IF(VLOOKUP($A16,#REF!,7,0)="","",VLOOKUP($A16,#REF!,7,0)),"")</f>
        <v/>
      </c>
      <c r="H16" s="158" t="str">
        <f>IFERROR(IF(VLOOKUP($A16,#REF!,8,0)="","",VLOOKUP($A16,#REF!,8,0)),"")</f>
        <v/>
      </c>
      <c r="I16" s="67" t="str">
        <f>IFERROR(IF(VLOOKUP($A16,#REF!,9,0)="","",VLOOKUP($A16,#REF!,9,0)),"")</f>
        <v/>
      </c>
      <c r="J16" s="67" t="str">
        <f>IFERROR(IF(VLOOKUP($A16,#REF!,10,0)="","",VLOOKUP($A16,#REF!,10,0)),"")</f>
        <v/>
      </c>
      <c r="K16" s="67" t="str">
        <f>IFERROR(IF(VLOOKUP($A16,#REF!,11,0)="","",VLOOKUP($A16,#REF!,11,0)),"")</f>
        <v/>
      </c>
      <c r="L16" s="67" t="str">
        <f>IFERROR(IF(VLOOKUP($A16,#REF!,12,0)="","",VLOOKUP($A16,#REF!,12,0)),"")</f>
        <v/>
      </c>
      <c r="M16" s="67" t="str">
        <f>IFERROR(IF(VLOOKUP($A16,#REF!,13,0)="","",VLOOKUP($A16,#REF!,13,0)),"")</f>
        <v/>
      </c>
      <c r="N16" s="66" t="str">
        <f>IFERROR(IF(VLOOKUP($A16,#REF!,14,0)="","",VLOOKUP($A16,#REF!,14,0)),"")</f>
        <v/>
      </c>
      <c r="O16" s="169" t="str">
        <f>IFERROR(IF(VLOOKUP($A16,#REF!,15,0)="","",VLOOKUP($A16,#REF!,15,0)),"")</f>
        <v/>
      </c>
    </row>
    <row r="17" spans="1:15" x14ac:dyDescent="0.3">
      <c r="A17" s="151" t="s">
        <v>118</v>
      </c>
      <c r="B17" s="70" t="s">
        <v>12</v>
      </c>
      <c r="C17" s="69">
        <f>'PLJ30'!H11</f>
        <v>1</v>
      </c>
      <c r="D17" s="168" t="str">
        <f>IFERROR(VLOOKUP($A17,Banco!$A:$D,7,0),"")</f>
        <v/>
      </c>
      <c r="E17" s="66" t="str">
        <f>IFERROR(VLOOKUP($A17,Banco!$A:$G,10,0),"-")</f>
        <v>-</v>
      </c>
      <c r="F17" s="67" t="str">
        <f>IFERROR(RIGHT(VLOOKUP($E17,Banco!$G:$I,3,0),24),"")</f>
        <v/>
      </c>
      <c r="G17" s="67" t="str">
        <f>IFERROR(IF(VLOOKUP($A17,#REF!,7,0)="","",VLOOKUP($A17,#REF!,7,0)),"")</f>
        <v/>
      </c>
      <c r="H17" s="158" t="str">
        <f>IFERROR(IF(VLOOKUP($A17,#REF!,8,0)="","",VLOOKUP($A17,#REF!,8,0)),"")</f>
        <v/>
      </c>
      <c r="I17" s="67" t="str">
        <f>IFERROR(IF(VLOOKUP($A17,#REF!,9,0)="","",VLOOKUP($A17,#REF!,9,0)),"")</f>
        <v/>
      </c>
      <c r="J17" s="67" t="str">
        <f>IFERROR(IF(VLOOKUP($A17,#REF!,10,0)="","",VLOOKUP($A17,#REF!,10,0)),"")</f>
        <v/>
      </c>
      <c r="K17" s="67" t="str">
        <f>IFERROR(IF(VLOOKUP($A17,#REF!,11,0)="","",VLOOKUP($A17,#REF!,11,0)),"")</f>
        <v/>
      </c>
      <c r="L17" s="67" t="str">
        <f>IFERROR(IF(VLOOKUP($A17,#REF!,12,0)="","",VLOOKUP($A17,#REF!,12,0)),"")</f>
        <v/>
      </c>
      <c r="M17" s="67" t="str">
        <f>IFERROR(IF(VLOOKUP($A17,#REF!,13,0)="","",VLOOKUP($A17,#REF!,13,0)),"")</f>
        <v/>
      </c>
      <c r="N17" s="66" t="str">
        <f>IFERROR(IF(VLOOKUP($A17,#REF!,14,0)="","",VLOOKUP($A17,#REF!,14,0)),"")</f>
        <v/>
      </c>
      <c r="O17" s="169" t="str">
        <f>IFERROR(IF(VLOOKUP($A17,#REF!,15,0)="","",VLOOKUP($A17,#REF!,15,0)),"")</f>
        <v/>
      </c>
    </row>
    <row r="18" spans="1:15" s="10" customFormat="1" ht="15" thickBot="1" x14ac:dyDescent="0.35">
      <c r="A18" s="152"/>
      <c r="B18" s="239" t="s">
        <v>13</v>
      </c>
      <c r="C18" s="240"/>
      <c r="D18" s="241"/>
      <c r="E18" s="160">
        <f>COUNTIFS(E16:E17,"&lt;&gt;-")-COUNTIFS(D16:D17,"Afastamento")-COUNTIFS(D16:D17,"Demitido")</f>
        <v>0</v>
      </c>
      <c r="F18" s="68">
        <f>E18-C17</f>
        <v>-1</v>
      </c>
      <c r="G18" s="12" t="str">
        <f>IFERROR(IF(VLOOKUP($A18,#REF!,7,0)="","",VLOOKUP($A18,#REF!,7,0)),"")</f>
        <v/>
      </c>
      <c r="H18" s="10" t="str">
        <f>IFERROR(IF(VLOOKUP($A18,#REF!,8,0)="","",VLOOKUP($A18,#REF!,8,0)),"")</f>
        <v/>
      </c>
      <c r="I18" s="10" t="str">
        <f>IFERROR(IF(VLOOKUP($A18,#REF!,9,0)="","",VLOOKUP($A18,#REF!,9,0)),"")</f>
        <v/>
      </c>
      <c r="J18" s="10" t="str">
        <f>IFERROR(IF(VLOOKUP($A18,#REF!,10,0)="","",VLOOKUP($A18,#REF!,10,0)),"")</f>
        <v/>
      </c>
      <c r="K18" s="10" t="str">
        <f>IFERROR(IF(VLOOKUP($A18,#REF!,11,0)="","",VLOOKUP($A18,#REF!,11,0)),"")</f>
        <v/>
      </c>
      <c r="L18" t="str">
        <f>IFERROR(IF(VLOOKUP($A18,#REF!,12,0)="","",VLOOKUP($A18,#REF!,12,0)),"")</f>
        <v/>
      </c>
      <c r="M18" s="10" t="str">
        <f>IFERROR(IF(VLOOKUP($A18,#REF!,13,0)="","",VLOOKUP($A18,#REF!,13,0)),"")</f>
        <v/>
      </c>
      <c r="N18" s="10" t="str">
        <f>IFERROR(IF(VLOOKUP($A18,#REF!,14,0)="","",VLOOKUP($A18,#REF!,14,0)),"")</f>
        <v/>
      </c>
      <c r="O18" s="10" t="str">
        <f>IFERROR(IF(VLOOKUP($A18,#REF!,15,0)="","",VLOOKUP($A18,#REF!,15,0)),"")</f>
        <v/>
      </c>
    </row>
    <row r="19" spans="1:15" s="12" customFormat="1" ht="12" customHeight="1" thickBot="1" x14ac:dyDescent="0.35">
      <c r="A19" s="153"/>
      <c r="G19" s="12" t="str">
        <f>IFERROR(IF(VLOOKUP($A19,#REF!,7,0)="","",VLOOKUP($A19,#REF!,7,0)),"")</f>
        <v/>
      </c>
      <c r="H19" s="12" t="str">
        <f>IFERROR(IF(VLOOKUP($A19,#REF!,8,0)="","",VLOOKUP($A19,#REF!,8,0)),"")</f>
        <v/>
      </c>
      <c r="I19" s="12" t="str">
        <f>IFERROR(IF(VLOOKUP($A19,#REF!,9,0)="","",VLOOKUP($A19,#REF!,9,0)),"")</f>
        <v/>
      </c>
      <c r="J19" s="12" t="str">
        <f>IFERROR(IF(VLOOKUP($A19,#REF!,10,0)="","",VLOOKUP($A19,#REF!,10,0)),"")</f>
        <v/>
      </c>
      <c r="K19" s="12" t="str">
        <f>IFERROR(IF(VLOOKUP($A19,#REF!,11,0)="","",VLOOKUP($A19,#REF!,11,0)),"")</f>
        <v/>
      </c>
      <c r="L19" t="str">
        <f>IFERROR(IF(VLOOKUP($A19,#REF!,12,0)="","",VLOOKUP($A19,#REF!,12,0)),"")</f>
        <v/>
      </c>
      <c r="M19" s="12" t="str">
        <f>IFERROR(IF(VLOOKUP($A19,#REF!,13,0)="","",VLOOKUP($A19,#REF!,13,0)),"")</f>
        <v/>
      </c>
      <c r="N19" s="12" t="str">
        <f>IFERROR(IF(VLOOKUP($A19,#REF!,14,0)="","",VLOOKUP($A19,#REF!,14,0)),"")</f>
        <v/>
      </c>
      <c r="O19" s="12" t="str">
        <f>IFERROR(IF(VLOOKUP($A19,#REF!,15,0)="","",VLOOKUP($A19,#REF!,15,0)),"")</f>
        <v/>
      </c>
    </row>
    <row r="20" spans="1:15" ht="15.6" customHeight="1" x14ac:dyDescent="0.3">
      <c r="A20" s="156" t="s">
        <v>7</v>
      </c>
      <c r="B20" s="248" t="s">
        <v>119</v>
      </c>
      <c r="C20" s="249"/>
      <c r="D20" s="161" t="s">
        <v>9</v>
      </c>
      <c r="E20" s="162" t="s">
        <v>10</v>
      </c>
      <c r="F20" s="162" t="s">
        <v>11</v>
      </c>
      <c r="G20" s="183" t="str">
        <f>IFERROR(IF(VLOOKUP($A20,#REF!,7,0)="","",VLOOKUP($A20,#REF!,7,0)),"")</f>
        <v/>
      </c>
      <c r="H20" s="163" t="str">
        <f>IFERROR(IF(VLOOKUP($A20,#REF!,8,0)="","",VLOOKUP($A20,#REF!,8,0)),"")</f>
        <v/>
      </c>
      <c r="I20" s="164" t="str">
        <f>IFERROR(IF(VLOOKUP($A20,#REF!,9,0)="","",VLOOKUP($A20,#REF!,9,0)),"")</f>
        <v/>
      </c>
      <c r="J20" s="164" t="str">
        <f>IFERROR(IF(VLOOKUP($A20,#REF!,10,0)="","",VLOOKUP($A20,#REF!,10,0)),"")</f>
        <v/>
      </c>
      <c r="K20" s="164" t="str">
        <f>IFERROR(IF(VLOOKUP($A20,#REF!,11,0)="","",VLOOKUP($A20,#REF!,11,0)),"")</f>
        <v/>
      </c>
      <c r="L20" s="164" t="str">
        <f>IFERROR(IF(VLOOKUP($A20,#REF!,12,0)="","",VLOOKUP($A20,#REF!,12,0)),"")</f>
        <v/>
      </c>
      <c r="M20" s="165" t="str">
        <f>IFERROR(IF(VLOOKUP($A20,#REF!,13,0)="","",VLOOKUP($A20,#REF!,13,0)),"")</f>
        <v/>
      </c>
      <c r="N20" s="166" t="str">
        <f>IFERROR(IF(VLOOKUP($A20,#REF!,14,0)="","",VLOOKUP($A20,#REF!,14,0)),"")</f>
        <v/>
      </c>
      <c r="O20" s="167" t="str">
        <f>IFERROR(IF(VLOOKUP($A20,#REF!,15,0)="","",VLOOKUP($A20,#REF!,15,0)),"")</f>
        <v/>
      </c>
    </row>
    <row r="21" spans="1:15" ht="14.4" customHeight="1" x14ac:dyDescent="0.3">
      <c r="A21" s="151" t="s">
        <v>120</v>
      </c>
      <c r="B21" s="250"/>
      <c r="C21" s="251"/>
      <c r="D21" s="168" t="str">
        <f>IFERROR(VLOOKUP($A21,Banco!$A:$D,7,0),"")</f>
        <v/>
      </c>
      <c r="E21" s="66" t="str">
        <f>IFERROR(VLOOKUP($A21,Banco!$A:$G,10,0),"-")</f>
        <v>-</v>
      </c>
      <c r="F21" s="67" t="str">
        <f>IFERROR(RIGHT(VLOOKUP($E21,Banco!$G:$I,3,0),24),"")</f>
        <v/>
      </c>
      <c r="G21" s="67" t="str">
        <f>IFERROR(IF(VLOOKUP($A21,#REF!,7,0)="","",VLOOKUP($A21,#REF!,7,0)),"")</f>
        <v/>
      </c>
      <c r="H21" s="158" t="str">
        <f>IFERROR(IF(VLOOKUP($A21,#REF!,8,0)="","",VLOOKUP($A21,#REF!,8,0)),"")</f>
        <v/>
      </c>
      <c r="I21" s="67" t="str">
        <f>IFERROR(IF(VLOOKUP($A21,#REF!,9,0)="","",VLOOKUP($A21,#REF!,9,0)),"")</f>
        <v/>
      </c>
      <c r="J21" s="67" t="str">
        <f>IFERROR(IF(VLOOKUP($A21,#REF!,10,0)="","",VLOOKUP($A21,#REF!,10,0)),"")</f>
        <v/>
      </c>
      <c r="K21" s="67" t="str">
        <f>IFERROR(IF(VLOOKUP($A21,#REF!,11,0)="","",VLOOKUP($A21,#REF!,11,0)),"")</f>
        <v/>
      </c>
      <c r="L21" s="67" t="str">
        <f>IFERROR(IF(VLOOKUP($A21,#REF!,12,0)="","",VLOOKUP($A21,#REF!,12,0)),"")</f>
        <v/>
      </c>
      <c r="M21" s="67" t="str">
        <f>IFERROR(IF(VLOOKUP($A21,#REF!,13,0)="","",VLOOKUP($A21,#REF!,13,0)),"")</f>
        <v/>
      </c>
      <c r="N21" s="66" t="str">
        <f>IFERROR(IF(VLOOKUP($A21,#REF!,14,0)="","",VLOOKUP($A21,#REF!,14,0)),"")</f>
        <v/>
      </c>
      <c r="O21" s="169" t="str">
        <f>IFERROR(IF(VLOOKUP($A21,#REF!,15,0)="","",VLOOKUP($A21,#REF!,15,0)),"")</f>
        <v/>
      </c>
    </row>
    <row r="22" spans="1:15" x14ac:dyDescent="0.3">
      <c r="A22" s="151" t="s">
        <v>121</v>
      </c>
      <c r="B22" s="250"/>
      <c r="C22" s="251"/>
      <c r="D22" s="168" t="str">
        <f>IFERROR(VLOOKUP($A22,Banco!$A:$D,7,0),"")</f>
        <v/>
      </c>
      <c r="E22" s="66" t="str">
        <f>IFERROR(VLOOKUP($A22,Banco!$A:$G,10,0),"-")</f>
        <v>-</v>
      </c>
      <c r="F22" s="67" t="str">
        <f>IFERROR(RIGHT(VLOOKUP($E22,Banco!$G:$I,3,0),24),"")</f>
        <v/>
      </c>
      <c r="G22" s="67" t="str">
        <f>IFERROR(IF(VLOOKUP($A22,#REF!,7,0)="","",VLOOKUP($A22,#REF!,7,0)),"")</f>
        <v/>
      </c>
      <c r="H22" s="158" t="str">
        <f>IFERROR(IF(VLOOKUP($A22,#REF!,8,0)="","",VLOOKUP($A22,#REF!,8,0)),"")</f>
        <v/>
      </c>
      <c r="I22" s="67" t="str">
        <f>IFERROR(IF(VLOOKUP($A22,#REF!,9,0)="","",VLOOKUP($A22,#REF!,9,0)),"")</f>
        <v/>
      </c>
      <c r="J22" s="67" t="str">
        <f>IFERROR(IF(VLOOKUP($A22,#REF!,10,0)="","",VLOOKUP($A22,#REF!,10,0)),"")</f>
        <v/>
      </c>
      <c r="K22" s="67" t="str">
        <f>IFERROR(IF(VLOOKUP($A22,#REF!,11,0)="","",VLOOKUP($A22,#REF!,11,0)),"")</f>
        <v/>
      </c>
      <c r="L22" s="67" t="str">
        <f>IFERROR(IF(VLOOKUP($A22,#REF!,12,0)="","",VLOOKUP($A22,#REF!,12,0)),"")</f>
        <v/>
      </c>
      <c r="M22" s="67" t="str">
        <f>IFERROR(IF(VLOOKUP($A22,#REF!,13,0)="","",VLOOKUP($A22,#REF!,13,0)),"")</f>
        <v/>
      </c>
      <c r="N22" s="66" t="str">
        <f>IFERROR(IF(VLOOKUP($A22,#REF!,14,0)="","",VLOOKUP($A22,#REF!,14,0)),"")</f>
        <v/>
      </c>
      <c r="O22" s="169" t="str">
        <f>IFERROR(IF(VLOOKUP($A22,#REF!,15,0)="","",VLOOKUP($A22,#REF!,15,0)),"")</f>
        <v/>
      </c>
    </row>
    <row r="23" spans="1:15" x14ac:dyDescent="0.3">
      <c r="A23" s="151" t="s">
        <v>122</v>
      </c>
      <c r="B23" s="250"/>
      <c r="C23" s="251"/>
      <c r="D23" s="168" t="str">
        <f>IFERROR(VLOOKUP($A23,Banco!$A:$D,7,0),"")</f>
        <v/>
      </c>
      <c r="E23" s="66" t="str">
        <f>IFERROR(VLOOKUP($A23,Banco!$A:$G,10,0),"-")</f>
        <v>-</v>
      </c>
      <c r="F23" s="67" t="str">
        <f>IFERROR(RIGHT(VLOOKUP($E23,Banco!$G:$I,3,0),24),"")</f>
        <v/>
      </c>
      <c r="G23" s="67" t="str">
        <f>IFERROR(IF(VLOOKUP($A23,#REF!,7,0)="","",VLOOKUP($A23,#REF!,7,0)),"")</f>
        <v/>
      </c>
      <c r="H23" s="158" t="str">
        <f>IFERROR(IF(VLOOKUP($A23,#REF!,8,0)="","",VLOOKUP($A23,#REF!,8,0)),"")</f>
        <v/>
      </c>
      <c r="I23" s="67" t="str">
        <f>IFERROR(IF(VLOOKUP($A23,#REF!,9,0)="","",VLOOKUP($A23,#REF!,9,0)),"")</f>
        <v/>
      </c>
      <c r="J23" s="67" t="str">
        <f>IFERROR(IF(VLOOKUP($A23,#REF!,10,0)="","",VLOOKUP($A23,#REF!,10,0)),"")</f>
        <v/>
      </c>
      <c r="K23" s="67" t="str">
        <f>IFERROR(IF(VLOOKUP($A23,#REF!,11,0)="","",VLOOKUP($A23,#REF!,11,0)),"")</f>
        <v/>
      </c>
      <c r="L23" s="67" t="str">
        <f>IFERROR(IF(VLOOKUP($A23,#REF!,12,0)="","",VLOOKUP($A23,#REF!,12,0)),"")</f>
        <v/>
      </c>
      <c r="M23" s="67" t="str">
        <f>IFERROR(IF(VLOOKUP($A23,#REF!,13,0)="","",VLOOKUP($A23,#REF!,13,0)),"")</f>
        <v/>
      </c>
      <c r="N23" s="66" t="str">
        <f>IFERROR(IF(VLOOKUP($A23,#REF!,14,0)="","",VLOOKUP($A23,#REF!,14,0)),"")</f>
        <v/>
      </c>
      <c r="O23" s="169" t="str">
        <f>IFERROR(IF(VLOOKUP($A23,#REF!,15,0)="","",VLOOKUP($A23,#REF!,15,0)),"")</f>
        <v/>
      </c>
    </row>
    <row r="24" spans="1:15" x14ac:dyDescent="0.3">
      <c r="A24" s="151" t="s">
        <v>123</v>
      </c>
      <c r="B24" s="250"/>
      <c r="C24" s="251"/>
      <c r="D24" s="168" t="str">
        <f>IFERROR(VLOOKUP($A24,Banco!$A:$D,7,0),"")</f>
        <v/>
      </c>
      <c r="E24" s="66" t="str">
        <f>IFERROR(VLOOKUP($A24,Banco!$A:$G,10,0),"-")</f>
        <v>-</v>
      </c>
      <c r="F24" s="67" t="str">
        <f>IFERROR(RIGHT(VLOOKUP($E24,Banco!$G:$I,3,0),24),"")</f>
        <v/>
      </c>
      <c r="G24" s="67" t="str">
        <f>IFERROR(IF(VLOOKUP($A24,#REF!,7,0)="","",VLOOKUP($A24,#REF!,7,0)),"")</f>
        <v/>
      </c>
      <c r="H24" s="158" t="str">
        <f>IFERROR(IF(VLOOKUP($A24,#REF!,8,0)="","",VLOOKUP($A24,#REF!,8,0)),"")</f>
        <v/>
      </c>
      <c r="I24" s="67" t="str">
        <f>IFERROR(IF(VLOOKUP($A24,#REF!,9,0)="","",VLOOKUP($A24,#REF!,9,0)),"")</f>
        <v/>
      </c>
      <c r="J24" s="67" t="str">
        <f>IFERROR(IF(VLOOKUP($A24,#REF!,10,0)="","",VLOOKUP($A24,#REF!,10,0)),"")</f>
        <v/>
      </c>
      <c r="K24" s="67" t="str">
        <f>IFERROR(IF(VLOOKUP($A24,#REF!,11,0)="","",VLOOKUP($A24,#REF!,11,0)),"")</f>
        <v/>
      </c>
      <c r="L24" s="67" t="str">
        <f>IFERROR(IF(VLOOKUP($A24,#REF!,12,0)="","",VLOOKUP($A24,#REF!,12,0)),"")</f>
        <v/>
      </c>
      <c r="M24" s="67" t="str">
        <f>IFERROR(IF(VLOOKUP($A24,#REF!,13,0)="","",VLOOKUP($A24,#REF!,13,0)),"")</f>
        <v/>
      </c>
      <c r="N24" s="66" t="str">
        <f>IFERROR(IF(VLOOKUP($A24,#REF!,14,0)="","",VLOOKUP($A24,#REF!,14,0)),"")</f>
        <v/>
      </c>
      <c r="O24" s="169" t="str">
        <f>IFERROR(IF(VLOOKUP($A24,#REF!,15,0)="","",VLOOKUP($A24,#REF!,15,0)),"")</f>
        <v/>
      </c>
    </row>
    <row r="25" spans="1:15" x14ac:dyDescent="0.3">
      <c r="A25" s="151" t="s">
        <v>124</v>
      </c>
      <c r="B25" s="250"/>
      <c r="C25" s="251"/>
      <c r="D25" s="168" t="str">
        <f>IFERROR(VLOOKUP($A25,Banco!$A:$D,7,0),"")</f>
        <v/>
      </c>
      <c r="E25" s="66" t="str">
        <f>IFERROR(VLOOKUP($A25,Banco!$A:$G,10,0),"-")</f>
        <v>-</v>
      </c>
      <c r="F25" s="67" t="str">
        <f>IFERROR(RIGHT(VLOOKUP($E25,Banco!$G:$I,3,0),24),"")</f>
        <v/>
      </c>
      <c r="G25" s="67" t="str">
        <f>IFERROR(IF(VLOOKUP($A25,#REF!,7,0)="","",VLOOKUP($A25,#REF!,7,0)),"")</f>
        <v/>
      </c>
      <c r="H25" s="158" t="str">
        <f>IFERROR(IF(VLOOKUP($A25,#REF!,8,0)="","",VLOOKUP($A25,#REF!,8,0)),"")</f>
        <v/>
      </c>
      <c r="I25" s="67" t="str">
        <f>IFERROR(IF(VLOOKUP($A25,#REF!,9,0)="","",VLOOKUP($A25,#REF!,9,0)),"")</f>
        <v/>
      </c>
      <c r="J25" s="67" t="str">
        <f>IFERROR(IF(VLOOKUP($A25,#REF!,10,0)="","",VLOOKUP($A25,#REF!,10,0)),"")</f>
        <v/>
      </c>
      <c r="K25" s="67" t="str">
        <f>IFERROR(IF(VLOOKUP($A25,#REF!,11,0)="","",VLOOKUP($A25,#REF!,11,0)),"")</f>
        <v/>
      </c>
      <c r="L25" s="67" t="str">
        <f>IFERROR(IF(VLOOKUP($A25,#REF!,12,0)="","",VLOOKUP($A25,#REF!,12,0)),"")</f>
        <v/>
      </c>
      <c r="M25" s="67" t="str">
        <f>IFERROR(IF(VLOOKUP($A25,#REF!,13,0)="","",VLOOKUP($A25,#REF!,13,0)),"")</f>
        <v/>
      </c>
      <c r="N25" s="66" t="str">
        <f>IFERROR(IF(VLOOKUP($A25,#REF!,14,0)="","",VLOOKUP($A25,#REF!,14,0)),"")</f>
        <v/>
      </c>
      <c r="O25" s="169" t="str">
        <f>IFERROR(IF(VLOOKUP($A25,#REF!,15,0)="","",VLOOKUP($A25,#REF!,15,0)),"")</f>
        <v/>
      </c>
    </row>
    <row r="26" spans="1:15" x14ac:dyDescent="0.3">
      <c r="A26" s="151" t="s">
        <v>125</v>
      </c>
      <c r="B26" s="250"/>
      <c r="C26" s="251"/>
      <c r="D26" s="168" t="str">
        <f>IFERROR(VLOOKUP($A26,Banco!$A:$D,7,0),"")</f>
        <v/>
      </c>
      <c r="E26" s="66" t="str">
        <f>IFERROR(VLOOKUP($A26,Banco!$A:$G,10,0),"-")</f>
        <v>-</v>
      </c>
      <c r="F26" s="67" t="str">
        <f>IFERROR(RIGHT(VLOOKUP($E26,Banco!$G:$I,3,0),24),"")</f>
        <v/>
      </c>
      <c r="G26" s="67" t="str">
        <f>IFERROR(IF(VLOOKUP($A26,#REF!,7,0)="","",VLOOKUP($A26,#REF!,7,0)),"")</f>
        <v/>
      </c>
      <c r="H26" s="158" t="str">
        <f>IFERROR(IF(VLOOKUP($A26,#REF!,8,0)="","",VLOOKUP($A26,#REF!,8,0)),"")</f>
        <v/>
      </c>
      <c r="I26" s="67" t="str">
        <f>IFERROR(IF(VLOOKUP($A26,#REF!,9,0)="","",VLOOKUP($A26,#REF!,9,0)),"")</f>
        <v/>
      </c>
      <c r="J26" s="67" t="str">
        <f>IFERROR(IF(VLOOKUP($A26,#REF!,10,0)="","",VLOOKUP($A26,#REF!,10,0)),"")</f>
        <v/>
      </c>
      <c r="K26" s="67" t="str">
        <f>IFERROR(IF(VLOOKUP($A26,#REF!,11,0)="","",VLOOKUP($A26,#REF!,11,0)),"")</f>
        <v/>
      </c>
      <c r="L26" s="67" t="str">
        <f>IFERROR(IF(VLOOKUP($A26,#REF!,12,0)="","",VLOOKUP($A26,#REF!,12,0)),"")</f>
        <v/>
      </c>
      <c r="M26" s="67" t="str">
        <f>IFERROR(IF(VLOOKUP($A26,#REF!,13,0)="","",VLOOKUP($A26,#REF!,13,0)),"")</f>
        <v/>
      </c>
      <c r="N26" s="66" t="str">
        <f>IFERROR(IF(VLOOKUP($A26,#REF!,14,0)="","",VLOOKUP($A26,#REF!,14,0)),"")</f>
        <v/>
      </c>
      <c r="O26" s="169" t="str">
        <f>IFERROR(IF(VLOOKUP($A26,#REF!,15,0)="","",VLOOKUP($A26,#REF!,15,0)),"")</f>
        <v/>
      </c>
    </row>
    <row r="27" spans="1:15" x14ac:dyDescent="0.3">
      <c r="A27" s="151" t="s">
        <v>126</v>
      </c>
      <c r="B27" s="250"/>
      <c r="C27" s="251"/>
      <c r="D27" s="168" t="str">
        <f>IFERROR(VLOOKUP($A27,Banco!$A:$D,7,0),"")</f>
        <v/>
      </c>
      <c r="E27" s="66" t="str">
        <f>IFERROR(VLOOKUP($A27,Banco!$A:$G,10,0),"-")</f>
        <v>-</v>
      </c>
      <c r="F27" s="67" t="str">
        <f>IFERROR(RIGHT(VLOOKUP($E27,Banco!$G:$I,3,0),24),"")</f>
        <v/>
      </c>
      <c r="G27" s="67" t="str">
        <f>IFERROR(IF(VLOOKUP($A27,#REF!,7,0)="","",VLOOKUP($A27,#REF!,7,0)),"")</f>
        <v/>
      </c>
      <c r="H27" s="158" t="str">
        <f>IFERROR(IF(VLOOKUP($A27,#REF!,8,0)="","",VLOOKUP($A27,#REF!,8,0)),"")</f>
        <v/>
      </c>
      <c r="I27" s="67" t="str">
        <f>IFERROR(IF(VLOOKUP($A27,#REF!,9,0)="","",VLOOKUP($A27,#REF!,9,0)),"")</f>
        <v/>
      </c>
      <c r="J27" s="67" t="str">
        <f>IFERROR(IF(VLOOKUP($A27,#REF!,10,0)="","",VLOOKUP($A27,#REF!,10,0)),"")</f>
        <v/>
      </c>
      <c r="K27" s="67" t="str">
        <f>IFERROR(IF(VLOOKUP($A27,#REF!,11,0)="","",VLOOKUP($A27,#REF!,11,0)),"")</f>
        <v/>
      </c>
      <c r="L27" s="67" t="str">
        <f>IFERROR(IF(VLOOKUP($A27,#REF!,12,0)="","",VLOOKUP($A27,#REF!,12,0)),"")</f>
        <v/>
      </c>
      <c r="M27" s="67" t="str">
        <f>IFERROR(IF(VLOOKUP($A27,#REF!,13,0)="","",VLOOKUP($A27,#REF!,13,0)),"")</f>
        <v/>
      </c>
      <c r="N27" s="66" t="str">
        <f>IFERROR(IF(VLOOKUP($A27,#REF!,14,0)="","",VLOOKUP($A27,#REF!,14,0)),"")</f>
        <v/>
      </c>
      <c r="O27" s="169" t="str">
        <f>IFERROR(IF(VLOOKUP($A27,#REF!,15,0)="","",VLOOKUP($A27,#REF!,15,0)),"")</f>
        <v/>
      </c>
    </row>
    <row r="28" spans="1:15" x14ac:dyDescent="0.3">
      <c r="A28" s="151" t="s">
        <v>127</v>
      </c>
      <c r="B28" s="250"/>
      <c r="C28" s="251"/>
      <c r="D28" s="168" t="str">
        <f>IFERROR(VLOOKUP($A28,Banco!$A:$D,7,0),"")</f>
        <v/>
      </c>
      <c r="E28" s="66" t="str">
        <f>IFERROR(VLOOKUP($A28,Banco!$A:$G,10,0),"-")</f>
        <v>-</v>
      </c>
      <c r="F28" s="67" t="str">
        <f>IFERROR(RIGHT(VLOOKUP($E28,Banco!$G:$I,3,0),24),"")</f>
        <v/>
      </c>
      <c r="G28" s="67" t="str">
        <f>IFERROR(IF(VLOOKUP($A28,#REF!,7,0)="","",VLOOKUP($A28,#REF!,7,0)),"")</f>
        <v/>
      </c>
      <c r="H28" s="158" t="str">
        <f>IFERROR(IF(VLOOKUP($A28,#REF!,8,0)="","",VLOOKUP($A28,#REF!,8,0)),"")</f>
        <v/>
      </c>
      <c r="I28" s="67" t="str">
        <f>IFERROR(IF(VLOOKUP($A28,#REF!,9,0)="","",VLOOKUP($A28,#REF!,9,0)),"")</f>
        <v/>
      </c>
      <c r="J28" s="67" t="str">
        <f>IFERROR(IF(VLOOKUP($A28,#REF!,10,0)="","",VLOOKUP($A28,#REF!,10,0)),"")</f>
        <v/>
      </c>
      <c r="K28" s="67" t="str">
        <f>IFERROR(IF(VLOOKUP($A28,#REF!,11,0)="","",VLOOKUP($A28,#REF!,11,0)),"")</f>
        <v/>
      </c>
      <c r="L28" s="67" t="str">
        <f>IFERROR(IF(VLOOKUP($A28,#REF!,12,0)="","",VLOOKUP($A28,#REF!,12,0)),"")</f>
        <v/>
      </c>
      <c r="M28" s="67" t="str">
        <f>IFERROR(IF(VLOOKUP($A28,#REF!,13,0)="","",VLOOKUP($A28,#REF!,13,0)),"")</f>
        <v/>
      </c>
      <c r="N28" s="66" t="str">
        <f>IFERROR(IF(VLOOKUP($A28,#REF!,14,0)="","",VLOOKUP($A28,#REF!,14,0)),"")</f>
        <v/>
      </c>
      <c r="O28" s="169" t="str">
        <f>IFERROR(IF(VLOOKUP($A28,#REF!,15,0)="","",VLOOKUP($A28,#REF!,15,0)),"")</f>
        <v/>
      </c>
    </row>
    <row r="29" spans="1:15" x14ac:dyDescent="0.3">
      <c r="A29" s="151" t="s">
        <v>128</v>
      </c>
      <c r="B29" s="250"/>
      <c r="C29" s="251"/>
      <c r="D29" s="168" t="str">
        <f>IFERROR(VLOOKUP($A29,Banco!$A:$D,7,0),"")</f>
        <v/>
      </c>
      <c r="E29" s="66" t="str">
        <f>IFERROR(VLOOKUP($A29,Banco!$A:$G,10,0),"-")</f>
        <v>-</v>
      </c>
      <c r="F29" s="67" t="str">
        <f>IFERROR(RIGHT(VLOOKUP($E29,Banco!$G:$I,3,0),24),"")</f>
        <v/>
      </c>
      <c r="G29" s="67" t="str">
        <f>IFERROR(IF(VLOOKUP($A29,#REF!,7,0)="","",VLOOKUP($A29,#REF!,7,0)),"")</f>
        <v/>
      </c>
      <c r="H29" s="158" t="str">
        <f>IFERROR(IF(VLOOKUP($A29,#REF!,8,0)="","",VLOOKUP($A29,#REF!,8,0)),"")</f>
        <v/>
      </c>
      <c r="I29" s="67" t="str">
        <f>IFERROR(IF(VLOOKUP($A29,#REF!,9,0)="","",VLOOKUP($A29,#REF!,9,0)),"")</f>
        <v/>
      </c>
      <c r="J29" s="67" t="str">
        <f>IFERROR(IF(VLOOKUP($A29,#REF!,10,0)="","",VLOOKUP($A29,#REF!,10,0)),"")</f>
        <v/>
      </c>
      <c r="K29" s="67" t="str">
        <f>IFERROR(IF(VLOOKUP($A29,#REF!,11,0)="","",VLOOKUP($A29,#REF!,11,0)),"")</f>
        <v/>
      </c>
      <c r="L29" s="67" t="str">
        <f>IFERROR(IF(VLOOKUP($A29,#REF!,12,0)="","",VLOOKUP($A29,#REF!,12,0)),"")</f>
        <v/>
      </c>
      <c r="M29" s="67" t="str">
        <f>IFERROR(IF(VLOOKUP($A29,#REF!,13,0)="","",VLOOKUP($A29,#REF!,13,0)),"")</f>
        <v/>
      </c>
      <c r="N29" s="66" t="str">
        <f>IFERROR(IF(VLOOKUP($A29,#REF!,14,0)="","",VLOOKUP($A29,#REF!,14,0)),"")</f>
        <v/>
      </c>
      <c r="O29" s="169" t="str">
        <f>IFERROR(IF(VLOOKUP($A29,#REF!,15,0)="","",VLOOKUP($A29,#REF!,15,0)),"")</f>
        <v/>
      </c>
    </row>
    <row r="30" spans="1:15" x14ac:dyDescent="0.3">
      <c r="A30" s="151" t="s">
        <v>129</v>
      </c>
      <c r="B30" s="250"/>
      <c r="C30" s="251"/>
      <c r="D30" s="168" t="str">
        <f>IFERROR(VLOOKUP($A30,Banco!$A:$D,7,0),"")</f>
        <v/>
      </c>
      <c r="E30" s="66" t="str">
        <f>IFERROR(VLOOKUP($A30,Banco!$A:$G,10,0),"-")</f>
        <v>-</v>
      </c>
      <c r="F30" s="67" t="str">
        <f>IFERROR(RIGHT(VLOOKUP($E30,Banco!$G:$I,3,0),24),"")</f>
        <v/>
      </c>
      <c r="G30" s="67" t="str">
        <f>IFERROR(IF(VLOOKUP($A30,#REF!,7,0)="","",VLOOKUP($A30,#REF!,7,0)),"")</f>
        <v/>
      </c>
      <c r="H30" s="158" t="str">
        <f>IFERROR(IF(VLOOKUP($A30,#REF!,8,0)="","",VLOOKUP($A30,#REF!,8,0)),"")</f>
        <v/>
      </c>
      <c r="I30" s="67" t="str">
        <f>IFERROR(IF(VLOOKUP($A30,#REF!,9,0)="","",VLOOKUP($A30,#REF!,9,0)),"")</f>
        <v/>
      </c>
      <c r="J30" s="67" t="str">
        <f>IFERROR(IF(VLOOKUP($A30,#REF!,10,0)="","",VLOOKUP($A30,#REF!,10,0)),"")</f>
        <v/>
      </c>
      <c r="K30" s="67" t="str">
        <f>IFERROR(IF(VLOOKUP($A30,#REF!,11,0)="","",VLOOKUP($A30,#REF!,11,0)),"")</f>
        <v/>
      </c>
      <c r="L30" s="67" t="str">
        <f>IFERROR(IF(VLOOKUP($A30,#REF!,12,0)="","",VLOOKUP($A30,#REF!,12,0)),"")</f>
        <v/>
      </c>
      <c r="M30" s="67" t="str">
        <f>IFERROR(IF(VLOOKUP($A30,#REF!,13,0)="","",VLOOKUP($A30,#REF!,13,0)),"")</f>
        <v/>
      </c>
      <c r="N30" s="66" t="str">
        <f>IFERROR(IF(VLOOKUP($A30,#REF!,14,0)="","",VLOOKUP($A30,#REF!,14,0)),"")</f>
        <v/>
      </c>
      <c r="O30" s="169" t="str">
        <f>IFERROR(IF(VLOOKUP($A30,#REF!,15,0)="","",VLOOKUP($A30,#REF!,15,0)),"")</f>
        <v/>
      </c>
    </row>
    <row r="31" spans="1:15" x14ac:dyDescent="0.3">
      <c r="A31" s="151" t="s">
        <v>130</v>
      </c>
      <c r="B31" s="250"/>
      <c r="C31" s="251"/>
      <c r="D31" s="168" t="str">
        <f>IFERROR(VLOOKUP($A31,Banco!$A:$D,7,0),"")</f>
        <v/>
      </c>
      <c r="E31" s="66" t="str">
        <f>IFERROR(VLOOKUP($A31,Banco!$A:$G,10,0),"-")</f>
        <v>-</v>
      </c>
      <c r="F31" s="67" t="str">
        <f>IFERROR(RIGHT(VLOOKUP($E31,Banco!$G:$I,3,0),24),"")</f>
        <v/>
      </c>
      <c r="G31" s="67" t="str">
        <f>IFERROR(IF(VLOOKUP($A31,#REF!,7,0)="","",VLOOKUP($A31,#REF!,7,0)),"")</f>
        <v/>
      </c>
      <c r="H31" s="158" t="str">
        <f>IFERROR(IF(VLOOKUP($A31,#REF!,8,0)="","",VLOOKUP($A31,#REF!,8,0)),"")</f>
        <v/>
      </c>
      <c r="I31" s="67" t="str">
        <f>IFERROR(IF(VLOOKUP($A31,#REF!,9,0)="","",VLOOKUP($A31,#REF!,9,0)),"")</f>
        <v/>
      </c>
      <c r="J31" s="67" t="str">
        <f>IFERROR(IF(VLOOKUP($A31,#REF!,10,0)="","",VLOOKUP($A31,#REF!,10,0)),"")</f>
        <v/>
      </c>
      <c r="K31" s="67" t="str">
        <f>IFERROR(IF(VLOOKUP($A31,#REF!,11,0)="","",VLOOKUP($A31,#REF!,11,0)),"")</f>
        <v/>
      </c>
      <c r="L31" s="67" t="str">
        <f>IFERROR(IF(VLOOKUP($A31,#REF!,12,0)="","",VLOOKUP($A31,#REF!,12,0)),"")</f>
        <v/>
      </c>
      <c r="M31" s="67" t="str">
        <f>IFERROR(IF(VLOOKUP($A31,#REF!,13,0)="","",VLOOKUP($A31,#REF!,13,0)),"")</f>
        <v/>
      </c>
      <c r="N31" s="66" t="str">
        <f>IFERROR(IF(VLOOKUP($A31,#REF!,14,0)="","",VLOOKUP($A31,#REF!,14,0)),"")</f>
        <v/>
      </c>
      <c r="O31" s="169" t="str">
        <f>IFERROR(IF(VLOOKUP($A31,#REF!,15,0)="","",VLOOKUP($A31,#REF!,15,0)),"")</f>
        <v/>
      </c>
    </row>
    <row r="32" spans="1:15" x14ac:dyDescent="0.3">
      <c r="A32" s="151" t="s">
        <v>131</v>
      </c>
      <c r="B32" s="250"/>
      <c r="C32" s="251"/>
      <c r="D32" s="168" t="str">
        <f>IFERROR(VLOOKUP($A32,Banco!$A:$D,7,0),"")</f>
        <v/>
      </c>
      <c r="E32" s="66" t="str">
        <f>IFERROR(VLOOKUP($A32,Banco!$A:$G,10,0),"-")</f>
        <v>-</v>
      </c>
      <c r="F32" s="67" t="str">
        <f>IFERROR(RIGHT(VLOOKUP($E32,Banco!$G:$I,3,0),24),"")</f>
        <v/>
      </c>
      <c r="G32" s="67" t="str">
        <f>IFERROR(IF(VLOOKUP($A32,#REF!,7,0)="","",VLOOKUP($A32,#REF!,7,0)),"")</f>
        <v/>
      </c>
      <c r="H32" s="158" t="str">
        <f>IFERROR(IF(VLOOKUP($A32,#REF!,8,0)="","",VLOOKUP($A32,#REF!,8,0)),"")</f>
        <v/>
      </c>
      <c r="I32" s="67" t="str">
        <f>IFERROR(IF(VLOOKUP($A32,#REF!,9,0)="","",VLOOKUP($A32,#REF!,9,0)),"")</f>
        <v/>
      </c>
      <c r="J32" s="67" t="str">
        <f>IFERROR(IF(VLOOKUP($A32,#REF!,10,0)="","",VLOOKUP($A32,#REF!,10,0)),"")</f>
        <v/>
      </c>
      <c r="K32" s="67" t="str">
        <f>IFERROR(IF(VLOOKUP($A32,#REF!,11,0)="","",VLOOKUP($A32,#REF!,11,0)),"")</f>
        <v/>
      </c>
      <c r="L32" s="67" t="str">
        <f>IFERROR(IF(VLOOKUP($A32,#REF!,12,0)="","",VLOOKUP($A32,#REF!,12,0)),"")</f>
        <v/>
      </c>
      <c r="M32" s="67" t="str">
        <f>IFERROR(IF(VLOOKUP($A32,#REF!,13,0)="","",VLOOKUP($A32,#REF!,13,0)),"")</f>
        <v/>
      </c>
      <c r="N32" s="66" t="str">
        <f>IFERROR(IF(VLOOKUP($A32,#REF!,14,0)="","",VLOOKUP($A32,#REF!,14,0)),"")</f>
        <v/>
      </c>
      <c r="O32" s="169" t="str">
        <f>IFERROR(IF(VLOOKUP($A32,#REF!,15,0)="","",VLOOKUP($A32,#REF!,15,0)),"")</f>
        <v/>
      </c>
    </row>
    <row r="33" spans="1:15" x14ac:dyDescent="0.3">
      <c r="A33" s="151" t="s">
        <v>132</v>
      </c>
      <c r="B33" s="250"/>
      <c r="C33" s="251"/>
      <c r="D33" s="168" t="str">
        <f>IFERROR(VLOOKUP($A33,Banco!$A:$D,7,0),"")</f>
        <v/>
      </c>
      <c r="E33" s="66" t="str">
        <f>IFERROR(VLOOKUP($A33,Banco!$A:$G,10,0),"-")</f>
        <v>-</v>
      </c>
      <c r="F33" s="67" t="str">
        <f>IFERROR(RIGHT(VLOOKUP($E33,Banco!$G:$I,3,0),24),"")</f>
        <v/>
      </c>
      <c r="G33" s="67" t="str">
        <f>IFERROR(IF(VLOOKUP($A33,#REF!,7,0)="","",VLOOKUP($A33,#REF!,7,0)),"")</f>
        <v/>
      </c>
      <c r="H33" s="158" t="str">
        <f>IFERROR(IF(VLOOKUP($A33,#REF!,8,0)="","",VLOOKUP($A33,#REF!,8,0)),"")</f>
        <v/>
      </c>
      <c r="I33" s="67" t="str">
        <f>IFERROR(IF(VLOOKUP($A33,#REF!,9,0)="","",VLOOKUP($A33,#REF!,9,0)),"")</f>
        <v/>
      </c>
      <c r="J33" s="67" t="str">
        <f>IFERROR(IF(VLOOKUP($A33,#REF!,10,0)="","",VLOOKUP($A33,#REF!,10,0)),"")</f>
        <v/>
      </c>
      <c r="K33" s="67" t="str">
        <f>IFERROR(IF(VLOOKUP($A33,#REF!,11,0)="","",VLOOKUP($A33,#REF!,11,0)),"")</f>
        <v/>
      </c>
      <c r="L33" s="67" t="str">
        <f>IFERROR(IF(VLOOKUP($A33,#REF!,12,0)="","",VLOOKUP($A33,#REF!,12,0)),"")</f>
        <v/>
      </c>
      <c r="M33" s="67" t="str">
        <f>IFERROR(IF(VLOOKUP($A33,#REF!,13,0)="","",VLOOKUP($A33,#REF!,13,0)),"")</f>
        <v/>
      </c>
      <c r="N33" s="66" t="str">
        <f>IFERROR(IF(VLOOKUP($A33,#REF!,14,0)="","",VLOOKUP($A33,#REF!,14,0)),"")</f>
        <v/>
      </c>
      <c r="O33" s="169" t="str">
        <f>IFERROR(IF(VLOOKUP($A33,#REF!,15,0)="","",VLOOKUP($A33,#REF!,15,0)),"")</f>
        <v/>
      </c>
    </row>
    <row r="34" spans="1:15" x14ac:dyDescent="0.3">
      <c r="A34" s="151" t="s">
        <v>133</v>
      </c>
      <c r="B34" s="250"/>
      <c r="C34" s="251"/>
      <c r="D34" s="168" t="str">
        <f>IFERROR(VLOOKUP($A34,Banco!$A:$D,7,0),"")</f>
        <v/>
      </c>
      <c r="E34" s="66" t="str">
        <f>IFERROR(VLOOKUP($A34,Banco!$A:$G,10,0),"-")</f>
        <v>-</v>
      </c>
      <c r="F34" s="67" t="str">
        <f>IFERROR(RIGHT(VLOOKUP($E34,Banco!$G:$I,3,0),24),"")</f>
        <v/>
      </c>
      <c r="G34" s="67" t="str">
        <f>IFERROR(IF(VLOOKUP($A34,#REF!,7,0)="","",VLOOKUP($A34,#REF!,7,0)),"")</f>
        <v/>
      </c>
      <c r="H34" s="158" t="str">
        <f>IFERROR(IF(VLOOKUP($A34,#REF!,8,0)="","",VLOOKUP($A34,#REF!,8,0)),"")</f>
        <v/>
      </c>
      <c r="I34" s="67" t="str">
        <f>IFERROR(IF(VLOOKUP($A34,#REF!,9,0)="","",VLOOKUP($A34,#REF!,9,0)),"")</f>
        <v/>
      </c>
      <c r="J34" s="67" t="str">
        <f>IFERROR(IF(VLOOKUP($A34,#REF!,10,0)="","",VLOOKUP($A34,#REF!,10,0)),"")</f>
        <v/>
      </c>
      <c r="K34" s="67" t="str">
        <f>IFERROR(IF(VLOOKUP($A34,#REF!,11,0)="","",VLOOKUP($A34,#REF!,11,0)),"")</f>
        <v/>
      </c>
      <c r="L34" s="67" t="str">
        <f>IFERROR(IF(VLOOKUP($A34,#REF!,12,0)="","",VLOOKUP($A34,#REF!,12,0)),"")</f>
        <v/>
      </c>
      <c r="M34" s="67" t="str">
        <f>IFERROR(IF(VLOOKUP($A34,#REF!,13,0)="","",VLOOKUP($A34,#REF!,13,0)),"")</f>
        <v/>
      </c>
      <c r="N34" s="66" t="str">
        <f>IFERROR(IF(VLOOKUP($A34,#REF!,14,0)="","",VLOOKUP($A34,#REF!,14,0)),"")</f>
        <v/>
      </c>
      <c r="O34" s="169" t="str">
        <f>IFERROR(IF(VLOOKUP($A34,#REF!,15,0)="","",VLOOKUP($A34,#REF!,15,0)),"")</f>
        <v/>
      </c>
    </row>
    <row r="35" spans="1:15" x14ac:dyDescent="0.3">
      <c r="A35" s="151" t="s">
        <v>134</v>
      </c>
      <c r="B35" s="250"/>
      <c r="C35" s="251"/>
      <c r="D35" s="168" t="str">
        <f>IFERROR(VLOOKUP($A35,Banco!$A:$D,7,0),"")</f>
        <v/>
      </c>
      <c r="E35" s="66" t="str">
        <f>IFERROR(VLOOKUP($A35,Banco!$A:$G,10,0),"-")</f>
        <v>-</v>
      </c>
      <c r="F35" s="67" t="str">
        <f>IFERROR(RIGHT(VLOOKUP($E35,Banco!$G:$I,3,0),24),"")</f>
        <v/>
      </c>
      <c r="G35" s="67" t="str">
        <f>IFERROR(IF(VLOOKUP($A35,#REF!,7,0)="","",VLOOKUP($A35,#REF!,7,0)),"")</f>
        <v/>
      </c>
      <c r="H35" s="158" t="str">
        <f>IFERROR(IF(VLOOKUP($A35,#REF!,8,0)="","",VLOOKUP($A35,#REF!,8,0)),"")</f>
        <v/>
      </c>
      <c r="I35" s="67" t="str">
        <f>IFERROR(IF(VLOOKUP($A35,#REF!,9,0)="","",VLOOKUP($A35,#REF!,9,0)),"")</f>
        <v/>
      </c>
      <c r="J35" s="67" t="str">
        <f>IFERROR(IF(VLOOKUP($A35,#REF!,10,0)="","",VLOOKUP($A35,#REF!,10,0)),"")</f>
        <v/>
      </c>
      <c r="K35" s="67" t="str">
        <f>IFERROR(IF(VLOOKUP($A35,#REF!,11,0)="","",VLOOKUP($A35,#REF!,11,0)),"")</f>
        <v/>
      </c>
      <c r="L35" s="67" t="str">
        <f>IFERROR(IF(VLOOKUP($A35,#REF!,12,0)="","",VLOOKUP($A35,#REF!,12,0)),"")</f>
        <v/>
      </c>
      <c r="M35" s="67" t="str">
        <f>IFERROR(IF(VLOOKUP($A35,#REF!,13,0)="","",VLOOKUP($A35,#REF!,13,0)),"")</f>
        <v/>
      </c>
      <c r="N35" s="66" t="str">
        <f>IFERROR(IF(VLOOKUP($A35,#REF!,14,0)="","",VLOOKUP($A35,#REF!,14,0)),"")</f>
        <v/>
      </c>
      <c r="O35" s="169" t="str">
        <f>IFERROR(IF(VLOOKUP($A35,#REF!,15,0)="","",VLOOKUP($A35,#REF!,15,0)),"")</f>
        <v/>
      </c>
    </row>
    <row r="36" spans="1:15" x14ac:dyDescent="0.3">
      <c r="A36" s="151" t="s">
        <v>135</v>
      </c>
      <c r="B36" s="250"/>
      <c r="C36" s="251"/>
      <c r="D36" s="168" t="str">
        <f>IFERROR(VLOOKUP($A36,Banco!$A:$D,7,0),"")</f>
        <v/>
      </c>
      <c r="E36" s="66" t="str">
        <f>IFERROR(VLOOKUP($A36,Banco!$A:$G,10,0),"-")</f>
        <v>-</v>
      </c>
      <c r="F36" s="67" t="str">
        <f>IFERROR(RIGHT(VLOOKUP($E36,Banco!$G:$I,3,0),24),"")</f>
        <v/>
      </c>
      <c r="G36" s="67" t="str">
        <f>IFERROR(IF(VLOOKUP($A36,#REF!,7,0)="","",VLOOKUP($A36,#REF!,7,0)),"")</f>
        <v/>
      </c>
      <c r="H36" s="158" t="str">
        <f>IFERROR(IF(VLOOKUP($A36,#REF!,8,0)="","",VLOOKUP($A36,#REF!,8,0)),"")</f>
        <v/>
      </c>
      <c r="I36" s="67" t="str">
        <f>IFERROR(IF(VLOOKUP($A36,#REF!,9,0)="","",VLOOKUP($A36,#REF!,9,0)),"")</f>
        <v/>
      </c>
      <c r="J36" s="67" t="str">
        <f>IFERROR(IF(VLOOKUP($A36,#REF!,10,0)="","",VLOOKUP($A36,#REF!,10,0)),"")</f>
        <v/>
      </c>
      <c r="K36" s="67" t="str">
        <f>IFERROR(IF(VLOOKUP($A36,#REF!,11,0)="","",VLOOKUP($A36,#REF!,11,0)),"")</f>
        <v/>
      </c>
      <c r="L36" s="67" t="str">
        <f>IFERROR(IF(VLOOKUP($A36,#REF!,12,0)="","",VLOOKUP($A36,#REF!,12,0)),"")</f>
        <v/>
      </c>
      <c r="M36" s="67" t="str">
        <f>IFERROR(IF(VLOOKUP($A36,#REF!,13,0)="","",VLOOKUP($A36,#REF!,13,0)),"")</f>
        <v/>
      </c>
      <c r="N36" s="66" t="str">
        <f>IFERROR(IF(VLOOKUP($A36,#REF!,14,0)="","",VLOOKUP($A36,#REF!,14,0)),"")</f>
        <v/>
      </c>
      <c r="O36" s="169" t="str">
        <f>IFERROR(IF(VLOOKUP($A36,#REF!,15,0)="","",VLOOKUP($A36,#REF!,15,0)),"")</f>
        <v/>
      </c>
    </row>
    <row r="37" spans="1:15" x14ac:dyDescent="0.3">
      <c r="A37" s="151" t="s">
        <v>136</v>
      </c>
      <c r="B37" s="70" t="s">
        <v>12</v>
      </c>
      <c r="C37" s="69">
        <f>'PLJ30'!H18</f>
        <v>15</v>
      </c>
      <c r="D37" s="168" t="str">
        <f>IFERROR(VLOOKUP($A37,Banco!$A:$D,7,0),"")</f>
        <v/>
      </c>
      <c r="E37" s="66" t="str">
        <f>IFERROR(VLOOKUP($A37,Banco!$A:$G,10,0),"-")</f>
        <v>-</v>
      </c>
      <c r="F37" s="67" t="str">
        <f>IFERROR(RIGHT(VLOOKUP($E37,Banco!$G:$I,3,0),24),"")</f>
        <v/>
      </c>
      <c r="G37" s="67" t="str">
        <f>IFERROR(IF(VLOOKUP($A37,#REF!,7,0)="","",VLOOKUP($A37,#REF!,7,0)),"")</f>
        <v/>
      </c>
      <c r="H37" s="158" t="str">
        <f>IFERROR(IF(VLOOKUP($A37,#REF!,8,0)="","",VLOOKUP($A37,#REF!,8,0)),"")</f>
        <v/>
      </c>
      <c r="I37" s="67" t="str">
        <f>IFERROR(IF(VLOOKUP($A37,#REF!,9,0)="","",VLOOKUP($A37,#REF!,9,0)),"")</f>
        <v/>
      </c>
      <c r="J37" s="67" t="str">
        <f>IFERROR(IF(VLOOKUP($A37,#REF!,10,0)="","",VLOOKUP($A37,#REF!,10,0)),"")</f>
        <v/>
      </c>
      <c r="K37" s="67" t="str">
        <f>IFERROR(IF(VLOOKUP($A37,#REF!,11,0)="","",VLOOKUP($A37,#REF!,11,0)),"")</f>
        <v/>
      </c>
      <c r="L37" s="67" t="str">
        <f>IFERROR(IF(VLOOKUP($A37,#REF!,12,0)="","",VLOOKUP($A37,#REF!,12,0)),"")</f>
        <v/>
      </c>
      <c r="M37" s="67" t="str">
        <f>IFERROR(IF(VLOOKUP($A37,#REF!,13,0)="","",VLOOKUP($A37,#REF!,13,0)),"")</f>
        <v/>
      </c>
      <c r="N37" s="66" t="str">
        <f>IFERROR(IF(VLOOKUP($A37,#REF!,14,0)="","",VLOOKUP($A37,#REF!,14,0)),"")</f>
        <v/>
      </c>
      <c r="O37" s="169" t="str">
        <f>IFERROR(IF(VLOOKUP($A37,#REF!,15,0)="","",VLOOKUP($A37,#REF!,15,0)),"")</f>
        <v/>
      </c>
    </row>
    <row r="38" spans="1:15" ht="15" thickBot="1" x14ac:dyDescent="0.35">
      <c r="B38" s="239" t="s">
        <v>13</v>
      </c>
      <c r="C38" s="240"/>
      <c r="D38" s="241"/>
      <c r="E38" s="160">
        <f>COUNTIFS(E21:E37,"&lt;&gt;-")-COUNTIFS(D21:D37,"Afastamento")-COUNTIFS(D21:D37,"Demitido")</f>
        <v>0</v>
      </c>
      <c r="F38" s="68">
        <f>E38-C37</f>
        <v>-15</v>
      </c>
      <c r="G38" s="12" t="str">
        <f>IFERROR(IF(VLOOKUP($A38,#REF!,7,0)="","",VLOOKUP($A38,#REF!,7,0)),"")</f>
        <v/>
      </c>
      <c r="H38" t="str">
        <f>IFERROR(IF(VLOOKUP($A38,#REF!,8,0)="","",VLOOKUP($A38,#REF!,8,0)),"")</f>
        <v/>
      </c>
      <c r="I38" t="str">
        <f>IFERROR(IF(VLOOKUP($A38,#REF!,9,0)="","",VLOOKUP($A38,#REF!,9,0)),"")</f>
        <v/>
      </c>
      <c r="J38" t="str">
        <f>IFERROR(IF(VLOOKUP($A38,#REF!,10,0)="","",VLOOKUP($A38,#REF!,10,0)),"")</f>
        <v/>
      </c>
      <c r="K38" t="str">
        <f>IFERROR(IF(VLOOKUP($A38,#REF!,11,0)="","",VLOOKUP($A38,#REF!,11,0)),"")</f>
        <v/>
      </c>
      <c r="L38" t="str">
        <f>IFERROR(IF(VLOOKUP($A38,#REF!,12,0)="","",VLOOKUP($A38,#REF!,12,0)),"")</f>
        <v/>
      </c>
      <c r="M38" t="str">
        <f>IFERROR(IF(VLOOKUP($A38,#REF!,13,0)="","",VLOOKUP($A38,#REF!,13,0)),"")</f>
        <v/>
      </c>
      <c r="N38" t="str">
        <f>IFERROR(IF(VLOOKUP($A38,#REF!,14,0)="","",VLOOKUP($A38,#REF!,14,0)),"")</f>
        <v/>
      </c>
      <c r="O38" t="str">
        <f>IFERROR(IF(VLOOKUP($A38,#REF!,15,0)="","",VLOOKUP($A38,#REF!,15,0)),"")</f>
        <v/>
      </c>
    </row>
    <row r="39" spans="1:15" ht="15" thickBot="1" x14ac:dyDescent="0.35">
      <c r="B39"/>
      <c r="C39"/>
      <c r="D39"/>
      <c r="E39"/>
      <c r="F39"/>
      <c r="G39" t="str">
        <f>IFERROR(IF(VLOOKUP($A39,#REF!,7,0)="","",VLOOKUP($A39,#REF!,7,0)),"")</f>
        <v/>
      </c>
      <c r="H39" t="str">
        <f>IFERROR(IF(VLOOKUP($A39,#REF!,8,0)="","",VLOOKUP($A39,#REF!,8,0)),"")</f>
        <v/>
      </c>
      <c r="I39" t="str">
        <f>IFERROR(IF(VLOOKUP($A39,#REF!,9,0)="","",VLOOKUP($A39,#REF!,9,0)),"")</f>
        <v/>
      </c>
      <c r="J39" t="str">
        <f>IFERROR(IF(VLOOKUP($A39,#REF!,10,0)="","",VLOOKUP($A39,#REF!,10,0)),"")</f>
        <v/>
      </c>
      <c r="K39" t="str">
        <f>IFERROR(IF(VLOOKUP($A39,#REF!,11,0)="","",VLOOKUP($A39,#REF!,11,0)),"")</f>
        <v/>
      </c>
      <c r="L39" t="str">
        <f>IFERROR(IF(VLOOKUP($A39,#REF!,12,0)="","",VLOOKUP($A39,#REF!,12,0)),"")</f>
        <v/>
      </c>
      <c r="M39" t="str">
        <f>IFERROR(IF(VLOOKUP($A39,#REF!,13,0)="","",VLOOKUP($A39,#REF!,13,0)),"")</f>
        <v/>
      </c>
      <c r="N39" t="str">
        <f>IFERROR(IF(VLOOKUP($A39,#REF!,14,0)="","",VLOOKUP($A39,#REF!,14,0)),"")</f>
        <v/>
      </c>
      <c r="O39" t="str">
        <f>IFERROR(IF(VLOOKUP($A39,#REF!,15,0)="","",VLOOKUP($A39,#REF!,15,0)),"")</f>
        <v/>
      </c>
    </row>
    <row r="40" spans="1:15" s="12" customFormat="1" ht="15.6" customHeight="1" x14ac:dyDescent="0.3">
      <c r="A40" s="156" t="s">
        <v>7</v>
      </c>
      <c r="B40" s="248" t="s">
        <v>137</v>
      </c>
      <c r="C40" s="249"/>
      <c r="D40" s="161" t="s">
        <v>9</v>
      </c>
      <c r="E40" s="162" t="s">
        <v>10</v>
      </c>
      <c r="F40" s="162" t="s">
        <v>11</v>
      </c>
      <c r="G40" s="183" t="str">
        <f>IFERROR(IF(VLOOKUP($A40,#REF!,7,0)="","",VLOOKUP($A40,#REF!,7,0)),"")</f>
        <v/>
      </c>
      <c r="H40" s="163" t="str">
        <f>IFERROR(IF(VLOOKUP($A40,#REF!,8,0)="","",VLOOKUP($A40,#REF!,8,0)),"")</f>
        <v/>
      </c>
      <c r="I40" s="164" t="str">
        <f>IFERROR(IF(VLOOKUP($A40,#REF!,9,0)="","",VLOOKUP($A40,#REF!,9,0)),"")</f>
        <v/>
      </c>
      <c r="J40" s="164" t="str">
        <f>IFERROR(IF(VLOOKUP($A40,#REF!,10,0)="","",VLOOKUP($A40,#REF!,10,0)),"")</f>
        <v/>
      </c>
      <c r="K40" s="164" t="str">
        <f>IFERROR(IF(VLOOKUP($A40,#REF!,11,0)="","",VLOOKUP($A40,#REF!,11,0)),"")</f>
        <v/>
      </c>
      <c r="L40" s="164" t="str">
        <f>IFERROR(IF(VLOOKUP($A40,#REF!,12,0)="","",VLOOKUP($A40,#REF!,12,0)),"")</f>
        <v/>
      </c>
      <c r="M40" s="165" t="str">
        <f>IFERROR(IF(VLOOKUP($A40,#REF!,13,0)="","",VLOOKUP($A40,#REF!,13,0)),"")</f>
        <v/>
      </c>
      <c r="N40" s="166" t="str">
        <f>IFERROR(IF(VLOOKUP($A40,#REF!,14,0)="","",VLOOKUP($A40,#REF!,14,0)),"")</f>
        <v/>
      </c>
      <c r="O40" s="167" t="str">
        <f>IFERROR(IF(VLOOKUP($A40,#REF!,15,0)="","",VLOOKUP($A40,#REF!,15,0)),"")</f>
        <v/>
      </c>
    </row>
    <row r="41" spans="1:15" ht="14.4" customHeight="1" x14ac:dyDescent="0.3">
      <c r="A41" s="154" t="s">
        <v>138</v>
      </c>
      <c r="B41" s="250"/>
      <c r="C41" s="251"/>
      <c r="D41" s="168" t="str">
        <f>IFERROR(VLOOKUP($A41,Banco!$A:$D,7,0),"")</f>
        <v/>
      </c>
      <c r="E41" s="66" t="str">
        <f>IFERROR(VLOOKUP($A41,Banco!$A:$G,10,0),"-")</f>
        <v>-</v>
      </c>
      <c r="F41" s="67" t="str">
        <f>IFERROR(RIGHT(VLOOKUP($E41,Banco!$G:$I,3,0),24),"")</f>
        <v/>
      </c>
      <c r="G41" s="67" t="str">
        <f>IFERROR(IF(VLOOKUP($A41,#REF!,7,0)="","",VLOOKUP($A41,#REF!,7,0)),"")</f>
        <v/>
      </c>
      <c r="H41" s="158" t="str">
        <f>IFERROR(IF(VLOOKUP($A41,#REF!,8,0)="","",VLOOKUP($A41,#REF!,8,0)),"")</f>
        <v/>
      </c>
      <c r="I41" s="67" t="str">
        <f>IFERROR(IF(VLOOKUP($A41,#REF!,9,0)="","",VLOOKUP($A41,#REF!,9,0)),"")</f>
        <v/>
      </c>
      <c r="J41" s="67" t="str">
        <f>IFERROR(IF(VLOOKUP($A41,#REF!,10,0)="","",VLOOKUP($A41,#REF!,10,0)),"")</f>
        <v/>
      </c>
      <c r="K41" s="67" t="str">
        <f>IFERROR(IF(VLOOKUP($A41,#REF!,11,0)="","",VLOOKUP($A41,#REF!,11,0)),"")</f>
        <v/>
      </c>
      <c r="L41" s="67" t="str">
        <f>IFERROR(IF(VLOOKUP($A41,#REF!,12,0)="","",VLOOKUP($A41,#REF!,12,0)),"")</f>
        <v/>
      </c>
      <c r="M41" s="67" t="str">
        <f>IFERROR(IF(VLOOKUP($A41,#REF!,13,0)="","",VLOOKUP($A41,#REF!,13,0)),"")</f>
        <v/>
      </c>
      <c r="N41" s="66" t="str">
        <f>IFERROR(IF(VLOOKUP($A41,#REF!,14,0)="","",VLOOKUP($A41,#REF!,14,0)),"")</f>
        <v/>
      </c>
      <c r="O41" s="169" t="str">
        <f>IFERROR(IF(VLOOKUP($A41,#REF!,15,0)="","",VLOOKUP($A41,#REF!,15,0)),"")</f>
        <v/>
      </c>
    </row>
    <row r="42" spans="1:15" x14ac:dyDescent="0.3">
      <c r="A42" s="154" t="s">
        <v>139</v>
      </c>
      <c r="B42" s="250"/>
      <c r="C42" s="251"/>
      <c r="D42" s="168" t="str">
        <f>IFERROR(VLOOKUP($A42,Banco!$A:$D,7,0),"")</f>
        <v/>
      </c>
      <c r="E42" s="66" t="str">
        <f>IFERROR(VLOOKUP($A42,Banco!$A:$G,10,0),"-")</f>
        <v>-</v>
      </c>
      <c r="F42" s="67" t="str">
        <f>IFERROR(RIGHT(VLOOKUP($E42,Banco!$G:$I,3,0),24),"")</f>
        <v/>
      </c>
      <c r="G42" s="67" t="str">
        <f>IFERROR(IF(VLOOKUP($A42,#REF!,7,0)="","",VLOOKUP($A42,#REF!,7,0)),"")</f>
        <v/>
      </c>
      <c r="H42" s="158" t="str">
        <f>IFERROR(IF(VLOOKUP($A42,#REF!,8,0)="","",VLOOKUP($A42,#REF!,8,0)),"")</f>
        <v/>
      </c>
      <c r="I42" s="67" t="str">
        <f>IFERROR(IF(VLOOKUP($A42,#REF!,9,0)="","",VLOOKUP($A42,#REF!,9,0)),"")</f>
        <v/>
      </c>
      <c r="J42" s="67" t="str">
        <f>IFERROR(IF(VLOOKUP($A42,#REF!,10,0)="","",VLOOKUP($A42,#REF!,10,0)),"")</f>
        <v/>
      </c>
      <c r="K42" s="67" t="str">
        <f>IFERROR(IF(VLOOKUP($A42,#REF!,11,0)="","",VLOOKUP($A42,#REF!,11,0)),"")</f>
        <v/>
      </c>
      <c r="L42" s="67" t="str">
        <f>IFERROR(IF(VLOOKUP($A42,#REF!,12,0)="","",VLOOKUP($A42,#REF!,12,0)),"")</f>
        <v/>
      </c>
      <c r="M42" s="67" t="str">
        <f>IFERROR(IF(VLOOKUP($A42,#REF!,13,0)="","",VLOOKUP($A42,#REF!,13,0)),"")</f>
        <v/>
      </c>
      <c r="N42" s="66" t="str">
        <f>IFERROR(IF(VLOOKUP($A42,#REF!,14,0)="","",VLOOKUP($A42,#REF!,14,0)),"")</f>
        <v/>
      </c>
      <c r="O42" s="169" t="str">
        <f>IFERROR(IF(VLOOKUP($A42,#REF!,15,0)="","",VLOOKUP($A42,#REF!,15,0)),"")</f>
        <v/>
      </c>
    </row>
    <row r="43" spans="1:15" x14ac:dyDescent="0.3">
      <c r="A43" s="154" t="s">
        <v>140</v>
      </c>
      <c r="B43" s="250"/>
      <c r="C43" s="251"/>
      <c r="D43" s="168" t="str">
        <f>IFERROR(VLOOKUP($A43,Banco!$A:$D,7,0),"")</f>
        <v/>
      </c>
      <c r="E43" s="66" t="str">
        <f>IFERROR(VLOOKUP($A43,Banco!$A:$G,10,0),"-")</f>
        <v>-</v>
      </c>
      <c r="F43" s="67" t="str">
        <f>IFERROR(RIGHT(VLOOKUP($E43,Banco!$G:$I,3,0),24),"")</f>
        <v/>
      </c>
      <c r="G43" s="67" t="str">
        <f>IFERROR(IF(VLOOKUP($A43,#REF!,7,0)="","",VLOOKUP($A43,#REF!,7,0)),"")</f>
        <v/>
      </c>
      <c r="H43" s="158" t="str">
        <f>IFERROR(IF(VLOOKUP($A43,#REF!,8,0)="","",VLOOKUP($A43,#REF!,8,0)),"")</f>
        <v/>
      </c>
      <c r="I43" s="67" t="str">
        <f>IFERROR(IF(VLOOKUP($A43,#REF!,9,0)="","",VLOOKUP($A43,#REF!,9,0)),"")</f>
        <v/>
      </c>
      <c r="J43" s="67" t="str">
        <f>IFERROR(IF(VLOOKUP($A43,#REF!,10,0)="","",VLOOKUP($A43,#REF!,10,0)),"")</f>
        <v/>
      </c>
      <c r="K43" s="67" t="str">
        <f>IFERROR(IF(VLOOKUP($A43,#REF!,11,0)="","",VLOOKUP($A43,#REF!,11,0)),"")</f>
        <v/>
      </c>
      <c r="L43" s="67" t="str">
        <f>IFERROR(IF(VLOOKUP($A43,#REF!,12,0)="","",VLOOKUP($A43,#REF!,12,0)),"")</f>
        <v/>
      </c>
      <c r="M43" s="67" t="str">
        <f>IFERROR(IF(VLOOKUP($A43,#REF!,13,0)="","",VLOOKUP($A43,#REF!,13,0)),"")</f>
        <v/>
      </c>
      <c r="N43" s="66" t="str">
        <f>IFERROR(IF(VLOOKUP($A43,#REF!,14,0)="","",VLOOKUP($A43,#REF!,14,0)),"")</f>
        <v/>
      </c>
      <c r="O43" s="169" t="str">
        <f>IFERROR(IF(VLOOKUP($A43,#REF!,15,0)="","",VLOOKUP($A43,#REF!,15,0)),"")</f>
        <v/>
      </c>
    </row>
    <row r="44" spans="1:15" x14ac:dyDescent="0.3">
      <c r="A44" s="154" t="s">
        <v>141</v>
      </c>
      <c r="B44" s="250"/>
      <c r="C44" s="251"/>
      <c r="D44" s="168" t="str">
        <f>IFERROR(VLOOKUP($A44,Banco!$A:$D,7,0),"")</f>
        <v/>
      </c>
      <c r="E44" s="66" t="str">
        <f>IFERROR(VLOOKUP($A44,Banco!$A:$G,10,0),"-")</f>
        <v>-</v>
      </c>
      <c r="F44" s="67" t="str">
        <f>IFERROR(RIGHT(VLOOKUP($E44,Banco!$G:$I,3,0),24),"")</f>
        <v/>
      </c>
      <c r="G44" s="67" t="str">
        <f>IFERROR(IF(VLOOKUP($A44,#REF!,7,0)="","",VLOOKUP($A44,#REF!,7,0)),"")</f>
        <v/>
      </c>
      <c r="H44" s="158" t="str">
        <f>IFERROR(IF(VLOOKUP($A44,#REF!,8,0)="","",VLOOKUP($A44,#REF!,8,0)),"")</f>
        <v/>
      </c>
      <c r="I44" s="67" t="str">
        <f>IFERROR(IF(VLOOKUP($A44,#REF!,9,0)="","",VLOOKUP($A44,#REF!,9,0)),"")</f>
        <v/>
      </c>
      <c r="J44" s="67" t="str">
        <f>IFERROR(IF(VLOOKUP($A44,#REF!,10,0)="","",VLOOKUP($A44,#REF!,10,0)),"")</f>
        <v/>
      </c>
      <c r="K44" s="67" t="str">
        <f>IFERROR(IF(VLOOKUP($A44,#REF!,11,0)="","",VLOOKUP($A44,#REF!,11,0)),"")</f>
        <v/>
      </c>
      <c r="L44" s="67" t="str">
        <f>IFERROR(IF(VLOOKUP($A44,#REF!,12,0)="","",VLOOKUP($A44,#REF!,12,0)),"")</f>
        <v/>
      </c>
      <c r="M44" s="67" t="str">
        <f>IFERROR(IF(VLOOKUP($A44,#REF!,13,0)="","",VLOOKUP($A44,#REF!,13,0)),"")</f>
        <v/>
      </c>
      <c r="N44" s="66" t="str">
        <f>IFERROR(IF(VLOOKUP($A44,#REF!,14,0)="","",VLOOKUP($A44,#REF!,14,0)),"")</f>
        <v/>
      </c>
      <c r="O44" s="169" t="str">
        <f>IFERROR(IF(VLOOKUP($A44,#REF!,15,0)="","",VLOOKUP($A44,#REF!,15,0)),"")</f>
        <v/>
      </c>
    </row>
    <row r="45" spans="1:15" x14ac:dyDescent="0.3">
      <c r="A45" s="154" t="s">
        <v>142</v>
      </c>
      <c r="B45" s="250"/>
      <c r="C45" s="251"/>
      <c r="D45" s="168" t="str">
        <f>IFERROR(VLOOKUP($A45,Banco!$A:$D,7,0),"")</f>
        <v/>
      </c>
      <c r="E45" s="66" t="str">
        <f>IFERROR(VLOOKUP($A45,Banco!$A:$G,10,0),"-")</f>
        <v>-</v>
      </c>
      <c r="F45" s="67" t="str">
        <f>IFERROR(RIGHT(VLOOKUP($E45,Banco!$G:$I,3,0),24),"")</f>
        <v/>
      </c>
      <c r="G45" s="67" t="str">
        <f>IFERROR(IF(VLOOKUP($A45,#REF!,7,0)="","",VLOOKUP($A45,#REF!,7,0)),"")</f>
        <v/>
      </c>
      <c r="H45" s="158" t="str">
        <f>IFERROR(IF(VLOOKUP($A45,#REF!,8,0)="","",VLOOKUP($A45,#REF!,8,0)),"")</f>
        <v/>
      </c>
      <c r="I45" s="67" t="str">
        <f>IFERROR(IF(VLOOKUP($A45,#REF!,9,0)="","",VLOOKUP($A45,#REF!,9,0)),"")</f>
        <v/>
      </c>
      <c r="J45" s="67" t="str">
        <f>IFERROR(IF(VLOOKUP($A45,#REF!,10,0)="","",VLOOKUP($A45,#REF!,10,0)),"")</f>
        <v/>
      </c>
      <c r="K45" s="67" t="str">
        <f>IFERROR(IF(VLOOKUP($A45,#REF!,11,0)="","",VLOOKUP($A45,#REF!,11,0)),"")</f>
        <v/>
      </c>
      <c r="L45" s="67" t="str">
        <f>IFERROR(IF(VLOOKUP($A45,#REF!,12,0)="","",VLOOKUP($A45,#REF!,12,0)),"")</f>
        <v/>
      </c>
      <c r="M45" s="67" t="str">
        <f>IFERROR(IF(VLOOKUP($A45,#REF!,13,0)="","",VLOOKUP($A45,#REF!,13,0)),"")</f>
        <v/>
      </c>
      <c r="N45" s="66" t="str">
        <f>IFERROR(IF(VLOOKUP($A45,#REF!,14,0)="","",VLOOKUP($A45,#REF!,14,0)),"")</f>
        <v/>
      </c>
      <c r="O45" s="169" t="str">
        <f>IFERROR(IF(VLOOKUP($A45,#REF!,15,0)="","",VLOOKUP($A45,#REF!,15,0)),"")</f>
        <v/>
      </c>
    </row>
    <row r="46" spans="1:15" x14ac:dyDescent="0.3">
      <c r="A46" s="154" t="s">
        <v>143</v>
      </c>
      <c r="B46" s="252"/>
      <c r="C46" s="253"/>
      <c r="D46" s="168" t="str">
        <f>IFERROR(VLOOKUP($A46,Banco!$A:$D,7,0),"")</f>
        <v/>
      </c>
      <c r="E46" s="66" t="str">
        <f>IFERROR(VLOOKUP($A46,Banco!$A:$G,10,0),"-")</f>
        <v>-</v>
      </c>
      <c r="F46" s="67" t="str">
        <f>IFERROR(RIGHT(VLOOKUP($E46,Banco!$G:$I,3,0),24),"")</f>
        <v/>
      </c>
      <c r="G46" s="67" t="str">
        <f>IFERROR(IF(VLOOKUP($A46,#REF!,7,0)="","",VLOOKUP($A46,#REF!,7,0)),"")</f>
        <v/>
      </c>
      <c r="H46" s="158" t="str">
        <f>IFERROR(IF(VLOOKUP($A46,#REF!,8,0)="","",VLOOKUP($A46,#REF!,8,0)),"")</f>
        <v/>
      </c>
      <c r="I46" s="67" t="str">
        <f>IFERROR(IF(VLOOKUP($A46,#REF!,9,0)="","",VLOOKUP($A46,#REF!,9,0)),"")</f>
        <v/>
      </c>
      <c r="J46" s="67" t="str">
        <f>IFERROR(IF(VLOOKUP($A46,#REF!,10,0)="","",VLOOKUP($A46,#REF!,10,0)),"")</f>
        <v/>
      </c>
      <c r="K46" s="67" t="str">
        <f>IFERROR(IF(VLOOKUP($A46,#REF!,11,0)="","",VLOOKUP($A46,#REF!,11,0)),"")</f>
        <v/>
      </c>
      <c r="L46" s="67" t="str">
        <f>IFERROR(IF(VLOOKUP($A46,#REF!,12,0)="","",VLOOKUP($A46,#REF!,12,0)),"")</f>
        <v/>
      </c>
      <c r="M46" s="67" t="str">
        <f>IFERROR(IF(VLOOKUP($A46,#REF!,13,0)="","",VLOOKUP($A46,#REF!,13,0)),"")</f>
        <v/>
      </c>
      <c r="N46" s="66" t="str">
        <f>IFERROR(IF(VLOOKUP($A46,#REF!,14,0)="","",VLOOKUP($A46,#REF!,14,0)),"")</f>
        <v/>
      </c>
      <c r="O46" s="169" t="str">
        <f>IFERROR(IF(VLOOKUP($A46,#REF!,15,0)="","",VLOOKUP($A46,#REF!,15,0)),"")</f>
        <v/>
      </c>
    </row>
    <row r="47" spans="1:15" x14ac:dyDescent="0.3">
      <c r="A47" s="154" t="s">
        <v>144</v>
      </c>
      <c r="B47" s="70" t="s">
        <v>12</v>
      </c>
      <c r="C47" s="69">
        <f>'PLJ30'!N15</f>
        <v>4</v>
      </c>
      <c r="D47" s="168" t="str">
        <f>IFERROR(VLOOKUP($A47,Banco!$A:$D,7,0),"")</f>
        <v/>
      </c>
      <c r="E47" s="66" t="str">
        <f>IFERROR(VLOOKUP($A47,Banco!$A:$G,10,0),"-")</f>
        <v>-</v>
      </c>
      <c r="F47" s="67" t="str">
        <f>IFERROR(RIGHT(VLOOKUP($E47,Banco!$G:$I,3,0),24),"")</f>
        <v/>
      </c>
      <c r="G47" s="67" t="str">
        <f>IFERROR(IF(VLOOKUP($A47,#REF!,7,0)="","",VLOOKUP($A47,#REF!,7,0)),"")</f>
        <v/>
      </c>
      <c r="H47" s="158" t="str">
        <f>IFERROR(IF(VLOOKUP($A47,#REF!,8,0)="","",VLOOKUP($A47,#REF!,8,0)),"")</f>
        <v/>
      </c>
      <c r="I47" s="67" t="str">
        <f>IFERROR(IF(VLOOKUP($A47,#REF!,9,0)="","",VLOOKUP($A47,#REF!,9,0)),"")</f>
        <v/>
      </c>
      <c r="J47" s="67" t="str">
        <f>IFERROR(IF(VLOOKUP($A47,#REF!,10,0)="","",VLOOKUP($A47,#REF!,10,0)),"")</f>
        <v/>
      </c>
      <c r="K47" s="67" t="str">
        <f>IFERROR(IF(VLOOKUP($A47,#REF!,11,0)="","",VLOOKUP($A47,#REF!,11,0)),"")</f>
        <v/>
      </c>
      <c r="L47" s="67" t="str">
        <f>IFERROR(IF(VLOOKUP($A47,#REF!,12,0)="","",VLOOKUP($A47,#REF!,12,0)),"")</f>
        <v/>
      </c>
      <c r="M47" s="67" t="str">
        <f>IFERROR(IF(VLOOKUP($A47,#REF!,13,0)="","",VLOOKUP($A47,#REF!,13,0)),"")</f>
        <v/>
      </c>
      <c r="N47" s="66" t="str">
        <f>IFERROR(IF(VLOOKUP($A47,#REF!,14,0)="","",VLOOKUP($A47,#REF!,14,0)),"")</f>
        <v/>
      </c>
      <c r="O47" s="169" t="str">
        <f>IFERROR(IF(VLOOKUP($A47,#REF!,15,0)="","",VLOOKUP($A47,#REF!,15,0)),"")</f>
        <v/>
      </c>
    </row>
    <row r="48" spans="1:15" ht="15" thickBot="1" x14ac:dyDescent="0.35">
      <c r="B48" s="239" t="s">
        <v>13</v>
      </c>
      <c r="C48" s="240"/>
      <c r="D48" s="241"/>
      <c r="E48" s="160">
        <f>COUNTIFS(E41:E47,"&lt;&gt;-")-COUNTIFS(D41:D47,"Afastamento")-COUNTIFS(D41:D47,"Demitido")</f>
        <v>0</v>
      </c>
      <c r="F48" s="68">
        <f>E48-C47</f>
        <v>-4</v>
      </c>
      <c r="G48" s="12" t="str">
        <f>IFERROR(IF(VLOOKUP($A48,#REF!,7,0)="","",VLOOKUP($A48,#REF!,7,0)),"")</f>
        <v/>
      </c>
      <c r="H48" t="str">
        <f>IFERROR(IF(VLOOKUP($A48,#REF!,8,0)="","",VLOOKUP($A48,#REF!,8,0)),"")</f>
        <v/>
      </c>
      <c r="I48" t="str">
        <f>IFERROR(IF(VLOOKUP($A48,#REF!,9,0)="","",VLOOKUP($A48,#REF!,9,0)),"")</f>
        <v/>
      </c>
      <c r="J48" t="str">
        <f>IFERROR(IF(VLOOKUP($A48,#REF!,10,0)="","",VLOOKUP($A48,#REF!,10,0)),"")</f>
        <v/>
      </c>
      <c r="K48" t="str">
        <f>IFERROR(IF(VLOOKUP($A48,#REF!,11,0)="","",VLOOKUP($A48,#REF!,11,0)),"")</f>
        <v/>
      </c>
      <c r="L48" t="str">
        <f>IFERROR(IF(VLOOKUP($A48,#REF!,12,0)="","",VLOOKUP($A48,#REF!,12,0)),"")</f>
        <v/>
      </c>
      <c r="M48" t="str">
        <f>IFERROR(IF(VLOOKUP($A48,#REF!,13,0)="","",VLOOKUP($A48,#REF!,13,0)),"")</f>
        <v/>
      </c>
      <c r="N48" t="str">
        <f>IFERROR(IF(VLOOKUP($A48,#REF!,14,0)="","",VLOOKUP($A48,#REF!,14,0)),"")</f>
        <v/>
      </c>
      <c r="O48" t="str">
        <f>IFERROR(IF(VLOOKUP($A48,#REF!,15,0)="","",VLOOKUP($A48,#REF!,15,0)),"")</f>
        <v/>
      </c>
    </row>
    <row r="49" spans="1:15" s="11" customFormat="1" ht="12" customHeight="1" thickBot="1" x14ac:dyDescent="0.35">
      <c r="A49" s="154"/>
      <c r="G49" s="11" t="str">
        <f>IFERROR(IF(VLOOKUP($A49,#REF!,7,0)="","",VLOOKUP($A49,#REF!,7,0)),"")</f>
        <v/>
      </c>
      <c r="H49" s="11" t="str">
        <f>IFERROR(IF(VLOOKUP($A49,#REF!,8,0)="","",VLOOKUP($A49,#REF!,8,0)),"")</f>
        <v/>
      </c>
      <c r="I49" s="11" t="str">
        <f>IFERROR(IF(VLOOKUP($A49,#REF!,9,0)="","",VLOOKUP($A49,#REF!,9,0)),"")</f>
        <v/>
      </c>
      <c r="J49" s="11" t="str">
        <f>IFERROR(IF(VLOOKUP($A49,#REF!,10,0)="","",VLOOKUP($A49,#REF!,10,0)),"")</f>
        <v/>
      </c>
      <c r="K49" s="11" t="str">
        <f>IFERROR(IF(VLOOKUP($A49,#REF!,11,0)="","",VLOOKUP($A49,#REF!,11,0)),"")</f>
        <v/>
      </c>
      <c r="L49" t="str">
        <f>IFERROR(IF(VLOOKUP($A49,#REF!,12,0)="","",VLOOKUP($A49,#REF!,12,0)),"")</f>
        <v/>
      </c>
      <c r="M49" s="11" t="str">
        <f>IFERROR(IF(VLOOKUP($A49,#REF!,13,0)="","",VLOOKUP($A49,#REF!,13,0)),"")</f>
        <v/>
      </c>
      <c r="N49" s="11" t="str">
        <f>IFERROR(IF(VLOOKUP($A49,#REF!,14,0)="","",VLOOKUP($A49,#REF!,14,0)),"")</f>
        <v/>
      </c>
      <c r="O49" s="11" t="str">
        <f>IFERROR(IF(VLOOKUP($A49,#REF!,15,0)="","",VLOOKUP($A49,#REF!,15,0)),"")</f>
        <v/>
      </c>
    </row>
    <row r="50" spans="1:15" ht="18" x14ac:dyDescent="0.3">
      <c r="A50" s="156" t="s">
        <v>7</v>
      </c>
      <c r="B50" s="231" t="s">
        <v>145</v>
      </c>
      <c r="C50" s="235"/>
      <c r="D50" s="161" t="s">
        <v>9</v>
      </c>
      <c r="E50" s="162" t="s">
        <v>10</v>
      </c>
      <c r="F50" s="162" t="s">
        <v>11</v>
      </c>
      <c r="G50" s="183" t="str">
        <f>IFERROR(IF(VLOOKUP($A50,#REF!,7,0)="","",VLOOKUP($A50,#REF!,7,0)),"")</f>
        <v/>
      </c>
      <c r="H50" s="163" t="str">
        <f>IFERROR(IF(VLOOKUP($A50,#REF!,8,0)="","",VLOOKUP($A50,#REF!,8,0)),"")</f>
        <v/>
      </c>
      <c r="I50" s="164" t="str">
        <f>IFERROR(IF(VLOOKUP($A50,#REF!,9,0)="","",VLOOKUP($A50,#REF!,9,0)),"")</f>
        <v/>
      </c>
      <c r="J50" s="164" t="str">
        <f>IFERROR(IF(VLOOKUP($A50,#REF!,10,0)="","",VLOOKUP($A50,#REF!,10,0)),"")</f>
        <v/>
      </c>
      <c r="K50" s="164" t="str">
        <f>IFERROR(IF(VLOOKUP($A50,#REF!,11,0)="","",VLOOKUP($A50,#REF!,11,0)),"")</f>
        <v/>
      </c>
      <c r="L50" s="164" t="str">
        <f>IFERROR(IF(VLOOKUP($A50,#REF!,12,0)="","",VLOOKUP($A50,#REF!,12,0)),"")</f>
        <v/>
      </c>
      <c r="M50" s="165" t="str">
        <f>IFERROR(IF(VLOOKUP($A50,#REF!,13,0)="","",VLOOKUP($A50,#REF!,13,0)),"")</f>
        <v/>
      </c>
      <c r="N50" s="166" t="str">
        <f>IFERROR(IF(VLOOKUP($A50,#REF!,14,0)="","",VLOOKUP($A50,#REF!,14,0)),"")</f>
        <v/>
      </c>
      <c r="O50" s="167" t="str">
        <f>IFERROR(IF(VLOOKUP($A50,#REF!,15,0)="","",VLOOKUP($A50,#REF!,15,0)),"")</f>
        <v/>
      </c>
    </row>
    <row r="51" spans="1:15" x14ac:dyDescent="0.3">
      <c r="A51" s="154" t="s">
        <v>146</v>
      </c>
      <c r="B51" s="236"/>
      <c r="C51" s="237"/>
      <c r="D51" s="168" t="str">
        <f>IFERROR(VLOOKUP($A51,Banco!$A:$D,7,0),"")</f>
        <v/>
      </c>
      <c r="E51" s="66" t="str">
        <f>IFERROR(VLOOKUP($A51,Banco!$A:$G,10,0),"-")</f>
        <v>-</v>
      </c>
      <c r="F51" s="67" t="str">
        <f>IFERROR(RIGHT(VLOOKUP($E51,Banco!$G:$I,3,0),24),"")</f>
        <v/>
      </c>
      <c r="G51" s="67" t="str">
        <f>IFERROR(IF(VLOOKUP($A51,#REF!,7,0)="","",VLOOKUP($A51,#REF!,7,0)),"")</f>
        <v/>
      </c>
      <c r="H51" s="158" t="str">
        <f>IFERROR(IF(VLOOKUP($A51,#REF!,8,0)="","",VLOOKUP($A51,#REF!,8,0)),"")</f>
        <v/>
      </c>
      <c r="I51" s="67" t="str">
        <f>IFERROR(IF(VLOOKUP($A51,#REF!,9,0)="","",VLOOKUP($A51,#REF!,9,0)),"")</f>
        <v/>
      </c>
      <c r="J51" s="67" t="str">
        <f>IFERROR(IF(VLOOKUP($A51,#REF!,10,0)="","",VLOOKUP($A51,#REF!,10,0)),"")</f>
        <v/>
      </c>
      <c r="K51" s="67" t="str">
        <f>IFERROR(IF(VLOOKUP($A51,#REF!,11,0)="","",VLOOKUP($A51,#REF!,11,0)),"")</f>
        <v/>
      </c>
      <c r="L51" s="67" t="str">
        <f>IFERROR(IF(VLOOKUP($A51,#REF!,12,0)="","",VLOOKUP($A51,#REF!,12,0)),"")</f>
        <v/>
      </c>
      <c r="M51" s="67" t="str">
        <f>IFERROR(IF(VLOOKUP($A51,#REF!,13,0)="","",VLOOKUP($A51,#REF!,13,0)),"")</f>
        <v/>
      </c>
      <c r="N51" s="66" t="str">
        <f>IFERROR(IF(VLOOKUP($A51,#REF!,14,0)="","",VLOOKUP($A51,#REF!,14,0)),"")</f>
        <v/>
      </c>
      <c r="O51" s="169" t="str">
        <f>IFERROR(IF(VLOOKUP($A51,#REF!,15,0)="","",VLOOKUP($A51,#REF!,15,0)),"")</f>
        <v/>
      </c>
    </row>
    <row r="52" spans="1:15" x14ac:dyDescent="0.3">
      <c r="A52" s="154" t="s">
        <v>147</v>
      </c>
      <c r="B52" s="236"/>
      <c r="C52" s="237"/>
      <c r="D52" s="168" t="str">
        <f>IFERROR(VLOOKUP($A52,Banco!$A:$D,7,0),"")</f>
        <v/>
      </c>
      <c r="E52" s="66" t="str">
        <f>IFERROR(VLOOKUP($A52,Banco!$A:$G,10,0),"-")</f>
        <v>-</v>
      </c>
      <c r="F52" s="67" t="str">
        <f>IFERROR(RIGHT(VLOOKUP($E52,Banco!$G:$I,3,0),24),"")</f>
        <v/>
      </c>
      <c r="G52" s="67" t="str">
        <f>IFERROR(IF(VLOOKUP($A52,#REF!,7,0)="","",VLOOKUP($A52,#REF!,7,0)),"")</f>
        <v/>
      </c>
      <c r="H52" s="158" t="str">
        <f>IFERROR(IF(VLOOKUP($A52,#REF!,8,0)="","",VLOOKUP($A52,#REF!,8,0)),"")</f>
        <v/>
      </c>
      <c r="I52" s="67" t="str">
        <f>IFERROR(IF(VLOOKUP($A52,#REF!,9,0)="","",VLOOKUP($A52,#REF!,9,0)),"")</f>
        <v/>
      </c>
      <c r="J52" s="67" t="str">
        <f>IFERROR(IF(VLOOKUP($A52,#REF!,10,0)="","",VLOOKUP($A52,#REF!,10,0)),"")</f>
        <v/>
      </c>
      <c r="K52" s="67" t="str">
        <f>IFERROR(IF(VLOOKUP($A52,#REF!,11,0)="","",VLOOKUP($A52,#REF!,11,0)),"")</f>
        <v/>
      </c>
      <c r="L52" s="67" t="str">
        <f>IFERROR(IF(VLOOKUP($A52,#REF!,12,0)="","",VLOOKUP($A52,#REF!,12,0)),"")</f>
        <v/>
      </c>
      <c r="M52" s="67" t="str">
        <f>IFERROR(IF(VLOOKUP($A52,#REF!,13,0)="","",VLOOKUP($A52,#REF!,13,0)),"")</f>
        <v/>
      </c>
      <c r="N52" s="66" t="str">
        <f>IFERROR(IF(VLOOKUP($A52,#REF!,14,0)="","",VLOOKUP($A52,#REF!,14,0)),"")</f>
        <v/>
      </c>
      <c r="O52" s="169" t="str">
        <f>IFERROR(IF(VLOOKUP($A52,#REF!,15,0)="","",VLOOKUP($A52,#REF!,15,0)),"")</f>
        <v/>
      </c>
    </row>
    <row r="53" spans="1:15" x14ac:dyDescent="0.3">
      <c r="A53" s="154" t="s">
        <v>148</v>
      </c>
      <c r="B53" s="233"/>
      <c r="C53" s="238"/>
      <c r="D53" s="168" t="str">
        <f>IFERROR(VLOOKUP($A53,Banco!$A:$D,7,0),"")</f>
        <v/>
      </c>
      <c r="E53" s="66" t="str">
        <f>IFERROR(VLOOKUP($A53,Banco!$A:$G,10,0),"-")</f>
        <v>-</v>
      </c>
      <c r="F53" s="67" t="str">
        <f>IFERROR(RIGHT(VLOOKUP($E53,Banco!$G:$I,3,0),24),"")</f>
        <v/>
      </c>
      <c r="G53" s="67" t="str">
        <f>IFERROR(IF(VLOOKUP($A53,#REF!,7,0)="","",VLOOKUP($A53,#REF!,7,0)),"")</f>
        <v/>
      </c>
      <c r="H53" s="158" t="str">
        <f>IFERROR(IF(VLOOKUP($A53,#REF!,8,0)="","",VLOOKUP($A53,#REF!,8,0)),"")</f>
        <v/>
      </c>
      <c r="I53" s="67" t="str">
        <f>IFERROR(IF(VLOOKUP($A53,#REF!,9,0)="","",VLOOKUP($A53,#REF!,9,0)),"")</f>
        <v/>
      </c>
      <c r="J53" s="67" t="str">
        <f>IFERROR(IF(VLOOKUP($A53,#REF!,10,0)="","",VLOOKUP($A53,#REF!,10,0)),"")</f>
        <v/>
      </c>
      <c r="K53" s="67" t="str">
        <f>IFERROR(IF(VLOOKUP($A53,#REF!,11,0)="","",VLOOKUP($A53,#REF!,11,0)),"")</f>
        <v/>
      </c>
      <c r="L53" s="67" t="str">
        <f>IFERROR(IF(VLOOKUP($A53,#REF!,12,0)="","",VLOOKUP($A53,#REF!,12,0)),"")</f>
        <v/>
      </c>
      <c r="M53" s="67" t="str">
        <f>IFERROR(IF(VLOOKUP($A53,#REF!,13,0)="","",VLOOKUP($A53,#REF!,13,0)),"")</f>
        <v/>
      </c>
      <c r="N53" s="66" t="str">
        <f>IFERROR(IF(VLOOKUP($A53,#REF!,14,0)="","",VLOOKUP($A53,#REF!,14,0)),"")</f>
        <v/>
      </c>
      <c r="O53" s="169" t="str">
        <f>IFERROR(IF(VLOOKUP($A53,#REF!,15,0)="","",VLOOKUP($A53,#REF!,15,0)),"")</f>
        <v/>
      </c>
    </row>
    <row r="54" spans="1:15" x14ac:dyDescent="0.3">
      <c r="A54" s="154" t="s">
        <v>149</v>
      </c>
      <c r="B54" s="70" t="s">
        <v>12</v>
      </c>
      <c r="C54" s="69">
        <f>'PLJ30'!J18</f>
        <v>3</v>
      </c>
      <c r="D54" s="168" t="str">
        <f>IFERROR(VLOOKUP($A54,Banco!$A:$D,7,0),"")</f>
        <v/>
      </c>
      <c r="E54" s="66" t="str">
        <f>IFERROR(VLOOKUP($A54,Banco!$A:$G,10,0),"-")</f>
        <v>-</v>
      </c>
      <c r="F54" s="67" t="str">
        <f>IFERROR(RIGHT(VLOOKUP($E54,Banco!$G:$I,3,0),24),"")</f>
        <v/>
      </c>
      <c r="G54" s="67" t="str">
        <f>IFERROR(IF(VLOOKUP($A54,#REF!,7,0)="","",VLOOKUP($A54,#REF!,7,0)),"")</f>
        <v/>
      </c>
      <c r="H54" s="158" t="str">
        <f>IFERROR(IF(VLOOKUP($A54,#REF!,8,0)="","",VLOOKUP($A54,#REF!,8,0)),"")</f>
        <v/>
      </c>
      <c r="I54" s="67" t="str">
        <f>IFERROR(IF(VLOOKUP($A54,#REF!,9,0)="","",VLOOKUP($A54,#REF!,9,0)),"")</f>
        <v/>
      </c>
      <c r="J54" s="67" t="str">
        <f>IFERROR(IF(VLOOKUP($A54,#REF!,10,0)="","",VLOOKUP($A54,#REF!,10,0)),"")</f>
        <v/>
      </c>
      <c r="K54" s="67" t="str">
        <f>IFERROR(IF(VLOOKUP($A54,#REF!,11,0)="","",VLOOKUP($A54,#REF!,11,0)),"")</f>
        <v/>
      </c>
      <c r="L54" s="67" t="str">
        <f>IFERROR(IF(VLOOKUP($A54,#REF!,12,0)="","",VLOOKUP($A54,#REF!,12,0)),"")</f>
        <v/>
      </c>
      <c r="M54" s="67" t="str">
        <f>IFERROR(IF(VLOOKUP($A54,#REF!,13,0)="","",VLOOKUP($A54,#REF!,13,0)),"")</f>
        <v/>
      </c>
      <c r="N54" s="66" t="str">
        <f>IFERROR(IF(VLOOKUP($A54,#REF!,14,0)="","",VLOOKUP($A54,#REF!,14,0)),"")</f>
        <v/>
      </c>
      <c r="O54" s="169" t="str">
        <f>IFERROR(IF(VLOOKUP($A54,#REF!,15,0)="","",VLOOKUP($A54,#REF!,15,0)),"")</f>
        <v/>
      </c>
    </row>
    <row r="55" spans="1:15" ht="15" thickBot="1" x14ac:dyDescent="0.35">
      <c r="A55" s="154"/>
      <c r="B55" s="239" t="s">
        <v>13</v>
      </c>
      <c r="C55" s="240"/>
      <c r="D55" s="241"/>
      <c r="E55" s="160">
        <f>COUNTIFS(E51:E53,"&lt;&gt;-")-COUNTIFS(D51:D53,"Afastamento")-COUNTIFS(D51:D53,"Demitido")</f>
        <v>0</v>
      </c>
      <c r="F55" s="68">
        <f>E55-C53</f>
        <v>0</v>
      </c>
      <c r="G55" s="12" t="str">
        <f>IFERROR(IF(VLOOKUP($A55,#REF!,7,0)="","",VLOOKUP($A55,#REF!,7,0)),"")</f>
        <v/>
      </c>
      <c r="H55" t="str">
        <f>IFERROR(IF(VLOOKUP($A55,#REF!,8,0)="","",VLOOKUP($A55,#REF!,8,0)),"")</f>
        <v/>
      </c>
      <c r="I55" t="str">
        <f>IFERROR(IF(VLOOKUP($A55,#REF!,9,0)="","",VLOOKUP($A55,#REF!,9,0)),"")</f>
        <v/>
      </c>
      <c r="J55" t="str">
        <f>IFERROR(IF(VLOOKUP($A55,#REF!,10,0)="","",VLOOKUP($A55,#REF!,10,0)),"")</f>
        <v/>
      </c>
      <c r="K55" t="str">
        <f>IFERROR(IF(VLOOKUP($A55,#REF!,11,0)="","",VLOOKUP($A55,#REF!,11,0)),"")</f>
        <v/>
      </c>
      <c r="L55" t="str">
        <f>IFERROR(IF(VLOOKUP($A55,#REF!,12,0)="","",VLOOKUP($A55,#REF!,12,0)),"")</f>
        <v/>
      </c>
      <c r="M55" t="str">
        <f>IFERROR(IF(VLOOKUP($A55,#REF!,13,0)="","",VLOOKUP($A55,#REF!,13,0)),"")</f>
        <v/>
      </c>
      <c r="N55" t="str">
        <f>IFERROR(IF(VLOOKUP($A55,#REF!,14,0)="","",VLOOKUP($A55,#REF!,14,0)),"")</f>
        <v/>
      </c>
      <c r="O55" t="str">
        <f>IFERROR(IF(VLOOKUP($A55,#REF!,15,0)="","",VLOOKUP($A55,#REF!,15,0)),"")</f>
        <v/>
      </c>
    </row>
    <row r="56" spans="1:15" x14ac:dyDescent="0.3">
      <c r="A56" s="154"/>
      <c r="B56" s="11"/>
      <c r="C56" s="11"/>
      <c r="D56" s="11"/>
      <c r="E56" s="11"/>
      <c r="F56" s="11"/>
      <c r="G56" s="11" t="str">
        <f>IFERROR(IF(VLOOKUP($A56,#REF!,7,0)="","",VLOOKUP($A56,#REF!,7,0)),"")</f>
        <v/>
      </c>
      <c r="H56" t="str">
        <f>IFERROR(IF(VLOOKUP($A56,#REF!,8,0)="","",VLOOKUP($A56,#REF!,8,0)),"")</f>
        <v/>
      </c>
      <c r="I56" t="str">
        <f>IFERROR(IF(VLOOKUP($A56,#REF!,9,0)="","",VLOOKUP($A56,#REF!,9,0)),"")</f>
        <v/>
      </c>
      <c r="J56" t="str">
        <f>IFERROR(IF(VLOOKUP($A56,#REF!,10,0)="","",VLOOKUP($A56,#REF!,10,0)),"")</f>
        <v/>
      </c>
      <c r="K56" t="str">
        <f>IFERROR(IF(VLOOKUP($A56,#REF!,11,0)="","",VLOOKUP($A56,#REF!,11,0)),"")</f>
        <v/>
      </c>
      <c r="L56" t="str">
        <f>IFERROR(IF(VLOOKUP($A56,#REF!,12,0)="","",VLOOKUP($A56,#REF!,12,0)),"")</f>
        <v/>
      </c>
      <c r="M56" t="str">
        <f>IFERROR(IF(VLOOKUP($A56,#REF!,13,0)="","",VLOOKUP($A56,#REF!,13,0)),"")</f>
        <v/>
      </c>
      <c r="N56" t="str">
        <f>IFERROR(IF(VLOOKUP($A56,#REF!,14,0)="","",VLOOKUP($A56,#REF!,14,0)),"")</f>
        <v/>
      </c>
      <c r="O56" t="str">
        <f>IFERROR(IF(VLOOKUP($A56,#REF!,15,0)="","",VLOOKUP($A56,#REF!,15,0)),"")</f>
        <v/>
      </c>
    </row>
    <row r="57" spans="1:15" s="11" customFormat="1" ht="12" customHeight="1" x14ac:dyDescent="0.3">
      <c r="A57" s="156" t="s">
        <v>7</v>
      </c>
      <c r="B57" s="231" t="s">
        <v>150</v>
      </c>
      <c r="C57" s="235"/>
      <c r="D57" s="161" t="s">
        <v>9</v>
      </c>
      <c r="E57" s="162" t="s">
        <v>10</v>
      </c>
      <c r="F57" s="162" t="s">
        <v>11</v>
      </c>
      <c r="G57" s="183" t="str">
        <f>IFERROR(IF(VLOOKUP($A57,#REF!,7,0)="","",VLOOKUP($A57,#REF!,7,0)),"")</f>
        <v/>
      </c>
      <c r="H57" s="163" t="str">
        <f>IFERROR(IF(VLOOKUP($A57,#REF!,8,0)="","",VLOOKUP($A57,#REF!,8,0)),"")</f>
        <v/>
      </c>
      <c r="I57" s="164" t="str">
        <f>IFERROR(IF(VLOOKUP($A57,#REF!,9,0)="","",VLOOKUP($A57,#REF!,9,0)),"")</f>
        <v/>
      </c>
      <c r="J57" s="164" t="str">
        <f>IFERROR(IF(VLOOKUP($A57,#REF!,10,0)="","",VLOOKUP($A57,#REF!,10,0)),"")</f>
        <v/>
      </c>
      <c r="K57" s="164" t="str">
        <f>IFERROR(IF(VLOOKUP($A57,#REF!,11,0)="","",VLOOKUP($A57,#REF!,11,0)),"")</f>
        <v/>
      </c>
      <c r="L57" s="164" t="str">
        <f>IFERROR(IF(VLOOKUP($A57,#REF!,12,0)="","",VLOOKUP($A57,#REF!,12,0)),"")</f>
        <v/>
      </c>
      <c r="M57" s="165" t="str">
        <f>IFERROR(IF(VLOOKUP($A57,#REF!,13,0)="","",VLOOKUP($A57,#REF!,13,0)),"")</f>
        <v/>
      </c>
      <c r="N57" s="166" t="str">
        <f>IFERROR(IF(VLOOKUP($A57,#REF!,14,0)="","",VLOOKUP($A57,#REF!,14,0)),"")</f>
        <v/>
      </c>
      <c r="O57" s="167" t="str">
        <f>IFERROR(IF(VLOOKUP($A57,#REF!,15,0)="","",VLOOKUP($A57,#REF!,15,0)),"")</f>
        <v/>
      </c>
    </row>
    <row r="58" spans="1:15" s="11" customFormat="1" ht="12" customHeight="1" x14ac:dyDescent="0.3">
      <c r="A58" s="154" t="s">
        <v>151</v>
      </c>
      <c r="B58" s="236"/>
      <c r="C58" s="237"/>
      <c r="D58" s="170" t="str">
        <f>IFERROR(VLOOKUP($A58,Banco!$A:$D,7,0),"")</f>
        <v/>
      </c>
      <c r="E58" s="66" t="str">
        <f>IFERROR(VLOOKUP($A58,Banco!$A:$G,10,0),"-")</f>
        <v>-</v>
      </c>
      <c r="F58" s="66" t="str">
        <f>IFERROR(RIGHT(VLOOKUP($E58,Banco!$G:$I,3,0),24),"")</f>
        <v/>
      </c>
      <c r="G58" s="67" t="str">
        <f>IFERROR(IF(VLOOKUP($A58,#REF!,7,0)="","",VLOOKUP($A58,#REF!,7,0)),"")</f>
        <v/>
      </c>
      <c r="H58" s="158" t="str">
        <f>IFERROR(IF(VLOOKUP($A58,#REF!,8,0)="","",VLOOKUP($A58,#REF!,8,0)),"")</f>
        <v/>
      </c>
      <c r="I58" s="67" t="str">
        <f>IFERROR(IF(VLOOKUP($A58,#REF!,9,0)="","",VLOOKUP($A58,#REF!,9,0)),"")</f>
        <v/>
      </c>
      <c r="J58" s="67" t="str">
        <f>IFERROR(IF(VLOOKUP($A58,#REF!,10,0)="","",VLOOKUP($A58,#REF!,10,0)),"")</f>
        <v/>
      </c>
      <c r="K58" s="67" t="str">
        <f>IFERROR(IF(VLOOKUP($A58,#REF!,11,0)="","",VLOOKUP($A58,#REF!,11,0)),"")</f>
        <v/>
      </c>
      <c r="L58" s="67" t="str">
        <f>IFERROR(IF(VLOOKUP($A58,#REF!,12,0)="","",VLOOKUP($A58,#REF!,12,0)),"")</f>
        <v/>
      </c>
      <c r="M58" s="67" t="str">
        <f>IFERROR(IF(VLOOKUP($A58,#REF!,13,0)="","",VLOOKUP($A58,#REF!,13,0)),"")</f>
        <v/>
      </c>
      <c r="N58" s="66" t="str">
        <f>IFERROR(IF(VLOOKUP($A58,#REF!,14,0)="","",VLOOKUP($A58,#REF!,14,0)),"")</f>
        <v/>
      </c>
      <c r="O58" s="169" t="str">
        <f>IFERROR(IF(VLOOKUP($A58,#REF!,15,0)="","",VLOOKUP($A58,#REF!,15,0)),"")</f>
        <v/>
      </c>
    </row>
    <row r="59" spans="1:15" s="11" customFormat="1" ht="12" customHeight="1" x14ac:dyDescent="0.3">
      <c r="A59" s="154" t="s">
        <v>152</v>
      </c>
      <c r="B59" s="236"/>
      <c r="C59" s="237"/>
      <c r="D59" s="168" t="str">
        <f>IFERROR(VLOOKUP($A59,Banco!$A:$D,7,0),"")</f>
        <v/>
      </c>
      <c r="E59" s="66" t="str">
        <f>IFERROR(VLOOKUP($A59,Banco!$A:$G,10,0),"-")</f>
        <v>-</v>
      </c>
      <c r="F59" s="66" t="str">
        <f>IFERROR(RIGHT(VLOOKUP($E59,Banco!$G:$I,3,0),24),"")</f>
        <v/>
      </c>
      <c r="G59" s="67" t="str">
        <f>IFERROR(IF(VLOOKUP($A59,#REF!,7,0)="","",VLOOKUP($A59,#REF!,7,0)),"")</f>
        <v/>
      </c>
      <c r="H59" s="158" t="str">
        <f>IFERROR(IF(VLOOKUP($A59,#REF!,8,0)="","",VLOOKUP($A59,#REF!,8,0)),"")</f>
        <v/>
      </c>
      <c r="I59" s="67" t="str">
        <f>IFERROR(IF(VLOOKUP($A59,#REF!,9,0)="","",VLOOKUP($A59,#REF!,9,0)),"")</f>
        <v/>
      </c>
      <c r="J59" s="67" t="str">
        <f>IFERROR(IF(VLOOKUP($A59,#REF!,10,0)="","",VLOOKUP($A59,#REF!,10,0)),"")</f>
        <v/>
      </c>
      <c r="K59" s="67" t="str">
        <f>IFERROR(IF(VLOOKUP($A59,#REF!,11,0)="","",VLOOKUP($A59,#REF!,11,0)),"")</f>
        <v/>
      </c>
      <c r="L59" s="67" t="str">
        <f>IFERROR(IF(VLOOKUP($A59,#REF!,12,0)="","",VLOOKUP($A59,#REF!,12,0)),"")</f>
        <v/>
      </c>
      <c r="M59" s="67" t="str">
        <f>IFERROR(IF(VLOOKUP($A59,#REF!,13,0)="","",VLOOKUP($A59,#REF!,13,0)),"")</f>
        <v/>
      </c>
      <c r="N59" s="66" t="str">
        <f>IFERROR(IF(VLOOKUP($A59,#REF!,14,0)="","",VLOOKUP($A59,#REF!,14,0)),"")</f>
        <v/>
      </c>
      <c r="O59" s="169" t="str">
        <f>IFERROR(IF(VLOOKUP($A59,#REF!,15,0)="","",VLOOKUP($A59,#REF!,15,0)),"")</f>
        <v/>
      </c>
    </row>
    <row r="60" spans="1:15" s="11" customFormat="1" ht="12" customHeight="1" x14ac:dyDescent="0.3">
      <c r="A60" s="154" t="s">
        <v>153</v>
      </c>
      <c r="B60" s="236"/>
      <c r="C60" s="237"/>
      <c r="D60" s="168" t="str">
        <f>IFERROR(VLOOKUP($A60,Banco!$A:$D,7,0),"")</f>
        <v/>
      </c>
      <c r="E60" s="66" t="str">
        <f>IFERROR(VLOOKUP($A60,Banco!$A:$G,10,0),"-")</f>
        <v>-</v>
      </c>
      <c r="F60" s="66" t="str">
        <f>IFERROR(RIGHT(VLOOKUP($E60,Banco!$G:$I,3,0),24),"")</f>
        <v/>
      </c>
      <c r="G60" s="67" t="str">
        <f>IFERROR(IF(VLOOKUP($A60,#REF!,7,0)="","",VLOOKUP($A60,#REF!,7,0)),"")</f>
        <v/>
      </c>
      <c r="H60" s="158" t="str">
        <f>IFERROR(IF(VLOOKUP($A60,#REF!,8,0)="","",VLOOKUP($A60,#REF!,8,0)),"")</f>
        <v/>
      </c>
      <c r="I60" s="67" t="str">
        <f>IFERROR(IF(VLOOKUP($A60,#REF!,9,0)="","",VLOOKUP($A60,#REF!,9,0)),"")</f>
        <v/>
      </c>
      <c r="J60" s="67" t="str">
        <f>IFERROR(IF(VLOOKUP($A60,#REF!,10,0)="","",VLOOKUP($A60,#REF!,10,0)),"")</f>
        <v/>
      </c>
      <c r="K60" s="67" t="str">
        <f>IFERROR(IF(VLOOKUP($A60,#REF!,11,0)="","",VLOOKUP($A60,#REF!,11,0)),"")</f>
        <v/>
      </c>
      <c r="L60" s="67" t="str">
        <f>IFERROR(IF(VLOOKUP($A60,#REF!,12,0)="","",VLOOKUP($A60,#REF!,12,0)),"")</f>
        <v/>
      </c>
      <c r="M60" s="67" t="str">
        <f>IFERROR(IF(VLOOKUP($A60,#REF!,13,0)="","",VLOOKUP($A60,#REF!,13,0)),"")</f>
        <v/>
      </c>
      <c r="N60" s="66" t="str">
        <f>IFERROR(IF(VLOOKUP($A60,#REF!,14,0)="","",VLOOKUP($A60,#REF!,14,0)),"")</f>
        <v/>
      </c>
      <c r="O60" s="169" t="str">
        <f>IFERROR(IF(VLOOKUP($A60,#REF!,15,0)="","",VLOOKUP($A60,#REF!,15,0)),"")</f>
        <v/>
      </c>
    </row>
    <row r="61" spans="1:15" s="11" customFormat="1" ht="12" customHeight="1" x14ac:dyDescent="0.3">
      <c r="A61" s="154" t="s">
        <v>154</v>
      </c>
      <c r="B61" s="236"/>
      <c r="C61" s="237"/>
      <c r="D61" s="168" t="str">
        <f>IFERROR(VLOOKUP($A61,Banco!$A:$D,7,0),"")</f>
        <v/>
      </c>
      <c r="E61" s="66" t="str">
        <f>IFERROR(VLOOKUP($A61,Banco!$A:$G,10,0),"-")</f>
        <v>-</v>
      </c>
      <c r="F61" s="66" t="str">
        <f>IFERROR(RIGHT(VLOOKUP($E61,Banco!$G:$I,3,0),24),"")</f>
        <v/>
      </c>
      <c r="G61" s="67" t="str">
        <f>IFERROR(IF(VLOOKUP($A61,#REF!,7,0)="","",VLOOKUP($A61,#REF!,7,0)),"")</f>
        <v/>
      </c>
      <c r="H61" s="158" t="str">
        <f>IFERROR(IF(VLOOKUP($A61,#REF!,8,0)="","",VLOOKUP($A61,#REF!,8,0)),"")</f>
        <v/>
      </c>
      <c r="I61" s="67" t="str">
        <f>IFERROR(IF(VLOOKUP($A61,#REF!,9,0)="","",VLOOKUP($A61,#REF!,9,0)),"")</f>
        <v/>
      </c>
      <c r="J61" s="67" t="str">
        <f>IFERROR(IF(VLOOKUP($A61,#REF!,10,0)="","",VLOOKUP($A61,#REF!,10,0)),"")</f>
        <v/>
      </c>
      <c r="K61" s="67" t="str">
        <f>IFERROR(IF(VLOOKUP($A61,#REF!,11,0)="","",VLOOKUP($A61,#REF!,11,0)),"")</f>
        <v/>
      </c>
      <c r="L61" s="67" t="str">
        <f>IFERROR(IF(VLOOKUP($A61,#REF!,12,0)="","",VLOOKUP($A61,#REF!,12,0)),"")</f>
        <v/>
      </c>
      <c r="M61" s="67" t="str">
        <f>IFERROR(IF(VLOOKUP($A61,#REF!,13,0)="","",VLOOKUP($A61,#REF!,13,0)),"")</f>
        <v/>
      </c>
      <c r="N61" s="66" t="str">
        <f>IFERROR(IF(VLOOKUP($A61,#REF!,14,0)="","",VLOOKUP($A61,#REF!,14,0)),"")</f>
        <v/>
      </c>
      <c r="O61" s="169" t="str">
        <f>IFERROR(IF(VLOOKUP($A61,#REF!,15,0)="","",VLOOKUP($A61,#REF!,15,0)),"")</f>
        <v/>
      </c>
    </row>
    <row r="62" spans="1:15" s="11" customFormat="1" ht="12" customHeight="1" x14ac:dyDescent="0.3">
      <c r="A62" s="154" t="s">
        <v>155</v>
      </c>
      <c r="B62" s="236"/>
      <c r="C62" s="237"/>
      <c r="D62" s="168" t="str">
        <f>IFERROR(VLOOKUP($A62,Banco!$A:$D,7,0),"")</f>
        <v/>
      </c>
      <c r="E62" s="66" t="str">
        <f>IFERROR(VLOOKUP($A62,Banco!$A:$G,10,0),"-")</f>
        <v>-</v>
      </c>
      <c r="F62" s="66" t="str">
        <f>IFERROR(RIGHT(VLOOKUP($E62,Banco!$G:$I,3,0),24),"")</f>
        <v/>
      </c>
      <c r="G62" s="67" t="str">
        <f>IFERROR(IF(VLOOKUP($A62,#REF!,7,0)="","",VLOOKUP($A62,#REF!,7,0)),"")</f>
        <v/>
      </c>
      <c r="H62" s="158" t="str">
        <f>IFERROR(IF(VLOOKUP($A62,#REF!,8,0)="","",VLOOKUP($A62,#REF!,8,0)),"")</f>
        <v/>
      </c>
      <c r="I62" s="67" t="str">
        <f>IFERROR(IF(VLOOKUP($A62,#REF!,9,0)="","",VLOOKUP($A62,#REF!,9,0)),"")</f>
        <v/>
      </c>
      <c r="J62" s="67" t="str">
        <f>IFERROR(IF(VLOOKUP($A62,#REF!,10,0)="","",VLOOKUP($A62,#REF!,10,0)),"")</f>
        <v/>
      </c>
      <c r="K62" s="67" t="str">
        <f>IFERROR(IF(VLOOKUP($A62,#REF!,11,0)="","",VLOOKUP($A62,#REF!,11,0)),"")</f>
        <v/>
      </c>
      <c r="L62" s="67" t="str">
        <f>IFERROR(IF(VLOOKUP($A62,#REF!,12,0)="","",VLOOKUP($A62,#REF!,12,0)),"")</f>
        <v/>
      </c>
      <c r="M62" s="67" t="str">
        <f>IFERROR(IF(VLOOKUP($A62,#REF!,13,0)="","",VLOOKUP($A62,#REF!,13,0)),"")</f>
        <v/>
      </c>
      <c r="N62" s="66" t="str">
        <f>IFERROR(IF(VLOOKUP($A62,#REF!,14,0)="","",VLOOKUP($A62,#REF!,14,0)),"")</f>
        <v/>
      </c>
      <c r="O62" s="169" t="str">
        <f>IFERROR(IF(VLOOKUP($A62,#REF!,15,0)="","",VLOOKUP($A62,#REF!,15,0)),"")</f>
        <v/>
      </c>
    </row>
    <row r="63" spans="1:15" s="11" customFormat="1" ht="12" customHeight="1" x14ac:dyDescent="0.3">
      <c r="A63" s="154" t="s">
        <v>156</v>
      </c>
      <c r="B63" s="236"/>
      <c r="C63" s="237"/>
      <c r="D63" s="168" t="str">
        <f>IFERROR(VLOOKUP($A63,Banco!$A:$D,7,0),"")</f>
        <v/>
      </c>
      <c r="E63" s="66" t="str">
        <f>IFERROR(VLOOKUP($A63,Banco!$A:$G,10,0),"-")</f>
        <v>-</v>
      </c>
      <c r="F63" s="66" t="str">
        <f>IFERROR(RIGHT(VLOOKUP($E63,Banco!$G:$I,3,0),24),"")</f>
        <v/>
      </c>
      <c r="G63" s="67" t="str">
        <f>IFERROR(IF(VLOOKUP($A63,#REF!,7,0)="","",VLOOKUP($A63,#REF!,7,0)),"")</f>
        <v/>
      </c>
      <c r="H63" s="158" t="str">
        <f>IFERROR(IF(VLOOKUP($A63,#REF!,8,0)="","",VLOOKUP($A63,#REF!,8,0)),"")</f>
        <v/>
      </c>
      <c r="I63" s="67" t="str">
        <f>IFERROR(IF(VLOOKUP($A63,#REF!,9,0)="","",VLOOKUP($A63,#REF!,9,0)),"")</f>
        <v/>
      </c>
      <c r="J63" s="67" t="str">
        <f>IFERROR(IF(VLOOKUP($A63,#REF!,10,0)="","",VLOOKUP($A63,#REF!,10,0)),"")</f>
        <v/>
      </c>
      <c r="K63" s="67" t="str">
        <f>IFERROR(IF(VLOOKUP($A63,#REF!,11,0)="","",VLOOKUP($A63,#REF!,11,0)),"")</f>
        <v/>
      </c>
      <c r="L63" s="67" t="str">
        <f>IFERROR(IF(VLOOKUP($A63,#REF!,12,0)="","",VLOOKUP($A63,#REF!,12,0)),"")</f>
        <v/>
      </c>
      <c r="M63" s="67" t="str">
        <f>IFERROR(IF(VLOOKUP($A63,#REF!,13,0)="","",VLOOKUP($A63,#REF!,13,0)),"")</f>
        <v/>
      </c>
      <c r="N63" s="66" t="str">
        <f>IFERROR(IF(VLOOKUP($A63,#REF!,14,0)="","",VLOOKUP($A63,#REF!,14,0)),"")</f>
        <v/>
      </c>
      <c r="O63" s="169" t="str">
        <f>IFERROR(IF(VLOOKUP($A63,#REF!,15,0)="","",VLOOKUP($A63,#REF!,15,0)),"")</f>
        <v/>
      </c>
    </row>
    <row r="64" spans="1:15" s="11" customFormat="1" ht="12" customHeight="1" x14ac:dyDescent="0.3">
      <c r="A64" s="154" t="s">
        <v>157</v>
      </c>
      <c r="B64" s="236"/>
      <c r="C64" s="237"/>
      <c r="D64" s="168" t="str">
        <f>IFERROR(VLOOKUP($A64,Banco!$A:$D,7,0),"")</f>
        <v/>
      </c>
      <c r="E64" s="66" t="str">
        <f>IFERROR(VLOOKUP($A64,Banco!$A:$G,10,0),"-")</f>
        <v>-</v>
      </c>
      <c r="F64" s="66" t="str">
        <f>IFERROR(RIGHT(VLOOKUP($E64,Banco!$G:$I,3,0),24),"")</f>
        <v/>
      </c>
      <c r="G64" s="67" t="str">
        <f>IFERROR(IF(VLOOKUP($A64,#REF!,7,0)="","",VLOOKUP($A64,#REF!,7,0)),"")</f>
        <v/>
      </c>
      <c r="H64" s="158" t="str">
        <f>IFERROR(IF(VLOOKUP($A64,#REF!,8,0)="","",VLOOKUP($A64,#REF!,8,0)),"")</f>
        <v/>
      </c>
      <c r="I64" s="67" t="str">
        <f>IFERROR(IF(VLOOKUP($A64,#REF!,9,0)="","",VLOOKUP($A64,#REF!,9,0)),"")</f>
        <v/>
      </c>
      <c r="J64" s="67" t="str">
        <f>IFERROR(IF(VLOOKUP($A64,#REF!,10,0)="","",VLOOKUP($A64,#REF!,10,0)),"")</f>
        <v/>
      </c>
      <c r="K64" s="67" t="str">
        <f>IFERROR(IF(VLOOKUP($A64,#REF!,11,0)="","",VLOOKUP($A64,#REF!,11,0)),"")</f>
        <v/>
      </c>
      <c r="L64" s="67" t="str">
        <f>IFERROR(IF(VLOOKUP($A64,#REF!,12,0)="","",VLOOKUP($A64,#REF!,12,0)),"")</f>
        <v/>
      </c>
      <c r="M64" s="67" t="str">
        <f>IFERROR(IF(VLOOKUP($A64,#REF!,13,0)="","",VLOOKUP($A64,#REF!,13,0)),"")</f>
        <v/>
      </c>
      <c r="N64" s="66" t="str">
        <f>IFERROR(IF(VLOOKUP($A64,#REF!,14,0)="","",VLOOKUP($A64,#REF!,14,0)),"")</f>
        <v/>
      </c>
      <c r="O64" s="169" t="str">
        <f>IFERROR(IF(VLOOKUP($A64,#REF!,15,0)="","",VLOOKUP($A64,#REF!,15,0)),"")</f>
        <v/>
      </c>
    </row>
    <row r="65" spans="1:15" s="11" customFormat="1" ht="12" customHeight="1" x14ac:dyDescent="0.3">
      <c r="A65" s="154" t="s">
        <v>158</v>
      </c>
      <c r="B65" s="236"/>
      <c r="C65" s="237"/>
      <c r="D65" s="168" t="str">
        <f>IFERROR(VLOOKUP($A65,Banco!$A:$D,7,0),"")</f>
        <v/>
      </c>
      <c r="E65" s="66" t="str">
        <f>IFERROR(VLOOKUP($A65,Banco!$A:$G,10,0),"-")</f>
        <v>-</v>
      </c>
      <c r="F65" s="66" t="str">
        <f>IFERROR(RIGHT(VLOOKUP($E65,Banco!$G:$I,3,0),24),"")</f>
        <v/>
      </c>
      <c r="G65" s="67" t="str">
        <f>IFERROR(IF(VLOOKUP($A65,#REF!,7,0)="","",VLOOKUP($A65,#REF!,7,0)),"")</f>
        <v/>
      </c>
      <c r="H65" s="158" t="str">
        <f>IFERROR(IF(VLOOKUP($A65,#REF!,8,0)="","",VLOOKUP($A65,#REF!,8,0)),"")</f>
        <v/>
      </c>
      <c r="I65" s="67" t="str">
        <f>IFERROR(IF(VLOOKUP($A65,#REF!,9,0)="","",VLOOKUP($A65,#REF!,9,0)),"")</f>
        <v/>
      </c>
      <c r="J65" s="67" t="str">
        <f>IFERROR(IF(VLOOKUP($A65,#REF!,10,0)="","",VLOOKUP($A65,#REF!,10,0)),"")</f>
        <v/>
      </c>
      <c r="K65" s="67" t="str">
        <f>IFERROR(IF(VLOOKUP($A65,#REF!,11,0)="","",VLOOKUP($A65,#REF!,11,0)),"")</f>
        <v/>
      </c>
      <c r="L65" s="67" t="str">
        <f>IFERROR(IF(VLOOKUP($A65,#REF!,12,0)="","",VLOOKUP($A65,#REF!,12,0)),"")</f>
        <v/>
      </c>
      <c r="M65" s="67" t="str">
        <f>IFERROR(IF(VLOOKUP($A65,#REF!,13,0)="","",VLOOKUP($A65,#REF!,13,0)),"")</f>
        <v/>
      </c>
      <c r="N65" s="66" t="str">
        <f>IFERROR(IF(VLOOKUP($A65,#REF!,14,0)="","",VLOOKUP($A65,#REF!,14,0)),"")</f>
        <v/>
      </c>
      <c r="O65" s="169" t="str">
        <f>IFERROR(IF(VLOOKUP($A65,#REF!,15,0)="","",VLOOKUP($A65,#REF!,15,0)),"")</f>
        <v/>
      </c>
    </row>
    <row r="66" spans="1:15" s="11" customFormat="1" ht="12" customHeight="1" x14ac:dyDescent="0.3">
      <c r="A66" s="154" t="s">
        <v>159</v>
      </c>
      <c r="B66" s="236"/>
      <c r="C66" s="237"/>
      <c r="D66" s="168" t="str">
        <f>IFERROR(VLOOKUP($A66,Banco!$A:$D,7,0),"")</f>
        <v/>
      </c>
      <c r="E66" s="66" t="str">
        <f>IFERROR(VLOOKUP($A66,Banco!$A:$G,10,0),"-")</f>
        <v>-</v>
      </c>
      <c r="F66" s="66" t="str">
        <f>IFERROR(RIGHT(VLOOKUP($E66,Banco!$G:$I,3,0),24),"")</f>
        <v/>
      </c>
      <c r="G66" s="67" t="str">
        <f>IFERROR(IF(VLOOKUP($A66,#REF!,7,0)="","",VLOOKUP($A66,#REF!,7,0)),"")</f>
        <v/>
      </c>
      <c r="H66" s="158" t="str">
        <f>IFERROR(IF(VLOOKUP($A66,#REF!,8,0)="","",VLOOKUP($A66,#REF!,8,0)),"")</f>
        <v/>
      </c>
      <c r="I66" s="67" t="str">
        <f>IFERROR(IF(VLOOKUP($A66,#REF!,9,0)="","",VLOOKUP($A66,#REF!,9,0)),"")</f>
        <v/>
      </c>
      <c r="J66" s="67" t="str">
        <f>IFERROR(IF(VLOOKUP($A66,#REF!,10,0)="","",VLOOKUP($A66,#REF!,10,0)),"")</f>
        <v/>
      </c>
      <c r="K66" s="67" t="str">
        <f>IFERROR(IF(VLOOKUP($A66,#REF!,11,0)="","",VLOOKUP($A66,#REF!,11,0)),"")</f>
        <v/>
      </c>
      <c r="L66" s="67" t="str">
        <f>IFERROR(IF(VLOOKUP($A66,#REF!,12,0)="","",VLOOKUP($A66,#REF!,12,0)),"")</f>
        <v/>
      </c>
      <c r="M66" s="67" t="str">
        <f>IFERROR(IF(VLOOKUP($A66,#REF!,13,0)="","",VLOOKUP($A66,#REF!,13,0)),"")</f>
        <v/>
      </c>
      <c r="N66" s="66" t="str">
        <f>IFERROR(IF(VLOOKUP($A66,#REF!,14,0)="","",VLOOKUP($A66,#REF!,14,0)),"")</f>
        <v/>
      </c>
      <c r="O66" s="169" t="str">
        <f>IFERROR(IF(VLOOKUP($A66,#REF!,15,0)="","",VLOOKUP($A66,#REF!,15,0)),"")</f>
        <v/>
      </c>
    </row>
    <row r="67" spans="1:15" s="11" customFormat="1" ht="12" customHeight="1" x14ac:dyDescent="0.3">
      <c r="A67" s="154" t="s">
        <v>160</v>
      </c>
      <c r="B67" s="236"/>
      <c r="C67" s="237"/>
      <c r="D67" s="168" t="str">
        <f>IFERROR(VLOOKUP($A67,Banco!$A:$D,7,0),"")</f>
        <v/>
      </c>
      <c r="E67" s="66" t="str">
        <f>IFERROR(VLOOKUP($A67,Banco!$A:$G,10,0),"-")</f>
        <v>-</v>
      </c>
      <c r="F67" s="66" t="str">
        <f>IFERROR(RIGHT(VLOOKUP($E67,Banco!$G:$I,3,0),24),"")</f>
        <v/>
      </c>
      <c r="G67" s="67" t="str">
        <f>IFERROR(IF(VLOOKUP($A67,#REF!,7,0)="","",VLOOKUP($A67,#REF!,7,0)),"")</f>
        <v/>
      </c>
      <c r="H67" s="158" t="str">
        <f>IFERROR(IF(VLOOKUP($A67,#REF!,8,0)="","",VLOOKUP($A67,#REF!,8,0)),"")</f>
        <v/>
      </c>
      <c r="I67" s="67" t="str">
        <f>IFERROR(IF(VLOOKUP($A67,#REF!,9,0)="","",VLOOKUP($A67,#REF!,9,0)),"")</f>
        <v/>
      </c>
      <c r="J67" s="67" t="str">
        <f>IFERROR(IF(VLOOKUP($A67,#REF!,10,0)="","",VLOOKUP($A67,#REF!,10,0)),"")</f>
        <v/>
      </c>
      <c r="K67" s="67" t="str">
        <f>IFERROR(IF(VLOOKUP($A67,#REF!,11,0)="","",VLOOKUP($A67,#REF!,11,0)),"")</f>
        <v/>
      </c>
      <c r="L67" s="67" t="str">
        <f>IFERROR(IF(VLOOKUP($A67,#REF!,12,0)="","",VLOOKUP($A67,#REF!,12,0)),"")</f>
        <v/>
      </c>
      <c r="M67" s="67" t="str">
        <f>IFERROR(IF(VLOOKUP($A67,#REF!,13,0)="","",VLOOKUP($A67,#REF!,13,0)),"")</f>
        <v/>
      </c>
      <c r="N67" s="66" t="str">
        <f>IFERROR(IF(VLOOKUP($A67,#REF!,14,0)="","",VLOOKUP($A67,#REF!,14,0)),"")</f>
        <v/>
      </c>
      <c r="O67" s="169" t="str">
        <f>IFERROR(IF(VLOOKUP($A67,#REF!,15,0)="","",VLOOKUP($A67,#REF!,15,0)),"")</f>
        <v/>
      </c>
    </row>
    <row r="68" spans="1:15" s="11" customFormat="1" ht="12" customHeight="1" x14ac:dyDescent="0.3">
      <c r="A68" s="154" t="s">
        <v>161</v>
      </c>
      <c r="B68" s="236"/>
      <c r="C68" s="237"/>
      <c r="D68" s="168" t="str">
        <f>IFERROR(VLOOKUP($A68,Banco!$A:$D,7,0),"")</f>
        <v/>
      </c>
      <c r="E68" s="66" t="str">
        <f>IFERROR(VLOOKUP($A68,Banco!$A:$G,10,0),"-")</f>
        <v>-</v>
      </c>
      <c r="F68" s="66" t="str">
        <f>IFERROR(RIGHT(VLOOKUP($E68,Banco!$G:$I,3,0),24),"")</f>
        <v/>
      </c>
      <c r="G68" s="67" t="str">
        <f>IFERROR(IF(VLOOKUP($A68,#REF!,7,0)="","",VLOOKUP($A68,#REF!,7,0)),"")</f>
        <v/>
      </c>
      <c r="H68" s="158" t="str">
        <f>IFERROR(IF(VLOOKUP($A68,#REF!,8,0)="","",VLOOKUP($A68,#REF!,8,0)),"")</f>
        <v/>
      </c>
      <c r="I68" s="67" t="str">
        <f>IFERROR(IF(VLOOKUP($A68,#REF!,9,0)="","",VLOOKUP($A68,#REF!,9,0)),"")</f>
        <v/>
      </c>
      <c r="J68" s="67" t="str">
        <f>IFERROR(IF(VLOOKUP($A68,#REF!,10,0)="","",VLOOKUP($A68,#REF!,10,0)),"")</f>
        <v/>
      </c>
      <c r="K68" s="67" t="str">
        <f>IFERROR(IF(VLOOKUP($A68,#REF!,11,0)="","",VLOOKUP($A68,#REF!,11,0)),"")</f>
        <v/>
      </c>
      <c r="L68" s="67" t="str">
        <f>IFERROR(IF(VLOOKUP($A68,#REF!,12,0)="","",VLOOKUP($A68,#REF!,12,0)),"")</f>
        <v/>
      </c>
      <c r="M68" s="67" t="str">
        <f>IFERROR(IF(VLOOKUP($A68,#REF!,13,0)="","",VLOOKUP($A68,#REF!,13,0)),"")</f>
        <v/>
      </c>
      <c r="N68" s="66" t="str">
        <f>IFERROR(IF(VLOOKUP($A68,#REF!,14,0)="","",VLOOKUP($A68,#REF!,14,0)),"")</f>
        <v/>
      </c>
      <c r="O68" s="169" t="str">
        <f>IFERROR(IF(VLOOKUP($A68,#REF!,15,0)="","",VLOOKUP($A68,#REF!,15,0)),"")</f>
        <v/>
      </c>
    </row>
    <row r="69" spans="1:15" s="11" customFormat="1" ht="12" customHeight="1" x14ac:dyDescent="0.3">
      <c r="A69" s="154" t="s">
        <v>162</v>
      </c>
      <c r="B69" s="236"/>
      <c r="C69" s="237"/>
      <c r="D69" s="168" t="str">
        <f>IFERROR(VLOOKUP($A69,Banco!$A:$D,7,0),"")</f>
        <v/>
      </c>
      <c r="E69" s="66" t="str">
        <f>IFERROR(VLOOKUP($A69,Banco!$A:$G,10,0),"-")</f>
        <v>-</v>
      </c>
      <c r="F69" s="66" t="str">
        <f>IFERROR(RIGHT(VLOOKUP($E69,Banco!$G:$I,3,0),24),"")</f>
        <v/>
      </c>
      <c r="G69" s="67" t="str">
        <f>IFERROR(IF(VLOOKUP($A69,#REF!,7,0)="","",VLOOKUP($A69,#REF!,7,0)),"")</f>
        <v/>
      </c>
      <c r="H69" s="158" t="str">
        <f>IFERROR(IF(VLOOKUP($A69,#REF!,8,0)="","",VLOOKUP($A69,#REF!,8,0)),"")</f>
        <v/>
      </c>
      <c r="I69" s="67" t="str">
        <f>IFERROR(IF(VLOOKUP($A69,#REF!,9,0)="","",VLOOKUP($A69,#REF!,9,0)),"")</f>
        <v/>
      </c>
      <c r="J69" s="67" t="str">
        <f>IFERROR(IF(VLOOKUP($A69,#REF!,10,0)="","",VLOOKUP($A69,#REF!,10,0)),"")</f>
        <v/>
      </c>
      <c r="K69" s="67" t="str">
        <f>IFERROR(IF(VLOOKUP($A69,#REF!,11,0)="","",VLOOKUP($A69,#REF!,11,0)),"")</f>
        <v/>
      </c>
      <c r="L69" s="67" t="str">
        <f>IFERROR(IF(VLOOKUP($A69,#REF!,12,0)="","",VLOOKUP($A69,#REF!,12,0)),"")</f>
        <v/>
      </c>
      <c r="M69" s="67" t="str">
        <f>IFERROR(IF(VLOOKUP($A69,#REF!,13,0)="","",VLOOKUP($A69,#REF!,13,0)),"")</f>
        <v/>
      </c>
      <c r="N69" s="66" t="str">
        <f>IFERROR(IF(VLOOKUP($A69,#REF!,14,0)="","",VLOOKUP($A69,#REF!,14,0)),"")</f>
        <v/>
      </c>
      <c r="O69" s="169" t="str">
        <f>IFERROR(IF(VLOOKUP($A69,#REF!,15,0)="","",VLOOKUP($A69,#REF!,15,0)),"")</f>
        <v/>
      </c>
    </row>
    <row r="70" spans="1:15" s="11" customFormat="1" ht="12" customHeight="1" x14ac:dyDescent="0.3">
      <c r="A70" s="154" t="s">
        <v>163</v>
      </c>
      <c r="B70" s="236"/>
      <c r="C70" s="237"/>
      <c r="D70" s="168" t="str">
        <f>IFERROR(VLOOKUP($A70,Banco!$A:$D,7,0),"")</f>
        <v/>
      </c>
      <c r="E70" s="66" t="str">
        <f>IFERROR(VLOOKUP($A70,Banco!$A:$G,10,0),"-")</f>
        <v>-</v>
      </c>
      <c r="F70" s="66" t="str">
        <f>IFERROR(RIGHT(VLOOKUP($E70,Banco!$G:$I,3,0),24),"")</f>
        <v/>
      </c>
      <c r="G70" s="67" t="str">
        <f>IFERROR(IF(VLOOKUP($A70,#REF!,7,0)="","",VLOOKUP($A70,#REF!,7,0)),"")</f>
        <v/>
      </c>
      <c r="H70" s="158" t="str">
        <f>IFERROR(IF(VLOOKUP($A70,#REF!,8,0)="","",VLOOKUP($A70,#REF!,8,0)),"")</f>
        <v/>
      </c>
      <c r="I70" s="67" t="str">
        <f>IFERROR(IF(VLOOKUP($A70,#REF!,9,0)="","",VLOOKUP($A70,#REF!,9,0)),"")</f>
        <v/>
      </c>
      <c r="J70" s="67" t="str">
        <f>IFERROR(IF(VLOOKUP($A70,#REF!,10,0)="","",VLOOKUP($A70,#REF!,10,0)),"")</f>
        <v/>
      </c>
      <c r="K70" s="67" t="str">
        <f>IFERROR(IF(VLOOKUP($A70,#REF!,11,0)="","",VLOOKUP($A70,#REF!,11,0)),"")</f>
        <v/>
      </c>
      <c r="L70" s="67" t="str">
        <f>IFERROR(IF(VLOOKUP($A70,#REF!,12,0)="","",VLOOKUP($A70,#REF!,12,0)),"")</f>
        <v/>
      </c>
      <c r="M70" s="67" t="str">
        <f>IFERROR(IF(VLOOKUP($A70,#REF!,13,0)="","",VLOOKUP($A70,#REF!,13,0)),"")</f>
        <v/>
      </c>
      <c r="N70" s="66" t="str">
        <f>IFERROR(IF(VLOOKUP($A70,#REF!,14,0)="","",VLOOKUP($A70,#REF!,14,0)),"")</f>
        <v/>
      </c>
      <c r="O70" s="169" t="str">
        <f>IFERROR(IF(VLOOKUP($A70,#REF!,15,0)="","",VLOOKUP($A70,#REF!,15,0)),"")</f>
        <v/>
      </c>
    </row>
    <row r="71" spans="1:15" s="11" customFormat="1" ht="12" customHeight="1" x14ac:dyDescent="0.3">
      <c r="A71" s="154" t="s">
        <v>164</v>
      </c>
      <c r="B71" s="236"/>
      <c r="C71" s="237"/>
      <c r="D71" s="168" t="str">
        <f>IFERROR(VLOOKUP($A71,Banco!$A:$D,7,0),"")</f>
        <v/>
      </c>
      <c r="E71" s="66" t="str">
        <f>IFERROR(VLOOKUP($A71,Banco!$A:$G,10,0),"-")</f>
        <v>-</v>
      </c>
      <c r="F71" s="66" t="str">
        <f>IFERROR(RIGHT(VLOOKUP($E71,Banco!$G:$I,3,0),24),"")</f>
        <v/>
      </c>
      <c r="G71" s="67" t="str">
        <f>IFERROR(IF(VLOOKUP($A71,#REF!,7,0)="","",VLOOKUP($A71,#REF!,7,0)),"")</f>
        <v/>
      </c>
      <c r="H71" s="158" t="str">
        <f>IFERROR(IF(VLOOKUP($A71,#REF!,8,0)="","",VLOOKUP($A71,#REF!,8,0)),"")</f>
        <v/>
      </c>
      <c r="I71" s="67" t="str">
        <f>IFERROR(IF(VLOOKUP($A71,#REF!,9,0)="","",VLOOKUP($A71,#REF!,9,0)),"")</f>
        <v/>
      </c>
      <c r="J71" s="67" t="str">
        <f>IFERROR(IF(VLOOKUP($A71,#REF!,10,0)="","",VLOOKUP($A71,#REF!,10,0)),"")</f>
        <v/>
      </c>
      <c r="K71" s="67" t="str">
        <f>IFERROR(IF(VLOOKUP($A71,#REF!,11,0)="","",VLOOKUP($A71,#REF!,11,0)),"")</f>
        <v/>
      </c>
      <c r="L71" s="67" t="str">
        <f>IFERROR(IF(VLOOKUP($A71,#REF!,12,0)="","",VLOOKUP($A71,#REF!,12,0)),"")</f>
        <v/>
      </c>
      <c r="M71" s="67" t="str">
        <f>IFERROR(IF(VLOOKUP($A71,#REF!,13,0)="","",VLOOKUP($A71,#REF!,13,0)),"")</f>
        <v/>
      </c>
      <c r="N71" s="66" t="str">
        <f>IFERROR(IF(VLOOKUP($A71,#REF!,14,0)="","",VLOOKUP($A71,#REF!,14,0)),"")</f>
        <v/>
      </c>
      <c r="O71" s="169" t="str">
        <f>IFERROR(IF(VLOOKUP($A71,#REF!,15,0)="","",VLOOKUP($A71,#REF!,15,0)),"")</f>
        <v/>
      </c>
    </row>
    <row r="72" spans="1:15" s="11" customFormat="1" ht="12" customHeight="1" x14ac:dyDescent="0.3">
      <c r="A72" s="154" t="s">
        <v>165</v>
      </c>
      <c r="B72" s="236"/>
      <c r="C72" s="237"/>
      <c r="D72" s="168" t="str">
        <f>IFERROR(VLOOKUP($A72,Banco!$A:$D,7,0),"")</f>
        <v/>
      </c>
      <c r="E72" s="66" t="str">
        <f>IFERROR(VLOOKUP($A72,Banco!$A:$G,10,0),"-")</f>
        <v>-</v>
      </c>
      <c r="F72" s="66" t="str">
        <f>IFERROR(RIGHT(VLOOKUP($E72,Banco!$G:$I,3,0),24),"")</f>
        <v/>
      </c>
      <c r="G72" s="67" t="str">
        <f>IFERROR(IF(VLOOKUP($A72,#REF!,7,0)="","",VLOOKUP($A72,#REF!,7,0)),"")</f>
        <v/>
      </c>
      <c r="H72" s="158" t="str">
        <f>IFERROR(IF(VLOOKUP($A72,#REF!,8,0)="","",VLOOKUP($A72,#REF!,8,0)),"")</f>
        <v/>
      </c>
      <c r="I72" s="67" t="str">
        <f>IFERROR(IF(VLOOKUP($A72,#REF!,9,0)="","",VLOOKUP($A72,#REF!,9,0)),"")</f>
        <v/>
      </c>
      <c r="J72" s="67" t="str">
        <f>IFERROR(IF(VLOOKUP($A72,#REF!,10,0)="","",VLOOKUP($A72,#REF!,10,0)),"")</f>
        <v/>
      </c>
      <c r="K72" s="67" t="str">
        <f>IFERROR(IF(VLOOKUP($A72,#REF!,11,0)="","",VLOOKUP($A72,#REF!,11,0)),"")</f>
        <v/>
      </c>
      <c r="L72" s="67" t="str">
        <f>IFERROR(IF(VLOOKUP($A72,#REF!,12,0)="","",VLOOKUP($A72,#REF!,12,0)),"")</f>
        <v/>
      </c>
      <c r="M72" s="67" t="str">
        <f>IFERROR(IF(VLOOKUP($A72,#REF!,13,0)="","",VLOOKUP($A72,#REF!,13,0)),"")</f>
        <v/>
      </c>
      <c r="N72" s="66" t="str">
        <f>IFERROR(IF(VLOOKUP($A72,#REF!,14,0)="","",VLOOKUP($A72,#REF!,14,0)),"")</f>
        <v/>
      </c>
      <c r="O72" s="169" t="str">
        <f>IFERROR(IF(VLOOKUP($A72,#REF!,15,0)="","",VLOOKUP($A72,#REF!,15,0)),"")</f>
        <v/>
      </c>
    </row>
    <row r="73" spans="1:15" s="11" customFormat="1" ht="12" customHeight="1" x14ac:dyDescent="0.3">
      <c r="A73" s="154" t="s">
        <v>166</v>
      </c>
      <c r="B73" s="236"/>
      <c r="C73" s="237"/>
      <c r="D73" s="168" t="str">
        <f>IFERROR(VLOOKUP($A73,Banco!$A:$D,7,0),"")</f>
        <v/>
      </c>
      <c r="E73" s="66" t="str">
        <f>IFERROR(VLOOKUP($A73,Banco!$A:$G,10,0),"-")</f>
        <v>-</v>
      </c>
      <c r="F73" s="66" t="str">
        <f>IFERROR(RIGHT(VLOOKUP($E73,Banco!$G:$I,3,0),24),"")</f>
        <v/>
      </c>
      <c r="G73" s="67" t="str">
        <f>IFERROR(IF(VLOOKUP($A73,#REF!,7,0)="","",VLOOKUP($A73,#REF!,7,0)),"")</f>
        <v/>
      </c>
      <c r="H73" s="158" t="str">
        <f>IFERROR(IF(VLOOKUP($A73,#REF!,8,0)="","",VLOOKUP($A73,#REF!,8,0)),"")</f>
        <v/>
      </c>
      <c r="I73" s="67" t="str">
        <f>IFERROR(IF(VLOOKUP($A73,#REF!,9,0)="","",VLOOKUP($A73,#REF!,9,0)),"")</f>
        <v/>
      </c>
      <c r="J73" s="67" t="str">
        <f>IFERROR(IF(VLOOKUP($A73,#REF!,10,0)="","",VLOOKUP($A73,#REF!,10,0)),"")</f>
        <v/>
      </c>
      <c r="K73" s="67" t="str">
        <f>IFERROR(IF(VLOOKUP($A73,#REF!,11,0)="","",VLOOKUP($A73,#REF!,11,0)),"")</f>
        <v/>
      </c>
      <c r="L73" s="67" t="str">
        <f>IFERROR(IF(VLOOKUP($A73,#REF!,12,0)="","",VLOOKUP($A73,#REF!,12,0)),"")</f>
        <v/>
      </c>
      <c r="M73" s="67" t="str">
        <f>IFERROR(IF(VLOOKUP($A73,#REF!,13,0)="","",VLOOKUP($A73,#REF!,13,0)),"")</f>
        <v/>
      </c>
      <c r="N73" s="66" t="str">
        <f>IFERROR(IF(VLOOKUP($A73,#REF!,14,0)="","",VLOOKUP($A73,#REF!,14,0)),"")</f>
        <v/>
      </c>
      <c r="O73" s="169" t="str">
        <f>IFERROR(IF(VLOOKUP($A73,#REF!,15,0)="","",VLOOKUP($A73,#REF!,15,0)),"")</f>
        <v/>
      </c>
    </row>
    <row r="74" spans="1:15" s="11" customFormat="1" ht="12" customHeight="1" x14ac:dyDescent="0.3">
      <c r="A74" s="154" t="s">
        <v>167</v>
      </c>
      <c r="B74" s="236"/>
      <c r="C74" s="237"/>
      <c r="D74" s="168" t="str">
        <f>IFERROR(VLOOKUP($A74,Banco!$A:$D,7,0),"")</f>
        <v/>
      </c>
      <c r="E74" s="66" t="str">
        <f>IFERROR(VLOOKUP($A74,Banco!$A:$G,10,0),"-")</f>
        <v>-</v>
      </c>
      <c r="F74" s="66" t="str">
        <f>IFERROR(RIGHT(VLOOKUP($E74,Banco!$G:$I,3,0),24),"")</f>
        <v/>
      </c>
      <c r="G74" s="67" t="str">
        <f>IFERROR(IF(VLOOKUP($A74,#REF!,7,0)="","",VLOOKUP($A74,#REF!,7,0)),"")</f>
        <v/>
      </c>
      <c r="H74" s="158" t="str">
        <f>IFERROR(IF(VLOOKUP($A74,#REF!,8,0)="","",VLOOKUP($A74,#REF!,8,0)),"")</f>
        <v/>
      </c>
      <c r="I74" s="67" t="str">
        <f>IFERROR(IF(VLOOKUP($A74,#REF!,9,0)="","",VLOOKUP($A74,#REF!,9,0)),"")</f>
        <v/>
      </c>
      <c r="J74" s="67" t="str">
        <f>IFERROR(IF(VLOOKUP($A74,#REF!,10,0)="","",VLOOKUP($A74,#REF!,10,0)),"")</f>
        <v/>
      </c>
      <c r="K74" s="67" t="str">
        <f>IFERROR(IF(VLOOKUP($A74,#REF!,11,0)="","",VLOOKUP($A74,#REF!,11,0)),"")</f>
        <v/>
      </c>
      <c r="L74" s="67" t="str">
        <f>IFERROR(IF(VLOOKUP($A74,#REF!,12,0)="","",VLOOKUP($A74,#REF!,12,0)),"")</f>
        <v/>
      </c>
      <c r="M74" s="67" t="str">
        <f>IFERROR(IF(VLOOKUP($A74,#REF!,13,0)="","",VLOOKUP($A74,#REF!,13,0)),"")</f>
        <v/>
      </c>
      <c r="N74" s="66" t="str">
        <f>IFERROR(IF(VLOOKUP($A74,#REF!,14,0)="","",VLOOKUP($A74,#REF!,14,0)),"")</f>
        <v/>
      </c>
      <c r="O74" s="169" t="str">
        <f>IFERROR(IF(VLOOKUP($A74,#REF!,15,0)="","",VLOOKUP($A74,#REF!,15,0)),"")</f>
        <v/>
      </c>
    </row>
    <row r="75" spans="1:15" s="11" customFormat="1" ht="12" customHeight="1" x14ac:dyDescent="0.3">
      <c r="A75" s="154" t="s">
        <v>168</v>
      </c>
      <c r="B75" s="236"/>
      <c r="C75" s="237"/>
      <c r="D75" s="168" t="str">
        <f>IFERROR(VLOOKUP($A75,Banco!$A:$D,7,0),"")</f>
        <v/>
      </c>
      <c r="E75" s="66" t="str">
        <f>IFERROR(VLOOKUP($A75,Banco!$A:$G,10,0),"-")</f>
        <v>-</v>
      </c>
      <c r="F75" s="66" t="str">
        <f>IFERROR(RIGHT(VLOOKUP($E75,Banco!$G:$I,3,0),24),"")</f>
        <v/>
      </c>
      <c r="G75" s="67" t="str">
        <f>IFERROR(IF(VLOOKUP($A75,#REF!,7,0)="","",VLOOKUP($A75,#REF!,7,0)),"")</f>
        <v/>
      </c>
      <c r="H75" s="158" t="str">
        <f>IFERROR(IF(VLOOKUP($A75,#REF!,8,0)="","",VLOOKUP($A75,#REF!,8,0)),"")</f>
        <v/>
      </c>
      <c r="I75" s="67" t="str">
        <f>IFERROR(IF(VLOOKUP($A75,#REF!,9,0)="","",VLOOKUP($A75,#REF!,9,0)),"")</f>
        <v/>
      </c>
      <c r="J75" s="67" t="str">
        <f>IFERROR(IF(VLOOKUP($A75,#REF!,10,0)="","",VLOOKUP($A75,#REF!,10,0)),"")</f>
        <v/>
      </c>
      <c r="K75" s="67" t="str">
        <f>IFERROR(IF(VLOOKUP($A75,#REF!,11,0)="","",VLOOKUP($A75,#REF!,11,0)),"")</f>
        <v/>
      </c>
      <c r="L75" s="67" t="str">
        <f>IFERROR(IF(VLOOKUP($A75,#REF!,12,0)="","",VLOOKUP($A75,#REF!,12,0)),"")</f>
        <v/>
      </c>
      <c r="M75" s="67" t="str">
        <f>IFERROR(IF(VLOOKUP($A75,#REF!,13,0)="","",VLOOKUP($A75,#REF!,13,0)),"")</f>
        <v/>
      </c>
      <c r="N75" s="66" t="str">
        <f>IFERROR(IF(VLOOKUP($A75,#REF!,14,0)="","",VLOOKUP($A75,#REF!,14,0)),"")</f>
        <v/>
      </c>
      <c r="O75" s="169" t="str">
        <f>IFERROR(IF(VLOOKUP($A75,#REF!,15,0)="","",VLOOKUP($A75,#REF!,15,0)),"")</f>
        <v/>
      </c>
    </row>
    <row r="76" spans="1:15" s="11" customFormat="1" ht="12" customHeight="1" x14ac:dyDescent="0.3">
      <c r="A76" s="154" t="s">
        <v>169</v>
      </c>
      <c r="B76" s="236"/>
      <c r="C76" s="237"/>
      <c r="D76" s="168" t="str">
        <f>IFERROR(VLOOKUP($A76,Banco!$A:$D,7,0),"")</f>
        <v/>
      </c>
      <c r="E76" s="66" t="str">
        <f>IFERROR(VLOOKUP($A76,Banco!$A:$G,10,0),"-")</f>
        <v>-</v>
      </c>
      <c r="F76" s="66" t="str">
        <f>IFERROR(RIGHT(VLOOKUP($E76,Banco!$G:$I,3,0),24),"")</f>
        <v/>
      </c>
      <c r="G76" s="67" t="str">
        <f>IFERROR(IF(VLOOKUP($A76,#REF!,7,0)="","",VLOOKUP($A76,#REF!,7,0)),"")</f>
        <v/>
      </c>
      <c r="H76" s="158" t="str">
        <f>IFERROR(IF(VLOOKUP($A76,#REF!,8,0)="","",VLOOKUP($A76,#REF!,8,0)),"")</f>
        <v/>
      </c>
      <c r="I76" s="67" t="str">
        <f>IFERROR(IF(VLOOKUP($A76,#REF!,9,0)="","",VLOOKUP($A76,#REF!,9,0)),"")</f>
        <v/>
      </c>
      <c r="J76" s="67" t="str">
        <f>IFERROR(IF(VLOOKUP($A76,#REF!,10,0)="","",VLOOKUP($A76,#REF!,10,0)),"")</f>
        <v/>
      </c>
      <c r="K76" s="67" t="str">
        <f>IFERROR(IF(VLOOKUP($A76,#REF!,11,0)="","",VLOOKUP($A76,#REF!,11,0)),"")</f>
        <v/>
      </c>
      <c r="L76" s="67" t="str">
        <f>IFERROR(IF(VLOOKUP($A76,#REF!,12,0)="","",VLOOKUP($A76,#REF!,12,0)),"")</f>
        <v/>
      </c>
      <c r="M76" s="67" t="str">
        <f>IFERROR(IF(VLOOKUP($A76,#REF!,13,0)="","",VLOOKUP($A76,#REF!,13,0)),"")</f>
        <v/>
      </c>
      <c r="N76" s="66" t="str">
        <f>IFERROR(IF(VLOOKUP($A76,#REF!,14,0)="","",VLOOKUP($A76,#REF!,14,0)),"")</f>
        <v/>
      </c>
      <c r="O76" s="169" t="str">
        <f>IFERROR(IF(VLOOKUP($A76,#REF!,15,0)="","",VLOOKUP($A76,#REF!,15,0)),"")</f>
        <v/>
      </c>
    </row>
    <row r="77" spans="1:15" s="11" customFormat="1" ht="12" customHeight="1" x14ac:dyDescent="0.3">
      <c r="A77" s="154" t="s">
        <v>170</v>
      </c>
      <c r="B77" s="236"/>
      <c r="C77" s="237"/>
      <c r="D77" s="168" t="str">
        <f>IFERROR(VLOOKUP($A77,Banco!$A:$D,7,0),"")</f>
        <v/>
      </c>
      <c r="E77" s="66" t="str">
        <f>IFERROR(VLOOKUP($A77,Banco!$A:$G,10,0),"-")</f>
        <v>-</v>
      </c>
      <c r="F77" s="66" t="str">
        <f>IFERROR(RIGHT(VLOOKUP($E77,Banco!$G:$I,3,0),24),"")</f>
        <v/>
      </c>
      <c r="G77" s="67" t="str">
        <f>IFERROR(IF(VLOOKUP($A77,#REF!,7,0)="","",VLOOKUP($A77,#REF!,7,0)),"")</f>
        <v/>
      </c>
      <c r="H77" s="158" t="str">
        <f>IFERROR(IF(VLOOKUP($A77,#REF!,8,0)="","",VLOOKUP($A77,#REF!,8,0)),"")</f>
        <v/>
      </c>
      <c r="I77" s="67" t="str">
        <f>IFERROR(IF(VLOOKUP($A77,#REF!,9,0)="","",VLOOKUP($A77,#REF!,9,0)),"")</f>
        <v/>
      </c>
      <c r="J77" s="67" t="str">
        <f>IFERROR(IF(VLOOKUP($A77,#REF!,10,0)="","",VLOOKUP($A77,#REF!,10,0)),"")</f>
        <v/>
      </c>
      <c r="K77" s="67" t="str">
        <f>IFERROR(IF(VLOOKUP($A77,#REF!,11,0)="","",VLOOKUP($A77,#REF!,11,0)),"")</f>
        <v/>
      </c>
      <c r="L77" s="67" t="str">
        <f>IFERROR(IF(VLOOKUP($A77,#REF!,12,0)="","",VLOOKUP($A77,#REF!,12,0)),"")</f>
        <v/>
      </c>
      <c r="M77" s="67" t="str">
        <f>IFERROR(IF(VLOOKUP($A77,#REF!,13,0)="","",VLOOKUP($A77,#REF!,13,0)),"")</f>
        <v/>
      </c>
      <c r="N77" s="66" t="str">
        <f>IFERROR(IF(VLOOKUP($A77,#REF!,14,0)="","",VLOOKUP($A77,#REF!,14,0)),"")</f>
        <v/>
      </c>
      <c r="O77" s="169" t="str">
        <f>IFERROR(IF(VLOOKUP($A77,#REF!,15,0)="","",VLOOKUP($A77,#REF!,15,0)),"")</f>
        <v/>
      </c>
    </row>
    <row r="78" spans="1:15" s="11" customFormat="1" ht="12" customHeight="1" x14ac:dyDescent="0.3">
      <c r="A78" s="154" t="s">
        <v>171</v>
      </c>
      <c r="B78" s="236"/>
      <c r="C78" s="237"/>
      <c r="D78" s="168" t="str">
        <f>IFERROR(VLOOKUP($A78,Banco!$A:$D,7,0),"")</f>
        <v/>
      </c>
      <c r="E78" s="66" t="str">
        <f>IFERROR(VLOOKUP($A78,Banco!$A:$G,10,0),"-")</f>
        <v>-</v>
      </c>
      <c r="F78" s="66" t="str">
        <f>IFERROR(RIGHT(VLOOKUP($E78,Banco!$G:$I,3,0),24),"")</f>
        <v/>
      </c>
      <c r="G78" s="67" t="str">
        <f>IFERROR(IF(VLOOKUP($A78,#REF!,7,0)="","",VLOOKUP($A78,#REF!,7,0)),"")</f>
        <v/>
      </c>
      <c r="H78" s="158" t="str">
        <f>IFERROR(IF(VLOOKUP($A78,#REF!,8,0)="","",VLOOKUP($A78,#REF!,8,0)),"")</f>
        <v/>
      </c>
      <c r="I78" s="67" t="str">
        <f>IFERROR(IF(VLOOKUP($A78,#REF!,9,0)="","",VLOOKUP($A78,#REF!,9,0)),"")</f>
        <v/>
      </c>
      <c r="J78" s="67" t="str">
        <f>IFERROR(IF(VLOOKUP($A78,#REF!,10,0)="","",VLOOKUP($A78,#REF!,10,0)),"")</f>
        <v/>
      </c>
      <c r="K78" s="67" t="str">
        <f>IFERROR(IF(VLOOKUP($A78,#REF!,11,0)="","",VLOOKUP($A78,#REF!,11,0)),"")</f>
        <v/>
      </c>
      <c r="L78" s="67" t="str">
        <f>IFERROR(IF(VLOOKUP($A78,#REF!,12,0)="","",VLOOKUP($A78,#REF!,12,0)),"")</f>
        <v/>
      </c>
      <c r="M78" s="67" t="str">
        <f>IFERROR(IF(VLOOKUP($A78,#REF!,13,0)="","",VLOOKUP($A78,#REF!,13,0)),"")</f>
        <v/>
      </c>
      <c r="N78" s="66" t="str">
        <f>IFERROR(IF(VLOOKUP($A78,#REF!,14,0)="","",VLOOKUP($A78,#REF!,14,0)),"")</f>
        <v/>
      </c>
      <c r="O78" s="169" t="str">
        <f>IFERROR(IF(VLOOKUP($A78,#REF!,15,0)="","",VLOOKUP($A78,#REF!,15,0)),"")</f>
        <v/>
      </c>
    </row>
    <row r="79" spans="1:15" s="11" customFormat="1" ht="12" customHeight="1" x14ac:dyDescent="0.3">
      <c r="A79" s="154" t="s">
        <v>172</v>
      </c>
      <c r="B79" s="236"/>
      <c r="C79" s="237"/>
      <c r="D79" s="168" t="str">
        <f>IFERROR(VLOOKUP($A79,Banco!$A:$D,7,0),"")</f>
        <v/>
      </c>
      <c r="E79" s="66" t="str">
        <f>IFERROR(VLOOKUP($A79,Banco!$A:$G,10,0),"-")</f>
        <v>-</v>
      </c>
      <c r="F79" s="66" t="str">
        <f>IFERROR(RIGHT(VLOOKUP($E79,Banco!$G:$I,3,0),24),"")</f>
        <v/>
      </c>
      <c r="G79" s="67" t="str">
        <f>IFERROR(IF(VLOOKUP($A79,#REF!,7,0)="","",VLOOKUP($A79,#REF!,7,0)),"")</f>
        <v/>
      </c>
      <c r="H79" s="158" t="str">
        <f>IFERROR(IF(VLOOKUP($A79,#REF!,8,0)="","",VLOOKUP($A79,#REF!,8,0)),"")</f>
        <v/>
      </c>
      <c r="I79" s="67" t="str">
        <f>IFERROR(IF(VLOOKUP($A79,#REF!,9,0)="","",VLOOKUP($A79,#REF!,9,0)),"")</f>
        <v/>
      </c>
      <c r="J79" s="67" t="str">
        <f>IFERROR(IF(VLOOKUP($A79,#REF!,10,0)="","",VLOOKUP($A79,#REF!,10,0)),"")</f>
        <v/>
      </c>
      <c r="K79" s="67" t="str">
        <f>IFERROR(IF(VLOOKUP($A79,#REF!,11,0)="","",VLOOKUP($A79,#REF!,11,0)),"")</f>
        <v/>
      </c>
      <c r="L79" s="67" t="str">
        <f>IFERROR(IF(VLOOKUP($A79,#REF!,12,0)="","",VLOOKUP($A79,#REF!,12,0)),"")</f>
        <v/>
      </c>
      <c r="M79" s="67" t="str">
        <f>IFERROR(IF(VLOOKUP($A79,#REF!,13,0)="","",VLOOKUP($A79,#REF!,13,0)),"")</f>
        <v/>
      </c>
      <c r="N79" s="66" t="str">
        <f>IFERROR(IF(VLOOKUP($A79,#REF!,14,0)="","",VLOOKUP($A79,#REF!,14,0)),"")</f>
        <v/>
      </c>
      <c r="O79" s="169" t="str">
        <f>IFERROR(IF(VLOOKUP($A79,#REF!,15,0)="","",VLOOKUP($A79,#REF!,15,0)),"")</f>
        <v/>
      </c>
    </row>
    <row r="80" spans="1:15" s="11" customFormat="1" ht="12" customHeight="1" x14ac:dyDescent="0.3">
      <c r="A80" s="154" t="s">
        <v>173</v>
      </c>
      <c r="B80" s="236"/>
      <c r="C80" s="237"/>
      <c r="D80" s="168" t="str">
        <f>IFERROR(VLOOKUP($A80,Banco!$A:$D,7,0),"")</f>
        <v/>
      </c>
      <c r="E80" s="66" t="str">
        <f>IFERROR(VLOOKUP($A80,Banco!$A:$G,10,0),"-")</f>
        <v>-</v>
      </c>
      <c r="F80" s="66" t="str">
        <f>IFERROR(RIGHT(VLOOKUP($E80,Banco!$G:$I,3,0),24),"")</f>
        <v/>
      </c>
      <c r="G80" s="67" t="str">
        <f>IFERROR(IF(VLOOKUP($A80,#REF!,7,0)="","",VLOOKUP($A80,#REF!,7,0)),"")</f>
        <v/>
      </c>
      <c r="H80" s="158" t="str">
        <f>IFERROR(IF(VLOOKUP($A80,#REF!,8,0)="","",VLOOKUP($A80,#REF!,8,0)),"")</f>
        <v/>
      </c>
      <c r="I80" s="67" t="str">
        <f>IFERROR(IF(VLOOKUP($A80,#REF!,9,0)="","",VLOOKUP($A80,#REF!,9,0)),"")</f>
        <v/>
      </c>
      <c r="J80" s="67" t="str">
        <f>IFERROR(IF(VLOOKUP($A80,#REF!,10,0)="","",VLOOKUP($A80,#REF!,10,0)),"")</f>
        <v/>
      </c>
      <c r="K80" s="67" t="str">
        <f>IFERROR(IF(VLOOKUP($A80,#REF!,11,0)="","",VLOOKUP($A80,#REF!,11,0)),"")</f>
        <v/>
      </c>
      <c r="L80" s="67" t="str">
        <f>IFERROR(IF(VLOOKUP($A80,#REF!,12,0)="","",VLOOKUP($A80,#REF!,12,0)),"")</f>
        <v/>
      </c>
      <c r="M80" s="67" t="str">
        <f>IFERROR(IF(VLOOKUP($A80,#REF!,13,0)="","",VLOOKUP($A80,#REF!,13,0)),"")</f>
        <v/>
      </c>
      <c r="N80" s="66" t="str">
        <f>IFERROR(IF(VLOOKUP($A80,#REF!,14,0)="","",VLOOKUP($A80,#REF!,14,0)),"")</f>
        <v/>
      </c>
      <c r="O80" s="169" t="str">
        <f>IFERROR(IF(VLOOKUP($A80,#REF!,15,0)="","",VLOOKUP($A80,#REF!,15,0)),"")</f>
        <v/>
      </c>
    </row>
    <row r="81" spans="1:15" s="11" customFormat="1" ht="12" customHeight="1" x14ac:dyDescent="0.3">
      <c r="A81" s="154" t="s">
        <v>174</v>
      </c>
      <c r="B81" s="236"/>
      <c r="C81" s="237"/>
      <c r="D81" s="168" t="str">
        <f>IFERROR(VLOOKUP($A81,Banco!$A:$D,7,0),"")</f>
        <v/>
      </c>
      <c r="E81" s="66" t="str">
        <f>IFERROR(VLOOKUP($A81,Banco!$A:$G,10,0),"-")</f>
        <v>-</v>
      </c>
      <c r="F81" s="66" t="str">
        <f>IFERROR(RIGHT(VLOOKUP($E81,Banco!$G:$I,3,0),24),"")</f>
        <v/>
      </c>
      <c r="G81" s="67" t="str">
        <f>IFERROR(IF(VLOOKUP($A81,#REF!,7,0)="","",VLOOKUP($A81,#REF!,7,0)),"")</f>
        <v/>
      </c>
      <c r="H81" s="158" t="str">
        <f>IFERROR(IF(VLOOKUP($A81,#REF!,8,0)="","",VLOOKUP($A81,#REF!,8,0)),"")</f>
        <v/>
      </c>
      <c r="I81" s="67" t="str">
        <f>IFERROR(IF(VLOOKUP($A81,#REF!,9,0)="","",VLOOKUP($A81,#REF!,9,0)),"")</f>
        <v/>
      </c>
      <c r="J81" s="67" t="str">
        <f>IFERROR(IF(VLOOKUP($A81,#REF!,10,0)="","",VLOOKUP($A81,#REF!,10,0)),"")</f>
        <v/>
      </c>
      <c r="K81" s="67" t="str">
        <f>IFERROR(IF(VLOOKUP($A81,#REF!,11,0)="","",VLOOKUP($A81,#REF!,11,0)),"")</f>
        <v/>
      </c>
      <c r="L81" s="67" t="str">
        <f>IFERROR(IF(VLOOKUP($A81,#REF!,12,0)="","",VLOOKUP($A81,#REF!,12,0)),"")</f>
        <v/>
      </c>
      <c r="M81" s="67" t="str">
        <f>IFERROR(IF(VLOOKUP($A81,#REF!,13,0)="","",VLOOKUP($A81,#REF!,13,0)),"")</f>
        <v/>
      </c>
      <c r="N81" s="66" t="str">
        <f>IFERROR(IF(VLOOKUP($A81,#REF!,14,0)="","",VLOOKUP($A81,#REF!,14,0)),"")</f>
        <v/>
      </c>
      <c r="O81" s="169" t="str">
        <f>IFERROR(IF(VLOOKUP($A81,#REF!,15,0)="","",VLOOKUP($A81,#REF!,15,0)),"")</f>
        <v/>
      </c>
    </row>
    <row r="82" spans="1:15" s="11" customFormat="1" ht="12" customHeight="1" x14ac:dyDescent="0.3">
      <c r="A82" s="154" t="s">
        <v>175</v>
      </c>
      <c r="B82" s="236"/>
      <c r="C82" s="237"/>
      <c r="D82" s="168" t="str">
        <f>IFERROR(VLOOKUP($A82,Banco!$A:$D,7,0),"")</f>
        <v/>
      </c>
      <c r="E82" s="66" t="str">
        <f>IFERROR(VLOOKUP($A82,Banco!$A:$G,10,0),"-")</f>
        <v>-</v>
      </c>
      <c r="F82" s="66" t="str">
        <f>IFERROR(RIGHT(VLOOKUP($E82,Banco!$G:$I,3,0),24),"")</f>
        <v/>
      </c>
      <c r="G82" s="67" t="str">
        <f>IFERROR(IF(VLOOKUP($A82,#REF!,7,0)="","",VLOOKUP($A82,#REF!,7,0)),"")</f>
        <v/>
      </c>
      <c r="H82" s="158" t="str">
        <f>IFERROR(IF(VLOOKUP($A82,#REF!,8,0)="","",VLOOKUP($A82,#REF!,8,0)),"")</f>
        <v/>
      </c>
      <c r="I82" s="67" t="str">
        <f>IFERROR(IF(VLOOKUP($A82,#REF!,9,0)="","",VLOOKUP($A82,#REF!,9,0)),"")</f>
        <v/>
      </c>
      <c r="J82" s="67" t="str">
        <f>IFERROR(IF(VLOOKUP($A82,#REF!,10,0)="","",VLOOKUP($A82,#REF!,10,0)),"")</f>
        <v/>
      </c>
      <c r="K82" s="67" t="str">
        <f>IFERROR(IF(VLOOKUP($A82,#REF!,11,0)="","",VLOOKUP($A82,#REF!,11,0)),"")</f>
        <v/>
      </c>
      <c r="L82" s="67" t="str">
        <f>IFERROR(IF(VLOOKUP($A82,#REF!,12,0)="","",VLOOKUP($A82,#REF!,12,0)),"")</f>
        <v/>
      </c>
      <c r="M82" s="67" t="str">
        <f>IFERROR(IF(VLOOKUP($A82,#REF!,13,0)="","",VLOOKUP($A82,#REF!,13,0)),"")</f>
        <v/>
      </c>
      <c r="N82" s="66" t="str">
        <f>IFERROR(IF(VLOOKUP($A82,#REF!,14,0)="","",VLOOKUP($A82,#REF!,14,0)),"")</f>
        <v/>
      </c>
      <c r="O82" s="169" t="str">
        <f>IFERROR(IF(VLOOKUP($A82,#REF!,15,0)="","",VLOOKUP($A82,#REF!,15,0)),"")</f>
        <v/>
      </c>
    </row>
    <row r="83" spans="1:15" s="11" customFormat="1" ht="12" customHeight="1" x14ac:dyDescent="0.3">
      <c r="A83" s="154" t="s">
        <v>176</v>
      </c>
      <c r="B83" s="236"/>
      <c r="C83" s="237"/>
      <c r="D83" s="168" t="str">
        <f>IFERROR(VLOOKUP($A83,Banco!$A:$D,7,0),"")</f>
        <v/>
      </c>
      <c r="E83" s="66" t="str">
        <f>IFERROR(VLOOKUP($A83,Banco!$A:$G,10,0),"-")</f>
        <v>-</v>
      </c>
      <c r="F83" s="66" t="str">
        <f>IFERROR(RIGHT(VLOOKUP($E83,Banco!$G:$I,3,0),24),"")</f>
        <v/>
      </c>
      <c r="G83" s="67" t="str">
        <f>IFERROR(IF(VLOOKUP($A83,#REF!,7,0)="","",VLOOKUP($A83,#REF!,7,0)),"")</f>
        <v/>
      </c>
      <c r="H83" s="158" t="str">
        <f>IFERROR(IF(VLOOKUP($A83,#REF!,8,0)="","",VLOOKUP($A83,#REF!,8,0)),"")</f>
        <v/>
      </c>
      <c r="I83" s="67" t="str">
        <f>IFERROR(IF(VLOOKUP($A83,#REF!,9,0)="","",VLOOKUP($A83,#REF!,9,0)),"")</f>
        <v/>
      </c>
      <c r="J83" s="67" t="str">
        <f>IFERROR(IF(VLOOKUP($A83,#REF!,10,0)="","",VLOOKUP($A83,#REF!,10,0)),"")</f>
        <v/>
      </c>
      <c r="K83" s="67" t="str">
        <f>IFERROR(IF(VLOOKUP($A83,#REF!,11,0)="","",VLOOKUP($A83,#REF!,11,0)),"")</f>
        <v/>
      </c>
      <c r="L83" s="67" t="str">
        <f>IFERROR(IF(VLOOKUP($A83,#REF!,12,0)="","",VLOOKUP($A83,#REF!,12,0)),"")</f>
        <v/>
      </c>
      <c r="M83" s="67" t="str">
        <f>IFERROR(IF(VLOOKUP($A83,#REF!,13,0)="","",VLOOKUP($A83,#REF!,13,0)),"")</f>
        <v/>
      </c>
      <c r="N83" s="66" t="str">
        <f>IFERROR(IF(VLOOKUP($A83,#REF!,14,0)="","",VLOOKUP($A83,#REF!,14,0)),"")</f>
        <v/>
      </c>
      <c r="O83" s="169" t="str">
        <f>IFERROR(IF(VLOOKUP($A83,#REF!,15,0)="","",VLOOKUP($A83,#REF!,15,0)),"")</f>
        <v/>
      </c>
    </row>
    <row r="84" spans="1:15" s="11" customFormat="1" ht="12" customHeight="1" x14ac:dyDescent="0.3">
      <c r="A84" s="154" t="s">
        <v>177</v>
      </c>
      <c r="B84" s="236"/>
      <c r="C84" s="237"/>
      <c r="D84" s="168" t="str">
        <f>IFERROR(VLOOKUP($A84,Banco!$A:$D,7,0),"")</f>
        <v/>
      </c>
      <c r="E84" s="66" t="str">
        <f>IFERROR(VLOOKUP($A84,Banco!$A:$G,10,0),"-")</f>
        <v>-</v>
      </c>
      <c r="F84" s="66" t="str">
        <f>IFERROR(RIGHT(VLOOKUP($E84,Banco!$G:$I,3,0),24),"")</f>
        <v/>
      </c>
      <c r="G84" s="67" t="str">
        <f>IFERROR(IF(VLOOKUP($A84,#REF!,7,0)="","",VLOOKUP($A84,#REF!,7,0)),"")</f>
        <v/>
      </c>
      <c r="H84" s="158" t="str">
        <f>IFERROR(IF(VLOOKUP($A84,#REF!,8,0)="","",VLOOKUP($A84,#REF!,8,0)),"")</f>
        <v/>
      </c>
      <c r="I84" s="67" t="str">
        <f>IFERROR(IF(VLOOKUP($A84,#REF!,9,0)="","",VLOOKUP($A84,#REF!,9,0)),"")</f>
        <v/>
      </c>
      <c r="J84" s="67" t="str">
        <f>IFERROR(IF(VLOOKUP($A84,#REF!,10,0)="","",VLOOKUP($A84,#REF!,10,0)),"")</f>
        <v/>
      </c>
      <c r="K84" s="67" t="str">
        <f>IFERROR(IF(VLOOKUP($A84,#REF!,11,0)="","",VLOOKUP($A84,#REF!,11,0)),"")</f>
        <v/>
      </c>
      <c r="L84" s="67" t="str">
        <f>IFERROR(IF(VLOOKUP($A84,#REF!,12,0)="","",VLOOKUP($A84,#REF!,12,0)),"")</f>
        <v/>
      </c>
      <c r="M84" s="67" t="str">
        <f>IFERROR(IF(VLOOKUP($A84,#REF!,13,0)="","",VLOOKUP($A84,#REF!,13,0)),"")</f>
        <v/>
      </c>
      <c r="N84" s="66" t="str">
        <f>IFERROR(IF(VLOOKUP($A84,#REF!,14,0)="","",VLOOKUP($A84,#REF!,14,0)),"")</f>
        <v/>
      </c>
      <c r="O84" s="169" t="str">
        <f>IFERROR(IF(VLOOKUP($A84,#REF!,15,0)="","",VLOOKUP($A84,#REF!,15,0)),"")</f>
        <v/>
      </c>
    </row>
    <row r="85" spans="1:15" s="11" customFormat="1" ht="12" customHeight="1" x14ac:dyDescent="0.3">
      <c r="A85" s="154" t="s">
        <v>178</v>
      </c>
      <c r="B85" s="236"/>
      <c r="C85" s="237"/>
      <c r="D85" s="168" t="str">
        <f>IFERROR(VLOOKUP($A85,Banco!$A:$D,7,0),"")</f>
        <v/>
      </c>
      <c r="E85" s="66" t="str">
        <f>IFERROR(VLOOKUP($A85,Banco!$A:$G,10,0),"-")</f>
        <v>-</v>
      </c>
      <c r="F85" s="66" t="str">
        <f>IFERROR(RIGHT(VLOOKUP($E85,Banco!$G:$I,3,0),24),"")</f>
        <v/>
      </c>
      <c r="G85" s="67" t="str">
        <f>IFERROR(IF(VLOOKUP($A85,#REF!,7,0)="","",VLOOKUP($A85,#REF!,7,0)),"")</f>
        <v/>
      </c>
      <c r="H85" s="158" t="str">
        <f>IFERROR(IF(VLOOKUP($A85,#REF!,8,0)="","",VLOOKUP($A85,#REF!,8,0)),"")</f>
        <v/>
      </c>
      <c r="I85" s="67" t="str">
        <f>IFERROR(IF(VLOOKUP($A85,#REF!,9,0)="","",VLOOKUP($A85,#REF!,9,0)),"")</f>
        <v/>
      </c>
      <c r="J85" s="67" t="str">
        <f>IFERROR(IF(VLOOKUP($A85,#REF!,10,0)="","",VLOOKUP($A85,#REF!,10,0)),"")</f>
        <v/>
      </c>
      <c r="K85" s="67" t="str">
        <f>IFERROR(IF(VLOOKUP($A85,#REF!,11,0)="","",VLOOKUP($A85,#REF!,11,0)),"")</f>
        <v/>
      </c>
      <c r="L85" s="67" t="str">
        <f>IFERROR(IF(VLOOKUP($A85,#REF!,12,0)="","",VLOOKUP($A85,#REF!,12,0)),"")</f>
        <v/>
      </c>
      <c r="M85" s="67" t="str">
        <f>IFERROR(IF(VLOOKUP($A85,#REF!,13,0)="","",VLOOKUP($A85,#REF!,13,0)),"")</f>
        <v/>
      </c>
      <c r="N85" s="66" t="str">
        <f>IFERROR(IF(VLOOKUP($A85,#REF!,14,0)="","",VLOOKUP($A85,#REF!,14,0)),"")</f>
        <v/>
      </c>
      <c r="O85" s="169" t="str">
        <f>IFERROR(IF(VLOOKUP($A85,#REF!,15,0)="","",VLOOKUP($A85,#REF!,15,0)),"")</f>
        <v/>
      </c>
    </row>
    <row r="86" spans="1:15" s="11" customFormat="1" ht="12" customHeight="1" x14ac:dyDescent="0.3">
      <c r="A86" s="154" t="s">
        <v>179</v>
      </c>
      <c r="B86" s="236"/>
      <c r="C86" s="237"/>
      <c r="D86" s="168" t="str">
        <f>IFERROR(VLOOKUP($A86,Banco!$A:$D,7,0),"")</f>
        <v/>
      </c>
      <c r="E86" s="66" t="str">
        <f>IFERROR(VLOOKUP($A86,Banco!$A:$G,10,0),"-")</f>
        <v>-</v>
      </c>
      <c r="F86" s="66" t="str">
        <f>IFERROR(RIGHT(VLOOKUP($E86,Banco!$G:$I,3,0),24),"")</f>
        <v/>
      </c>
      <c r="G86" s="67" t="str">
        <f>IFERROR(IF(VLOOKUP($A86,#REF!,7,0)="","",VLOOKUP($A86,#REF!,7,0)),"")</f>
        <v/>
      </c>
      <c r="H86" s="158" t="str">
        <f>IFERROR(IF(VLOOKUP($A86,#REF!,8,0)="","",VLOOKUP($A86,#REF!,8,0)),"")</f>
        <v/>
      </c>
      <c r="I86" s="67" t="str">
        <f>IFERROR(IF(VLOOKUP($A86,#REF!,9,0)="","",VLOOKUP($A86,#REF!,9,0)),"")</f>
        <v/>
      </c>
      <c r="J86" s="67" t="str">
        <f>IFERROR(IF(VLOOKUP($A86,#REF!,10,0)="","",VLOOKUP($A86,#REF!,10,0)),"")</f>
        <v/>
      </c>
      <c r="K86" s="67" t="str">
        <f>IFERROR(IF(VLOOKUP($A86,#REF!,11,0)="","",VLOOKUP($A86,#REF!,11,0)),"")</f>
        <v/>
      </c>
      <c r="L86" s="67" t="str">
        <f>IFERROR(IF(VLOOKUP($A86,#REF!,12,0)="","",VLOOKUP($A86,#REF!,12,0)),"")</f>
        <v/>
      </c>
      <c r="M86" s="67" t="str">
        <f>IFERROR(IF(VLOOKUP($A86,#REF!,13,0)="","",VLOOKUP($A86,#REF!,13,0)),"")</f>
        <v/>
      </c>
      <c r="N86" s="66" t="str">
        <f>IFERROR(IF(VLOOKUP($A86,#REF!,14,0)="","",VLOOKUP($A86,#REF!,14,0)),"")</f>
        <v/>
      </c>
      <c r="O86" s="169" t="str">
        <f>IFERROR(IF(VLOOKUP($A86,#REF!,15,0)="","",VLOOKUP($A86,#REF!,15,0)),"")</f>
        <v/>
      </c>
    </row>
    <row r="87" spans="1:15" s="11" customFormat="1" ht="12" customHeight="1" x14ac:dyDescent="0.3">
      <c r="A87" s="154" t="s">
        <v>180</v>
      </c>
      <c r="B87" s="236"/>
      <c r="C87" s="237"/>
      <c r="D87" s="168" t="str">
        <f>IFERROR(VLOOKUP($A87,Banco!$A:$D,7,0),"")</f>
        <v/>
      </c>
      <c r="E87" s="66" t="str">
        <f>IFERROR(VLOOKUP($A87,Banco!$A:$G,10,0),"-")</f>
        <v>-</v>
      </c>
      <c r="F87" s="66" t="str">
        <f>IFERROR(RIGHT(VLOOKUP($E87,Banco!$G:$I,3,0),24),"")</f>
        <v/>
      </c>
      <c r="G87" s="67" t="str">
        <f>IFERROR(IF(VLOOKUP($A87,#REF!,7,0)="","",VLOOKUP($A87,#REF!,7,0)),"")</f>
        <v/>
      </c>
      <c r="H87" s="158" t="str">
        <f>IFERROR(IF(VLOOKUP($A87,#REF!,8,0)="","",VLOOKUP($A87,#REF!,8,0)),"")</f>
        <v/>
      </c>
      <c r="I87" s="67" t="str">
        <f>IFERROR(IF(VLOOKUP($A87,#REF!,9,0)="","",VLOOKUP($A87,#REF!,9,0)),"")</f>
        <v/>
      </c>
      <c r="J87" s="67" t="str">
        <f>IFERROR(IF(VLOOKUP($A87,#REF!,10,0)="","",VLOOKUP($A87,#REF!,10,0)),"")</f>
        <v/>
      </c>
      <c r="K87" s="67" t="str">
        <f>IFERROR(IF(VLOOKUP($A87,#REF!,11,0)="","",VLOOKUP($A87,#REF!,11,0)),"")</f>
        <v/>
      </c>
      <c r="L87" s="67" t="str">
        <f>IFERROR(IF(VLOOKUP($A87,#REF!,12,0)="","",VLOOKUP($A87,#REF!,12,0)),"")</f>
        <v/>
      </c>
      <c r="M87" s="67" t="str">
        <f>IFERROR(IF(VLOOKUP($A87,#REF!,13,0)="","",VLOOKUP($A87,#REF!,13,0)),"")</f>
        <v/>
      </c>
      <c r="N87" s="66" t="str">
        <f>IFERROR(IF(VLOOKUP($A87,#REF!,14,0)="","",VLOOKUP($A87,#REF!,14,0)),"")</f>
        <v/>
      </c>
      <c r="O87" s="169" t="str">
        <f>IFERROR(IF(VLOOKUP($A87,#REF!,15,0)="","",VLOOKUP($A87,#REF!,15,0)),"")</f>
        <v/>
      </c>
    </row>
    <row r="88" spans="1:15" s="11" customFormat="1" ht="12" customHeight="1" x14ac:dyDescent="0.3">
      <c r="A88" s="154" t="s">
        <v>181</v>
      </c>
      <c r="B88" s="236"/>
      <c r="C88" s="237"/>
      <c r="D88" s="168" t="str">
        <f>IFERROR(VLOOKUP($A88,Banco!$A:$D,7,0),"")</f>
        <v/>
      </c>
      <c r="E88" s="66" t="str">
        <f>IFERROR(VLOOKUP($A88,Banco!$A:$G,10,0),"-")</f>
        <v>-</v>
      </c>
      <c r="F88" s="66" t="str">
        <f>IFERROR(RIGHT(VLOOKUP($E88,Banco!$G:$I,3,0),24),"")</f>
        <v/>
      </c>
      <c r="G88" s="67" t="str">
        <f>IFERROR(IF(VLOOKUP($A88,#REF!,7,0)="","",VLOOKUP($A88,#REF!,7,0)),"")</f>
        <v/>
      </c>
      <c r="H88" s="158" t="str">
        <f>IFERROR(IF(VLOOKUP($A88,#REF!,8,0)="","",VLOOKUP($A88,#REF!,8,0)),"")</f>
        <v/>
      </c>
      <c r="I88" s="67" t="str">
        <f>IFERROR(IF(VLOOKUP($A88,#REF!,9,0)="","",VLOOKUP($A88,#REF!,9,0)),"")</f>
        <v/>
      </c>
      <c r="J88" s="67" t="str">
        <f>IFERROR(IF(VLOOKUP($A88,#REF!,10,0)="","",VLOOKUP($A88,#REF!,10,0)),"")</f>
        <v/>
      </c>
      <c r="K88" s="67" t="str">
        <f>IFERROR(IF(VLOOKUP($A88,#REF!,11,0)="","",VLOOKUP($A88,#REF!,11,0)),"")</f>
        <v/>
      </c>
      <c r="L88" s="67" t="str">
        <f>IFERROR(IF(VLOOKUP($A88,#REF!,12,0)="","",VLOOKUP($A88,#REF!,12,0)),"")</f>
        <v/>
      </c>
      <c r="M88" s="67" t="str">
        <f>IFERROR(IF(VLOOKUP($A88,#REF!,13,0)="","",VLOOKUP($A88,#REF!,13,0)),"")</f>
        <v/>
      </c>
      <c r="N88" s="66" t="str">
        <f>IFERROR(IF(VLOOKUP($A88,#REF!,14,0)="","",VLOOKUP($A88,#REF!,14,0)),"")</f>
        <v/>
      </c>
      <c r="O88" s="169" t="str">
        <f>IFERROR(IF(VLOOKUP($A88,#REF!,15,0)="","",VLOOKUP($A88,#REF!,15,0)),"")</f>
        <v/>
      </c>
    </row>
    <row r="89" spans="1:15" s="11" customFormat="1" ht="12" customHeight="1" x14ac:dyDescent="0.3">
      <c r="A89" s="154" t="s">
        <v>182</v>
      </c>
      <c r="B89" s="236"/>
      <c r="C89" s="237"/>
      <c r="D89" s="168" t="str">
        <f>IFERROR(VLOOKUP($A89,Banco!$A:$D,7,0),"")</f>
        <v/>
      </c>
      <c r="E89" s="66" t="str">
        <f>IFERROR(VLOOKUP($A89,Banco!$A:$G,10,0),"-")</f>
        <v>-</v>
      </c>
      <c r="F89" s="66" t="str">
        <f>IFERROR(RIGHT(VLOOKUP($E89,Banco!$G:$I,3,0),24),"")</f>
        <v/>
      </c>
      <c r="G89" s="67" t="str">
        <f>IFERROR(IF(VLOOKUP($A89,#REF!,7,0)="","",VLOOKUP($A89,#REF!,7,0)),"")</f>
        <v/>
      </c>
      <c r="H89" s="158" t="str">
        <f>IFERROR(IF(VLOOKUP($A89,#REF!,8,0)="","",VLOOKUP($A89,#REF!,8,0)),"")</f>
        <v/>
      </c>
      <c r="I89" s="67" t="str">
        <f>IFERROR(IF(VLOOKUP($A89,#REF!,9,0)="","",VLOOKUP($A89,#REF!,9,0)),"")</f>
        <v/>
      </c>
      <c r="J89" s="67" t="str">
        <f>IFERROR(IF(VLOOKUP($A89,#REF!,10,0)="","",VLOOKUP($A89,#REF!,10,0)),"")</f>
        <v/>
      </c>
      <c r="K89" s="67" t="str">
        <f>IFERROR(IF(VLOOKUP($A89,#REF!,11,0)="","",VLOOKUP($A89,#REF!,11,0)),"")</f>
        <v/>
      </c>
      <c r="L89" s="67" t="str">
        <f>IFERROR(IF(VLOOKUP($A89,#REF!,12,0)="","",VLOOKUP($A89,#REF!,12,0)),"")</f>
        <v/>
      </c>
      <c r="M89" s="67" t="str">
        <f>IFERROR(IF(VLOOKUP($A89,#REF!,13,0)="","",VLOOKUP($A89,#REF!,13,0)),"")</f>
        <v/>
      </c>
      <c r="N89" s="66" t="str">
        <f>IFERROR(IF(VLOOKUP($A89,#REF!,14,0)="","",VLOOKUP($A89,#REF!,14,0)),"")</f>
        <v/>
      </c>
      <c r="O89" s="169" t="str">
        <f>IFERROR(IF(VLOOKUP($A89,#REF!,15,0)="","",VLOOKUP($A89,#REF!,15,0)),"")</f>
        <v/>
      </c>
    </row>
    <row r="90" spans="1:15" s="11" customFormat="1" ht="12" customHeight="1" x14ac:dyDescent="0.3">
      <c r="A90" s="154" t="s">
        <v>183</v>
      </c>
      <c r="B90" s="236"/>
      <c r="C90" s="237"/>
      <c r="D90" s="168" t="str">
        <f>IFERROR(VLOOKUP($A90,Banco!$A:$D,7,0),"")</f>
        <v/>
      </c>
      <c r="E90" s="66" t="str">
        <f>IFERROR(VLOOKUP($A90,Banco!$A:$G,10,0),"-")</f>
        <v>-</v>
      </c>
      <c r="F90" s="66" t="str">
        <f>IFERROR(RIGHT(VLOOKUP($E90,Banco!$G:$I,3,0),24),"")</f>
        <v/>
      </c>
      <c r="G90" s="67" t="str">
        <f>IFERROR(IF(VLOOKUP($A90,#REF!,7,0)="","",VLOOKUP($A90,#REF!,7,0)),"")</f>
        <v/>
      </c>
      <c r="H90" s="158" t="str">
        <f>IFERROR(IF(VLOOKUP($A90,#REF!,8,0)="","",VLOOKUP($A90,#REF!,8,0)),"")</f>
        <v/>
      </c>
      <c r="I90" s="67" t="str">
        <f>IFERROR(IF(VLOOKUP($A90,#REF!,9,0)="","",VLOOKUP($A90,#REF!,9,0)),"")</f>
        <v/>
      </c>
      <c r="J90" s="67" t="str">
        <f>IFERROR(IF(VLOOKUP($A90,#REF!,10,0)="","",VLOOKUP($A90,#REF!,10,0)),"")</f>
        <v/>
      </c>
      <c r="K90" s="67" t="str">
        <f>IFERROR(IF(VLOOKUP($A90,#REF!,11,0)="","",VLOOKUP($A90,#REF!,11,0)),"")</f>
        <v/>
      </c>
      <c r="L90" s="67" t="str">
        <f>IFERROR(IF(VLOOKUP($A90,#REF!,12,0)="","",VLOOKUP($A90,#REF!,12,0)),"")</f>
        <v/>
      </c>
      <c r="M90" s="67" t="str">
        <f>IFERROR(IF(VLOOKUP($A90,#REF!,13,0)="","",VLOOKUP($A90,#REF!,13,0)),"")</f>
        <v/>
      </c>
      <c r="N90" s="66" t="str">
        <f>IFERROR(IF(VLOOKUP($A90,#REF!,14,0)="","",VLOOKUP($A90,#REF!,14,0)),"")</f>
        <v/>
      </c>
      <c r="O90" s="169" t="str">
        <f>IFERROR(IF(VLOOKUP($A90,#REF!,15,0)="","",VLOOKUP($A90,#REF!,15,0)),"")</f>
        <v/>
      </c>
    </row>
    <row r="91" spans="1:15" s="11" customFormat="1" ht="12" customHeight="1" x14ac:dyDescent="0.3">
      <c r="A91" s="154" t="s">
        <v>184</v>
      </c>
      <c r="B91" s="236"/>
      <c r="C91" s="237"/>
      <c r="D91" s="168" t="str">
        <f>IFERROR(VLOOKUP($A91,Banco!$A:$D,7,0),"")</f>
        <v/>
      </c>
      <c r="E91" s="66" t="str">
        <f>IFERROR(VLOOKUP($A91,Banco!$A:$G,10,0),"-")</f>
        <v>-</v>
      </c>
      <c r="F91" s="66" t="str">
        <f>IFERROR(RIGHT(VLOOKUP($E91,Banco!$G:$I,3,0),24),"")</f>
        <v/>
      </c>
      <c r="G91" s="67" t="str">
        <f>IFERROR(IF(VLOOKUP($A91,#REF!,7,0)="","",VLOOKUP($A91,#REF!,7,0)),"")</f>
        <v/>
      </c>
      <c r="H91" s="158" t="str">
        <f>IFERROR(IF(VLOOKUP($A91,#REF!,8,0)="","",VLOOKUP($A91,#REF!,8,0)),"")</f>
        <v/>
      </c>
      <c r="I91" s="67" t="str">
        <f>IFERROR(IF(VLOOKUP($A91,#REF!,9,0)="","",VLOOKUP($A91,#REF!,9,0)),"")</f>
        <v/>
      </c>
      <c r="J91" s="67" t="str">
        <f>IFERROR(IF(VLOOKUP($A91,#REF!,10,0)="","",VLOOKUP($A91,#REF!,10,0)),"")</f>
        <v/>
      </c>
      <c r="K91" s="67" t="str">
        <f>IFERROR(IF(VLOOKUP($A91,#REF!,11,0)="","",VLOOKUP($A91,#REF!,11,0)),"")</f>
        <v/>
      </c>
      <c r="L91" s="67" t="str">
        <f>IFERROR(IF(VLOOKUP($A91,#REF!,12,0)="","",VLOOKUP($A91,#REF!,12,0)),"")</f>
        <v/>
      </c>
      <c r="M91" s="67" t="str">
        <f>IFERROR(IF(VLOOKUP($A91,#REF!,13,0)="","",VLOOKUP($A91,#REF!,13,0)),"")</f>
        <v/>
      </c>
      <c r="N91" s="66" t="str">
        <f>IFERROR(IF(VLOOKUP($A91,#REF!,14,0)="","",VLOOKUP($A91,#REF!,14,0)),"")</f>
        <v/>
      </c>
      <c r="O91" s="169" t="str">
        <f>IFERROR(IF(VLOOKUP($A91,#REF!,15,0)="","",VLOOKUP($A91,#REF!,15,0)),"")</f>
        <v/>
      </c>
    </row>
    <row r="92" spans="1:15" s="11" customFormat="1" ht="12" customHeight="1" x14ac:dyDescent="0.3">
      <c r="A92" s="154" t="s">
        <v>185</v>
      </c>
      <c r="B92" s="236"/>
      <c r="C92" s="237"/>
      <c r="D92" s="168" t="str">
        <f>IFERROR(VLOOKUP($A92,Banco!$A:$D,7,0),"")</f>
        <v/>
      </c>
      <c r="E92" s="66" t="str">
        <f>IFERROR(VLOOKUP($A92,Banco!$A:$G,10,0),"-")</f>
        <v>-</v>
      </c>
      <c r="F92" s="66" t="str">
        <f>IFERROR(RIGHT(VLOOKUP($E92,Banco!$G:$I,3,0),24),"")</f>
        <v/>
      </c>
      <c r="G92" s="67" t="str">
        <f>IFERROR(IF(VLOOKUP($A92,#REF!,7,0)="","",VLOOKUP($A92,#REF!,7,0)),"")</f>
        <v/>
      </c>
      <c r="H92" s="158" t="str">
        <f>IFERROR(IF(VLOOKUP($A92,#REF!,8,0)="","",VLOOKUP($A92,#REF!,8,0)),"")</f>
        <v/>
      </c>
      <c r="I92" s="67" t="str">
        <f>IFERROR(IF(VLOOKUP($A92,#REF!,9,0)="","",VLOOKUP($A92,#REF!,9,0)),"")</f>
        <v/>
      </c>
      <c r="J92" s="67" t="str">
        <f>IFERROR(IF(VLOOKUP($A92,#REF!,10,0)="","",VLOOKUP($A92,#REF!,10,0)),"")</f>
        <v/>
      </c>
      <c r="K92" s="67" t="str">
        <f>IFERROR(IF(VLOOKUP($A92,#REF!,11,0)="","",VLOOKUP($A92,#REF!,11,0)),"")</f>
        <v/>
      </c>
      <c r="L92" s="67" t="str">
        <f>IFERROR(IF(VLOOKUP($A92,#REF!,12,0)="","",VLOOKUP($A92,#REF!,12,0)),"")</f>
        <v/>
      </c>
      <c r="M92" s="67" t="str">
        <f>IFERROR(IF(VLOOKUP($A92,#REF!,13,0)="","",VLOOKUP($A92,#REF!,13,0)),"")</f>
        <v/>
      </c>
      <c r="N92" s="66" t="str">
        <f>IFERROR(IF(VLOOKUP($A92,#REF!,14,0)="","",VLOOKUP($A92,#REF!,14,0)),"")</f>
        <v/>
      </c>
      <c r="O92" s="169" t="str">
        <f>IFERROR(IF(VLOOKUP($A92,#REF!,15,0)="","",VLOOKUP($A92,#REF!,15,0)),"")</f>
        <v/>
      </c>
    </row>
    <row r="93" spans="1:15" s="11" customFormat="1" ht="12" customHeight="1" x14ac:dyDescent="0.3">
      <c r="A93" s="154" t="s">
        <v>186</v>
      </c>
      <c r="B93" s="236"/>
      <c r="C93" s="237"/>
      <c r="D93" s="168" t="str">
        <f>IFERROR(VLOOKUP($A93,Banco!$A:$D,7,0),"")</f>
        <v/>
      </c>
      <c r="E93" s="66" t="str">
        <f>IFERROR(VLOOKUP($A93,Banco!$A:$G,10,0),"-")</f>
        <v>-</v>
      </c>
      <c r="F93" s="66" t="str">
        <f>IFERROR(RIGHT(VLOOKUP($E93,Banco!$G:$I,3,0),24),"")</f>
        <v/>
      </c>
      <c r="G93" s="67" t="str">
        <f>IFERROR(IF(VLOOKUP($A93,#REF!,7,0)="","",VLOOKUP($A93,#REF!,7,0)),"")</f>
        <v/>
      </c>
      <c r="H93" s="158" t="str">
        <f>IFERROR(IF(VLOOKUP($A93,#REF!,8,0)="","",VLOOKUP($A93,#REF!,8,0)),"")</f>
        <v/>
      </c>
      <c r="I93" s="67" t="str">
        <f>IFERROR(IF(VLOOKUP($A93,#REF!,9,0)="","",VLOOKUP($A93,#REF!,9,0)),"")</f>
        <v/>
      </c>
      <c r="J93" s="67" t="str">
        <f>IFERROR(IF(VLOOKUP($A93,#REF!,10,0)="","",VLOOKUP($A93,#REF!,10,0)),"")</f>
        <v/>
      </c>
      <c r="K93" s="67" t="str">
        <f>IFERROR(IF(VLOOKUP($A93,#REF!,11,0)="","",VLOOKUP($A93,#REF!,11,0)),"")</f>
        <v/>
      </c>
      <c r="L93" s="67" t="str">
        <f>IFERROR(IF(VLOOKUP($A93,#REF!,12,0)="","",VLOOKUP($A93,#REF!,12,0)),"")</f>
        <v/>
      </c>
      <c r="M93" s="67" t="str">
        <f>IFERROR(IF(VLOOKUP($A93,#REF!,13,0)="","",VLOOKUP($A93,#REF!,13,0)),"")</f>
        <v/>
      </c>
      <c r="N93" s="66" t="str">
        <f>IFERROR(IF(VLOOKUP($A93,#REF!,14,0)="","",VLOOKUP($A93,#REF!,14,0)),"")</f>
        <v/>
      </c>
      <c r="O93" s="169" t="str">
        <f>IFERROR(IF(VLOOKUP($A93,#REF!,15,0)="","",VLOOKUP($A93,#REF!,15,0)),"")</f>
        <v/>
      </c>
    </row>
    <row r="94" spans="1:15" s="11" customFormat="1" ht="12" customHeight="1" x14ac:dyDescent="0.3">
      <c r="A94" s="154" t="s">
        <v>187</v>
      </c>
      <c r="B94" s="236"/>
      <c r="C94" s="237"/>
      <c r="D94" s="168" t="str">
        <f>IFERROR(VLOOKUP($A94,Banco!$A:$D,7,0),"")</f>
        <v/>
      </c>
      <c r="E94" s="66" t="str">
        <f>IFERROR(VLOOKUP($A94,Banco!$A:$G,10,0),"-")</f>
        <v>-</v>
      </c>
      <c r="F94" s="66" t="str">
        <f>IFERROR(RIGHT(VLOOKUP($E94,Banco!$G:$I,3,0),24),"")</f>
        <v/>
      </c>
      <c r="G94" s="67" t="str">
        <f>IFERROR(IF(VLOOKUP($A94,#REF!,7,0)="","",VLOOKUP($A94,#REF!,7,0)),"")</f>
        <v/>
      </c>
      <c r="H94" s="158" t="str">
        <f>IFERROR(IF(VLOOKUP($A94,#REF!,8,0)="","",VLOOKUP($A94,#REF!,8,0)),"")</f>
        <v/>
      </c>
      <c r="I94" s="67" t="str">
        <f>IFERROR(IF(VLOOKUP($A94,#REF!,9,0)="","",VLOOKUP($A94,#REF!,9,0)),"")</f>
        <v/>
      </c>
      <c r="J94" s="67" t="str">
        <f>IFERROR(IF(VLOOKUP($A94,#REF!,10,0)="","",VLOOKUP($A94,#REF!,10,0)),"")</f>
        <v/>
      </c>
      <c r="K94" s="67" t="str">
        <f>IFERROR(IF(VLOOKUP($A94,#REF!,11,0)="","",VLOOKUP($A94,#REF!,11,0)),"")</f>
        <v/>
      </c>
      <c r="L94" s="67" t="str">
        <f>IFERROR(IF(VLOOKUP($A94,#REF!,12,0)="","",VLOOKUP($A94,#REF!,12,0)),"")</f>
        <v/>
      </c>
      <c r="M94" s="67" t="str">
        <f>IFERROR(IF(VLOOKUP($A94,#REF!,13,0)="","",VLOOKUP($A94,#REF!,13,0)),"")</f>
        <v/>
      </c>
      <c r="N94" s="66" t="str">
        <f>IFERROR(IF(VLOOKUP($A94,#REF!,14,0)="","",VLOOKUP($A94,#REF!,14,0)),"")</f>
        <v/>
      </c>
      <c r="O94" s="169" t="str">
        <f>IFERROR(IF(VLOOKUP($A94,#REF!,15,0)="","",VLOOKUP($A94,#REF!,15,0)),"")</f>
        <v/>
      </c>
    </row>
    <row r="95" spans="1:15" s="11" customFormat="1" ht="12" customHeight="1" x14ac:dyDescent="0.3">
      <c r="A95" s="154" t="s">
        <v>188</v>
      </c>
      <c r="B95" s="233"/>
      <c r="C95" s="238"/>
      <c r="D95" s="168" t="str">
        <f>IFERROR(VLOOKUP($A95,Banco!$A:$D,7,0),"")</f>
        <v/>
      </c>
      <c r="E95" s="66" t="str">
        <f>IFERROR(VLOOKUP($A95,Banco!$A:$G,10,0),"-")</f>
        <v>-</v>
      </c>
      <c r="F95" s="66" t="str">
        <f>IFERROR(RIGHT(VLOOKUP($E95,Banco!$G:$I,3,0),24),"")</f>
        <v/>
      </c>
      <c r="G95" s="67" t="str">
        <f>IFERROR(IF(VLOOKUP($A95,#REF!,7,0)="","",VLOOKUP($A95,#REF!,7,0)),"")</f>
        <v/>
      </c>
      <c r="H95" s="158" t="str">
        <f>IFERROR(IF(VLOOKUP($A95,#REF!,8,0)="","",VLOOKUP($A95,#REF!,8,0)),"")</f>
        <v/>
      </c>
      <c r="I95" s="67" t="str">
        <f>IFERROR(IF(VLOOKUP($A95,#REF!,9,0)="","",VLOOKUP($A95,#REF!,9,0)),"")</f>
        <v/>
      </c>
      <c r="J95" s="67" t="str">
        <f>IFERROR(IF(VLOOKUP($A95,#REF!,10,0)="","",VLOOKUP($A95,#REF!,10,0)),"")</f>
        <v/>
      </c>
      <c r="K95" s="67" t="str">
        <f>IFERROR(IF(VLOOKUP($A95,#REF!,11,0)="","",VLOOKUP($A95,#REF!,11,0)),"")</f>
        <v/>
      </c>
      <c r="L95" s="67" t="str">
        <f>IFERROR(IF(VLOOKUP($A95,#REF!,12,0)="","",VLOOKUP($A95,#REF!,12,0)),"")</f>
        <v/>
      </c>
      <c r="M95" s="67" t="str">
        <f>IFERROR(IF(VLOOKUP($A95,#REF!,13,0)="","",VLOOKUP($A95,#REF!,13,0)),"")</f>
        <v/>
      </c>
      <c r="N95" s="66" t="str">
        <f>IFERROR(IF(VLOOKUP($A95,#REF!,14,0)="","",VLOOKUP($A95,#REF!,14,0)),"")</f>
        <v/>
      </c>
      <c r="O95" s="169" t="str">
        <f>IFERROR(IF(VLOOKUP($A95,#REF!,15,0)="","",VLOOKUP($A95,#REF!,15,0)),"")</f>
        <v/>
      </c>
    </row>
    <row r="96" spans="1:15" s="11" customFormat="1" ht="12" customHeight="1" x14ac:dyDescent="0.3">
      <c r="A96" s="154" t="s">
        <v>189</v>
      </c>
      <c r="B96" s="70" t="s">
        <v>12</v>
      </c>
      <c r="C96" s="69">
        <f>'PLJ30'!H15</f>
        <v>30</v>
      </c>
      <c r="D96" s="168" t="str">
        <f>IFERROR(VLOOKUP($A96,Banco!$A:$D,7,0),"")</f>
        <v/>
      </c>
      <c r="E96" s="66" t="str">
        <f>IFERROR(VLOOKUP($A96,Banco!$A:$G,10,0),"-")</f>
        <v>-</v>
      </c>
      <c r="F96" s="66" t="str">
        <f>IFERROR(RIGHT(VLOOKUP($E96,Banco!$G:$I,3,0),24),"")</f>
        <v/>
      </c>
      <c r="G96" s="67" t="str">
        <f>IFERROR(IF(VLOOKUP($A96,#REF!,7,0)="","",VLOOKUP($A96,#REF!,7,0)),"")</f>
        <v/>
      </c>
      <c r="H96" s="158" t="str">
        <f>IFERROR(IF(VLOOKUP($A96,#REF!,8,0)="","",VLOOKUP($A96,#REF!,8,0)),"")</f>
        <v/>
      </c>
      <c r="I96" s="67" t="str">
        <f>IFERROR(IF(VLOOKUP($A96,#REF!,9,0)="","",VLOOKUP($A96,#REF!,9,0)),"")</f>
        <v/>
      </c>
      <c r="J96" s="67" t="str">
        <f>IFERROR(IF(VLOOKUP($A96,#REF!,10,0)="","",VLOOKUP($A96,#REF!,10,0)),"")</f>
        <v/>
      </c>
      <c r="K96" s="67" t="str">
        <f>IFERROR(IF(VLOOKUP($A96,#REF!,11,0)="","",VLOOKUP($A96,#REF!,11,0)),"")</f>
        <v/>
      </c>
      <c r="L96" s="67" t="str">
        <f>IFERROR(IF(VLOOKUP($A96,#REF!,12,0)="","",VLOOKUP($A96,#REF!,12,0)),"")</f>
        <v/>
      </c>
      <c r="M96" s="67" t="str">
        <f>IFERROR(IF(VLOOKUP($A96,#REF!,13,0)="","",VLOOKUP($A96,#REF!,13,0)),"")</f>
        <v/>
      </c>
      <c r="N96" s="66" t="str">
        <f>IFERROR(IF(VLOOKUP($A96,#REF!,14,0)="","",VLOOKUP($A96,#REF!,14,0)),"")</f>
        <v/>
      </c>
      <c r="O96" s="169" t="str">
        <f>IFERROR(IF(VLOOKUP($A96,#REF!,15,0)="","",VLOOKUP($A96,#REF!,15,0)),"")</f>
        <v/>
      </c>
    </row>
    <row r="97" spans="1:15" s="11" customFormat="1" ht="15" thickBot="1" x14ac:dyDescent="0.35">
      <c r="A97" s="154"/>
      <c r="B97" s="239" t="s">
        <v>13</v>
      </c>
      <c r="C97" s="240"/>
      <c r="D97" s="241"/>
      <c r="E97" s="160">
        <f>COUNTIFS(E58:E92,"&lt;&gt;-")-COUNTIFS(D58:D92,"Afastamento")-COUNTIFS(D58:D92,"Demitido")</f>
        <v>0</v>
      </c>
      <c r="F97" s="68">
        <f>E97-C92</f>
        <v>0</v>
      </c>
      <c r="G97" s="12" t="str">
        <f>IFERROR(IF(VLOOKUP($A97,#REF!,7,0)="","",VLOOKUP($A97,#REF!,7,0)),"")</f>
        <v/>
      </c>
      <c r="H97" s="11" t="str">
        <f>IFERROR(IF(VLOOKUP($A97,#REF!,8,0)="","",VLOOKUP($A97,#REF!,8,0)),"")</f>
        <v/>
      </c>
      <c r="I97" s="11" t="str">
        <f>IFERROR(IF(VLOOKUP($A97,#REF!,9,0)="","",VLOOKUP($A97,#REF!,9,0)),"")</f>
        <v/>
      </c>
      <c r="J97" s="11" t="str">
        <f>IFERROR(IF(VLOOKUP($A97,#REF!,10,0)="","",VLOOKUP($A97,#REF!,10,0)),"")</f>
        <v/>
      </c>
      <c r="K97" s="11" t="str">
        <f>IFERROR(IF(VLOOKUP($A97,#REF!,11,0)="","",VLOOKUP($A97,#REF!,11,0)),"")</f>
        <v/>
      </c>
      <c r="L97" s="11" t="str">
        <f>IFERROR(IF(VLOOKUP($A97,#REF!,12,0)="","",VLOOKUP($A97,#REF!,12,0)),"")</f>
        <v/>
      </c>
      <c r="M97" s="11" t="str">
        <f>IFERROR(IF(VLOOKUP($A97,#REF!,13,0)="","",VLOOKUP($A97,#REF!,13,0)),"")</f>
        <v/>
      </c>
      <c r="N97" s="11" t="str">
        <f>IFERROR(IF(VLOOKUP($A97,#REF!,14,0)="","",VLOOKUP($A97,#REF!,14,0)),"")</f>
        <v/>
      </c>
      <c r="O97" s="11" t="str">
        <f>IFERROR(IF(VLOOKUP($A97,#REF!,15,0)="","",VLOOKUP($A97,#REF!,15,0)),"")</f>
        <v/>
      </c>
    </row>
    <row r="98" spans="1:15" s="11" customFormat="1" ht="12" customHeight="1" thickBot="1" x14ac:dyDescent="0.35">
      <c r="A98" s="154"/>
      <c r="G98" s="11" t="str">
        <f>IFERROR(IF(VLOOKUP($A98,#REF!,7,0)="","",VLOOKUP($A98,#REF!,7,0)),"")</f>
        <v/>
      </c>
      <c r="H98" s="11" t="str">
        <f>IFERROR(IF(VLOOKUP($A98,#REF!,8,0)="","",VLOOKUP($A98,#REF!,8,0)),"")</f>
        <v/>
      </c>
      <c r="I98" s="11" t="str">
        <f>IFERROR(IF(VLOOKUP($A98,#REF!,9,0)="","",VLOOKUP($A98,#REF!,9,0)),"")</f>
        <v/>
      </c>
      <c r="J98" s="11" t="str">
        <f>IFERROR(IF(VLOOKUP($A98,#REF!,10,0)="","",VLOOKUP($A98,#REF!,10,0)),"")</f>
        <v/>
      </c>
      <c r="K98" s="11" t="str">
        <f>IFERROR(IF(VLOOKUP($A98,#REF!,11,0)="","",VLOOKUP($A98,#REF!,11,0)),"")</f>
        <v/>
      </c>
      <c r="L98" s="11" t="str">
        <f>IFERROR(IF(VLOOKUP($A98,#REF!,12,0)="","",VLOOKUP($A98,#REF!,12,0)),"")</f>
        <v/>
      </c>
      <c r="M98" s="11" t="str">
        <f>IFERROR(IF(VLOOKUP($A98,#REF!,13,0)="","",VLOOKUP($A98,#REF!,13,0)),"")</f>
        <v/>
      </c>
      <c r="N98" s="11" t="str">
        <f>IFERROR(IF(VLOOKUP($A98,#REF!,14,0)="","",VLOOKUP($A98,#REF!,14,0)),"")</f>
        <v/>
      </c>
      <c r="O98" s="11" t="str">
        <f>IFERROR(IF(VLOOKUP($A98,#REF!,15,0)="","",VLOOKUP($A98,#REF!,15,0)),"")</f>
        <v/>
      </c>
    </row>
    <row r="99" spans="1:15" ht="18" x14ac:dyDescent="0.3">
      <c r="A99" s="156" t="s">
        <v>7</v>
      </c>
      <c r="B99" s="242" t="s">
        <v>15</v>
      </c>
      <c r="C99" s="232"/>
      <c r="D99" s="161" t="s">
        <v>9</v>
      </c>
      <c r="E99" s="162" t="s">
        <v>10</v>
      </c>
      <c r="F99" s="162" t="s">
        <v>11</v>
      </c>
      <c r="G99" s="183" t="str">
        <f>IFERROR(IF(VLOOKUP($A99,#REF!,7,0)="","",VLOOKUP($A99,#REF!,7,0)),"")</f>
        <v/>
      </c>
      <c r="H99" s="163" t="str">
        <f>IFERROR(IF(VLOOKUP($A99,#REF!,8,0)="","",VLOOKUP($A99,#REF!,8,0)),"")</f>
        <v/>
      </c>
      <c r="I99" s="164" t="str">
        <f>IFERROR(IF(VLOOKUP($A99,#REF!,9,0)="","",VLOOKUP($A99,#REF!,9,0)),"")</f>
        <v/>
      </c>
      <c r="J99" s="164" t="str">
        <f>IFERROR(IF(VLOOKUP($A99,#REF!,10,0)="","",VLOOKUP($A99,#REF!,10,0)),"")</f>
        <v/>
      </c>
      <c r="K99" s="164" t="str">
        <f>IFERROR(IF(VLOOKUP($A99,#REF!,11,0)="","",VLOOKUP($A99,#REF!,11,0)),"")</f>
        <v/>
      </c>
      <c r="L99" s="164" t="str">
        <f>IFERROR(IF(VLOOKUP($A99,#REF!,12,0)="","",VLOOKUP($A99,#REF!,12,0)),"")</f>
        <v/>
      </c>
      <c r="M99" s="165" t="str">
        <f>IFERROR(IF(VLOOKUP($A99,#REF!,13,0)="","",VLOOKUP($A99,#REF!,13,0)),"")</f>
        <v/>
      </c>
      <c r="N99" s="166" t="str">
        <f>IFERROR(IF(VLOOKUP($A99,#REF!,14,0)="","",VLOOKUP($A99,#REF!,14,0)),"")</f>
        <v/>
      </c>
      <c r="O99" s="167" t="str">
        <f>IFERROR(IF(VLOOKUP($A99,#REF!,15,0)="","",VLOOKUP($A99,#REF!,15,0)),"")</f>
        <v/>
      </c>
    </row>
    <row r="100" spans="1:15" x14ac:dyDescent="0.3">
      <c r="A100" s="151" t="s">
        <v>190</v>
      </c>
      <c r="B100" s="225"/>
      <c r="C100" s="243"/>
      <c r="D100" s="168" t="str">
        <f>IFERROR(VLOOKUP($A100,Banco!$A:$D,7,0),"")</f>
        <v/>
      </c>
      <c r="E100" s="66" t="str">
        <f>IFERROR(VLOOKUP($A100,Banco!$A:$G,10,0),"-")</f>
        <v>-</v>
      </c>
      <c r="F100" s="67" t="str">
        <f>IFERROR(RIGHT(VLOOKUP($E100,Banco!$G:$I,3,0),24),"")</f>
        <v/>
      </c>
      <c r="G100" s="67" t="str">
        <f>IFERROR(IF(VLOOKUP($A100,#REF!,7,0)="","",VLOOKUP($A100,#REF!,7,0)),"")</f>
        <v/>
      </c>
      <c r="H100" s="158" t="str">
        <f>IFERROR(IF(VLOOKUP($A100,#REF!,8,0)="","",VLOOKUP($A100,#REF!,8,0)),"")</f>
        <v/>
      </c>
      <c r="I100" s="67" t="str">
        <f>IFERROR(IF(VLOOKUP($A100,#REF!,9,0)="","",VLOOKUP($A100,#REF!,9,0)),"")</f>
        <v/>
      </c>
      <c r="J100" s="67" t="str">
        <f>IFERROR(IF(VLOOKUP($A100,#REF!,10,0)="","",VLOOKUP($A100,#REF!,10,0)),"")</f>
        <v/>
      </c>
      <c r="K100" s="67" t="str">
        <f>IFERROR(IF(VLOOKUP($A100,#REF!,11,0)="","",VLOOKUP($A100,#REF!,11,0)),"")</f>
        <v/>
      </c>
      <c r="L100" s="67" t="str">
        <f>IFERROR(IF(VLOOKUP($A100,#REF!,12,0)="","",VLOOKUP($A100,#REF!,12,0)),"")</f>
        <v/>
      </c>
      <c r="M100" s="67" t="str">
        <f>IFERROR(IF(VLOOKUP($A100,#REF!,13,0)="","",VLOOKUP($A100,#REF!,13,0)),"")</f>
        <v/>
      </c>
      <c r="N100" s="66" t="str">
        <f>IFERROR(IF(VLOOKUP($A100,#REF!,14,0)="","",VLOOKUP($A100,#REF!,14,0)),"")</f>
        <v/>
      </c>
      <c r="O100" s="169" t="str">
        <f>IFERROR(IF(VLOOKUP($A100,#REF!,15,0)="","",VLOOKUP($A100,#REF!,15,0)),"")</f>
        <v/>
      </c>
    </row>
    <row r="101" spans="1:15" x14ac:dyDescent="0.3">
      <c r="A101" s="151" t="s">
        <v>191</v>
      </c>
      <c r="B101" s="225"/>
      <c r="C101" s="243"/>
      <c r="D101" s="168" t="str">
        <f>IFERROR(VLOOKUP($A101,Banco!$A:$D,7,0),"")</f>
        <v/>
      </c>
      <c r="E101" s="66" t="str">
        <f>IFERROR(VLOOKUP($A101,Banco!$A:$G,10,0),"-")</f>
        <v>-</v>
      </c>
      <c r="F101" s="67" t="str">
        <f>IFERROR(RIGHT(VLOOKUP($E101,Banco!$G:$I,3,0),24),"")</f>
        <v/>
      </c>
      <c r="G101" s="67" t="str">
        <f>IFERROR(IF(VLOOKUP($A101,#REF!,7,0)="","",VLOOKUP($A101,#REF!,7,0)),"")</f>
        <v/>
      </c>
      <c r="H101" s="158" t="str">
        <f>IFERROR(IF(VLOOKUP($A101,#REF!,8,0)="","",VLOOKUP($A101,#REF!,8,0)),"")</f>
        <v/>
      </c>
      <c r="I101" s="67" t="str">
        <f>IFERROR(IF(VLOOKUP($A101,#REF!,9,0)="","",VLOOKUP($A101,#REF!,9,0)),"")</f>
        <v/>
      </c>
      <c r="J101" s="67" t="str">
        <f>IFERROR(IF(VLOOKUP($A101,#REF!,10,0)="","",VLOOKUP($A101,#REF!,10,0)),"")</f>
        <v/>
      </c>
      <c r="K101" s="67" t="str">
        <f>IFERROR(IF(VLOOKUP($A101,#REF!,11,0)="","",VLOOKUP($A101,#REF!,11,0)),"")</f>
        <v/>
      </c>
      <c r="L101" s="67" t="str">
        <f>IFERROR(IF(VLOOKUP($A101,#REF!,12,0)="","",VLOOKUP($A101,#REF!,12,0)),"")</f>
        <v/>
      </c>
      <c r="M101" s="67" t="str">
        <f>IFERROR(IF(VLOOKUP($A101,#REF!,13,0)="","",VLOOKUP($A101,#REF!,13,0)),"")</f>
        <v/>
      </c>
      <c r="N101" s="66" t="str">
        <f>IFERROR(IF(VLOOKUP($A101,#REF!,14,0)="","",VLOOKUP($A101,#REF!,14,0)),"")</f>
        <v/>
      </c>
      <c r="O101" s="169" t="str">
        <f>IFERROR(IF(VLOOKUP($A101,#REF!,15,0)="","",VLOOKUP($A101,#REF!,15,0)),"")</f>
        <v/>
      </c>
    </row>
    <row r="102" spans="1:15" x14ac:dyDescent="0.3">
      <c r="A102" s="151" t="s">
        <v>192</v>
      </c>
      <c r="B102" s="225"/>
      <c r="C102" s="243"/>
      <c r="D102" s="168" t="str">
        <f>IFERROR(VLOOKUP($A102,Banco!$A:$D,7,0),"")</f>
        <v/>
      </c>
      <c r="E102" s="66" t="str">
        <f>IFERROR(VLOOKUP($A102,Banco!$A:$G,10,0),"-")</f>
        <v>-</v>
      </c>
      <c r="F102" s="67" t="str">
        <f>IFERROR(RIGHT(VLOOKUP($E102,Banco!$G:$I,3,0),24),"")</f>
        <v/>
      </c>
      <c r="G102" s="67" t="str">
        <f>IFERROR(IF(VLOOKUP($A102,#REF!,7,0)="","",VLOOKUP($A102,#REF!,7,0)),"")</f>
        <v/>
      </c>
      <c r="H102" s="158" t="str">
        <f>IFERROR(IF(VLOOKUP($A102,#REF!,8,0)="","",VLOOKUP($A102,#REF!,8,0)),"")</f>
        <v/>
      </c>
      <c r="I102" s="67" t="str">
        <f>IFERROR(IF(VLOOKUP($A102,#REF!,9,0)="","",VLOOKUP($A102,#REF!,9,0)),"")</f>
        <v/>
      </c>
      <c r="J102" s="67" t="str">
        <f>IFERROR(IF(VLOOKUP($A102,#REF!,10,0)="","",VLOOKUP($A102,#REF!,10,0)),"")</f>
        <v/>
      </c>
      <c r="K102" s="67" t="str">
        <f>IFERROR(IF(VLOOKUP($A102,#REF!,11,0)="","",VLOOKUP($A102,#REF!,11,0)),"")</f>
        <v/>
      </c>
      <c r="L102" s="67" t="str">
        <f>IFERROR(IF(VLOOKUP($A102,#REF!,12,0)="","",VLOOKUP($A102,#REF!,12,0)),"")</f>
        <v/>
      </c>
      <c r="M102" s="67" t="str">
        <f>IFERROR(IF(VLOOKUP($A102,#REF!,13,0)="","",VLOOKUP($A102,#REF!,13,0)),"")</f>
        <v/>
      </c>
      <c r="N102" s="66" t="str">
        <f>IFERROR(IF(VLOOKUP($A102,#REF!,14,0)="","",VLOOKUP($A102,#REF!,14,0)),"")</f>
        <v/>
      </c>
      <c r="O102" s="169" t="str">
        <f>IFERROR(IF(VLOOKUP($A102,#REF!,15,0)="","",VLOOKUP($A102,#REF!,15,0)),"")</f>
        <v/>
      </c>
    </row>
    <row r="103" spans="1:15" s="10" customFormat="1" x14ac:dyDescent="0.3">
      <c r="A103" s="151" t="s">
        <v>193</v>
      </c>
      <c r="B103" s="244"/>
      <c r="C103" s="234"/>
      <c r="D103" s="168" t="str">
        <f>IFERROR(VLOOKUP($A103,Banco!$A:$D,7,0),"")</f>
        <v/>
      </c>
      <c r="E103" s="66" t="str">
        <f>IFERROR(VLOOKUP($A103,Banco!$A:$G,10,0),"-")</f>
        <v>-</v>
      </c>
      <c r="F103" s="67" t="str">
        <f>IFERROR(RIGHT(VLOOKUP($E103,Banco!$G:$I,3,0),24),"")</f>
        <v/>
      </c>
      <c r="G103" s="67" t="str">
        <f>IFERROR(IF(VLOOKUP($A103,#REF!,7,0)="","",VLOOKUP($A103,#REF!,7,0)),"")</f>
        <v/>
      </c>
      <c r="H103" s="158" t="str">
        <f>IFERROR(IF(VLOOKUP($A103,#REF!,8,0)="","",VLOOKUP($A103,#REF!,8,0)),"")</f>
        <v/>
      </c>
      <c r="I103" s="67" t="str">
        <f>IFERROR(IF(VLOOKUP($A103,#REF!,9,0)="","",VLOOKUP($A103,#REF!,9,0)),"")</f>
        <v/>
      </c>
      <c r="J103" s="67" t="str">
        <f>IFERROR(IF(VLOOKUP($A103,#REF!,10,0)="","",VLOOKUP($A103,#REF!,10,0)),"")</f>
        <v/>
      </c>
      <c r="K103" s="67" t="str">
        <f>IFERROR(IF(VLOOKUP($A103,#REF!,11,0)="","",VLOOKUP($A103,#REF!,11,0)),"")</f>
        <v/>
      </c>
      <c r="L103" s="67" t="str">
        <f>IFERROR(IF(VLOOKUP($A103,#REF!,12,0)="","",VLOOKUP($A103,#REF!,12,0)),"")</f>
        <v/>
      </c>
      <c r="M103" s="67" t="str">
        <f>IFERROR(IF(VLOOKUP($A103,#REF!,13,0)="","",VLOOKUP($A103,#REF!,13,0)),"")</f>
        <v/>
      </c>
      <c r="N103" s="66" t="str">
        <f>IFERROR(IF(VLOOKUP($A103,#REF!,14,0)="","",VLOOKUP($A103,#REF!,14,0)),"")</f>
        <v/>
      </c>
      <c r="O103" s="169" t="str">
        <f>IFERROR(IF(VLOOKUP($A103,#REF!,15,0)="","",VLOOKUP($A103,#REF!,15,0)),"")</f>
        <v/>
      </c>
    </row>
    <row r="104" spans="1:15" s="10" customFormat="1" x14ac:dyDescent="0.3">
      <c r="A104" s="151" t="s">
        <v>194</v>
      </c>
      <c r="B104" s="70" t="s">
        <v>12</v>
      </c>
      <c r="C104" s="69">
        <f>'PLJ30'!J15</f>
        <v>4</v>
      </c>
      <c r="D104" s="168" t="str">
        <f>IFERROR(VLOOKUP($A104,Banco!$A:$D,7,0),"")</f>
        <v/>
      </c>
      <c r="E104" s="66" t="str">
        <f>IFERROR(VLOOKUP($A104,Banco!$A:$G,10,0),"-")</f>
        <v>-</v>
      </c>
      <c r="F104" s="67" t="str">
        <f>IFERROR(RIGHT(VLOOKUP($E104,Banco!$G:$I,3,0),24),"")</f>
        <v/>
      </c>
      <c r="G104" s="67" t="str">
        <f>IFERROR(IF(VLOOKUP($A104,#REF!,7,0)="","",VLOOKUP($A104,#REF!,7,0)),"")</f>
        <v/>
      </c>
      <c r="H104" s="158" t="str">
        <f>IFERROR(IF(VLOOKUP($A104,#REF!,8,0)="","",VLOOKUP($A104,#REF!,8,0)),"")</f>
        <v/>
      </c>
      <c r="I104" s="67" t="str">
        <f>IFERROR(IF(VLOOKUP($A104,#REF!,9,0)="","",VLOOKUP($A104,#REF!,9,0)),"")</f>
        <v/>
      </c>
      <c r="J104" s="67" t="str">
        <f>IFERROR(IF(VLOOKUP($A104,#REF!,10,0)="","",VLOOKUP($A104,#REF!,10,0)),"")</f>
        <v/>
      </c>
      <c r="K104" s="67" t="str">
        <f>IFERROR(IF(VLOOKUP($A104,#REF!,11,0)="","",VLOOKUP($A104,#REF!,11,0)),"")</f>
        <v/>
      </c>
      <c r="L104" s="67" t="str">
        <f>IFERROR(IF(VLOOKUP($A104,#REF!,12,0)="","",VLOOKUP($A104,#REF!,12,0)),"")</f>
        <v/>
      </c>
      <c r="M104" s="67" t="str">
        <f>IFERROR(IF(VLOOKUP($A104,#REF!,13,0)="","",VLOOKUP($A104,#REF!,13,0)),"")</f>
        <v/>
      </c>
      <c r="N104" s="66" t="str">
        <f>IFERROR(IF(VLOOKUP($A104,#REF!,14,0)="","",VLOOKUP($A104,#REF!,14,0)),"")</f>
        <v/>
      </c>
      <c r="O104" s="169" t="str">
        <f>IFERROR(IF(VLOOKUP($A104,#REF!,15,0)="","",VLOOKUP($A104,#REF!,15,0)),"")</f>
        <v/>
      </c>
    </row>
    <row r="105" spans="1:15" s="11" customFormat="1" ht="15" thickBot="1" x14ac:dyDescent="0.35">
      <c r="A105" s="151"/>
      <c r="B105" s="239" t="s">
        <v>13</v>
      </c>
      <c r="C105" s="240"/>
      <c r="D105" s="241"/>
      <c r="E105" s="160">
        <f>COUNTIFS(E100:E104,"&lt;&gt;-")-COUNTIFS(D100:D104,"Afastamento")-COUNTIFS(D100:D104,"Demitido")</f>
        <v>0</v>
      </c>
      <c r="F105" s="68">
        <f>E105-C104</f>
        <v>-4</v>
      </c>
      <c r="G105" s="12" t="str">
        <f>IFERROR(IF(VLOOKUP($A105,#REF!,7,0)="","",VLOOKUP($A105,#REF!,7,0)),"")</f>
        <v/>
      </c>
      <c r="H105" s="11" t="str">
        <f>IFERROR(IF(VLOOKUP($A105,#REF!,8,0)="","",VLOOKUP($A105,#REF!,8,0)),"")</f>
        <v/>
      </c>
      <c r="I105" s="11" t="str">
        <f>IFERROR(IF(VLOOKUP($A105,#REF!,9,0)="","",VLOOKUP($A105,#REF!,9,0)),"")</f>
        <v/>
      </c>
      <c r="J105" s="11" t="str">
        <f>IFERROR(IF(VLOOKUP($A105,#REF!,10,0)="","",VLOOKUP($A105,#REF!,10,0)),"")</f>
        <v/>
      </c>
      <c r="K105" s="11" t="str">
        <f>IFERROR(IF(VLOOKUP($A105,#REF!,11,0)="","",VLOOKUP($A105,#REF!,11,0)),"")</f>
        <v/>
      </c>
      <c r="L105" t="str">
        <f>IFERROR(IF(VLOOKUP($A105,#REF!,12,0)="","",VLOOKUP($A105,#REF!,12,0)),"")</f>
        <v/>
      </c>
      <c r="M105" s="11" t="str">
        <f>IFERROR(IF(VLOOKUP($A105,#REF!,13,0)="","",VLOOKUP($A105,#REF!,13,0)),"")</f>
        <v/>
      </c>
      <c r="N105" s="11" t="str">
        <f>IFERROR(IF(VLOOKUP($A105,#REF!,14,0)="","",VLOOKUP($A105,#REF!,14,0)),"")</f>
        <v/>
      </c>
      <c r="O105" s="11" t="str">
        <f>IFERROR(IF(VLOOKUP($A105,#REF!,15,0)="","",VLOOKUP($A105,#REF!,15,0)),"")</f>
        <v/>
      </c>
    </row>
    <row r="106" spans="1:15" ht="15" thickBot="1" x14ac:dyDescent="0.35">
      <c r="G106" t="str">
        <f>IFERROR(IF(VLOOKUP($A106,#REF!,7,0)="","",VLOOKUP($A106,#REF!,7,0)),"")</f>
        <v/>
      </c>
      <c r="H106" t="str">
        <f>IFERROR(IF(VLOOKUP($A106,#REF!,8,0)="","",VLOOKUP($A106,#REF!,8,0)),"")</f>
        <v/>
      </c>
      <c r="I106" t="str">
        <f>IFERROR(IF(VLOOKUP($A106,#REF!,9,0)="","",VLOOKUP($A106,#REF!,9,0)),"")</f>
        <v/>
      </c>
      <c r="J106" t="str">
        <f>IFERROR(IF(VLOOKUP($A106,#REF!,10,0)="","",VLOOKUP($A106,#REF!,10,0)),"")</f>
        <v/>
      </c>
      <c r="K106" t="str">
        <f>IFERROR(IF(VLOOKUP($A106,#REF!,11,0)="","",VLOOKUP($A106,#REF!,11,0)),"")</f>
        <v/>
      </c>
      <c r="L106" t="str">
        <f>IFERROR(IF(VLOOKUP($A106,#REF!,12,0)="","",VLOOKUP($A106,#REF!,12,0)),"")</f>
        <v/>
      </c>
      <c r="M106" t="str">
        <f>IFERROR(IF(VLOOKUP($A106,#REF!,13,0)="","",VLOOKUP($A106,#REF!,13,0)),"")</f>
        <v/>
      </c>
      <c r="N106" t="str">
        <f>IFERROR(IF(VLOOKUP($A106,#REF!,14,0)="","",VLOOKUP($A106,#REF!,14,0)),"")</f>
        <v/>
      </c>
      <c r="O106" t="str">
        <f>IFERROR(IF(VLOOKUP($A106,#REF!,15,0)="","",VLOOKUP($A106,#REF!,15,0)),"")</f>
        <v/>
      </c>
    </row>
    <row r="107" spans="1:15" ht="18" x14ac:dyDescent="0.3">
      <c r="A107" s="156" t="s">
        <v>7</v>
      </c>
      <c r="B107" s="231" t="s">
        <v>195</v>
      </c>
      <c r="C107" s="235"/>
      <c r="D107" s="161" t="s">
        <v>9</v>
      </c>
      <c r="E107" s="162" t="s">
        <v>10</v>
      </c>
      <c r="F107" s="162" t="s">
        <v>11</v>
      </c>
      <c r="G107" s="183" t="str">
        <f>IFERROR(IF(VLOOKUP($A107,#REF!,7,0)="","",VLOOKUP($A107,#REF!,7,0)),"")</f>
        <v/>
      </c>
      <c r="H107" s="163" t="str">
        <f>IFERROR(IF(VLOOKUP($A107,#REF!,8,0)="","",VLOOKUP($A107,#REF!,8,0)),"")</f>
        <v/>
      </c>
      <c r="I107" s="164" t="str">
        <f>IFERROR(IF(VLOOKUP($A107,#REF!,9,0)="","",VLOOKUP($A107,#REF!,9,0)),"")</f>
        <v/>
      </c>
      <c r="J107" s="164" t="str">
        <f>IFERROR(IF(VLOOKUP($A107,#REF!,10,0)="","",VLOOKUP($A107,#REF!,10,0)),"")</f>
        <v/>
      </c>
      <c r="K107" s="164" t="str">
        <f>IFERROR(IF(VLOOKUP($A107,#REF!,11,0)="","",VLOOKUP($A107,#REF!,11,0)),"")</f>
        <v/>
      </c>
      <c r="L107" s="164" t="str">
        <f>IFERROR(IF(VLOOKUP($A107,#REF!,12,0)="","",VLOOKUP($A107,#REF!,12,0)),"")</f>
        <v/>
      </c>
      <c r="M107" s="165" t="str">
        <f>IFERROR(IF(VLOOKUP($A107,#REF!,13,0)="","",VLOOKUP($A107,#REF!,13,0)),"")</f>
        <v/>
      </c>
      <c r="N107" s="166" t="str">
        <f>IFERROR(IF(VLOOKUP($A107,#REF!,14,0)="","",VLOOKUP($A107,#REF!,14,0)),"")</f>
        <v/>
      </c>
      <c r="O107" s="167" t="str">
        <f>IFERROR(IF(VLOOKUP($A107,#REF!,15,0)="","",VLOOKUP($A107,#REF!,15,0)),"")</f>
        <v/>
      </c>
    </row>
    <row r="108" spans="1:15" x14ac:dyDescent="0.3">
      <c r="A108" s="154" t="s">
        <v>196</v>
      </c>
      <c r="B108" s="236"/>
      <c r="C108" s="237"/>
      <c r="D108" s="168" t="str">
        <f>IFERROR(VLOOKUP($A108,Banco!$A:$D,7,0),"")</f>
        <v/>
      </c>
      <c r="E108" s="66" t="str">
        <f>IFERROR(VLOOKUP($A108,Banco!$A:$G,10,0),"-")</f>
        <v>-</v>
      </c>
      <c r="F108" s="67" t="str">
        <f>IFERROR(RIGHT(VLOOKUP($E108,Banco!$G:$I,3,0),24),"")</f>
        <v/>
      </c>
      <c r="G108" s="67" t="str">
        <f>IFERROR(IF(VLOOKUP($A108,#REF!,7,0)="","",VLOOKUP($A108,#REF!,7,0)),"")</f>
        <v/>
      </c>
      <c r="H108" s="158" t="str">
        <f>IFERROR(IF(VLOOKUP($A108,#REF!,8,0)="","",VLOOKUP($A108,#REF!,8,0)),"")</f>
        <v/>
      </c>
      <c r="I108" s="67" t="str">
        <f>IFERROR(IF(VLOOKUP($A108,#REF!,9,0)="","",VLOOKUP($A108,#REF!,9,0)),"")</f>
        <v/>
      </c>
      <c r="J108" s="67" t="str">
        <f>IFERROR(IF(VLOOKUP($A108,#REF!,10,0)="","",VLOOKUP($A108,#REF!,10,0)),"")</f>
        <v/>
      </c>
      <c r="K108" s="67" t="str">
        <f>IFERROR(IF(VLOOKUP($A108,#REF!,11,0)="","",VLOOKUP($A108,#REF!,11,0)),"")</f>
        <v/>
      </c>
      <c r="L108" s="67" t="str">
        <f>IFERROR(IF(VLOOKUP($A108,#REF!,12,0)="","",VLOOKUP($A108,#REF!,12,0)),"")</f>
        <v/>
      </c>
      <c r="M108" s="67" t="str">
        <f>IFERROR(IF(VLOOKUP($A108,#REF!,13,0)="","",VLOOKUP($A108,#REF!,13,0)),"")</f>
        <v/>
      </c>
      <c r="N108" s="66" t="str">
        <f>IFERROR(IF(VLOOKUP($A108,#REF!,14,0)="","",VLOOKUP($A108,#REF!,14,0)),"")</f>
        <v/>
      </c>
      <c r="O108" s="169" t="str">
        <f>IFERROR(IF(VLOOKUP($A108,#REF!,15,0)="","",VLOOKUP($A108,#REF!,15,0)),"")</f>
        <v/>
      </c>
    </row>
    <row r="109" spans="1:15" x14ac:dyDescent="0.3">
      <c r="A109" s="154" t="s">
        <v>197</v>
      </c>
      <c r="B109" s="236"/>
      <c r="C109" s="237"/>
      <c r="D109" s="168" t="str">
        <f>IFERROR(VLOOKUP($A109,Banco!$A:$D,7,0),"")</f>
        <v/>
      </c>
      <c r="E109" s="66" t="str">
        <f>IFERROR(VLOOKUP($A109,Banco!$A:$G,10,0),"-")</f>
        <v>-</v>
      </c>
      <c r="F109" s="67" t="str">
        <f>IFERROR(RIGHT(VLOOKUP($E109,Banco!$G:$I,3,0),24),"")</f>
        <v/>
      </c>
      <c r="G109" s="67" t="str">
        <f>IFERROR(IF(VLOOKUP($A109,#REF!,7,0)="","",VLOOKUP($A109,#REF!,7,0)),"")</f>
        <v/>
      </c>
      <c r="H109" s="158" t="str">
        <f>IFERROR(IF(VLOOKUP($A109,#REF!,8,0)="","",VLOOKUP($A109,#REF!,8,0)),"")</f>
        <v/>
      </c>
      <c r="I109" s="67" t="str">
        <f>IFERROR(IF(VLOOKUP($A109,#REF!,9,0)="","",VLOOKUP($A109,#REF!,9,0)),"")</f>
        <v/>
      </c>
      <c r="J109" s="67" t="str">
        <f>IFERROR(IF(VLOOKUP($A109,#REF!,10,0)="","",VLOOKUP($A109,#REF!,10,0)),"")</f>
        <v/>
      </c>
      <c r="K109" s="67" t="str">
        <f>IFERROR(IF(VLOOKUP($A109,#REF!,11,0)="","",VLOOKUP($A109,#REF!,11,0)),"")</f>
        <v/>
      </c>
      <c r="L109" s="67" t="str">
        <f>IFERROR(IF(VLOOKUP($A109,#REF!,12,0)="","",VLOOKUP($A109,#REF!,12,0)),"")</f>
        <v/>
      </c>
      <c r="M109" s="67" t="str">
        <f>IFERROR(IF(VLOOKUP($A109,#REF!,13,0)="","",VLOOKUP($A109,#REF!,13,0)),"")</f>
        <v/>
      </c>
      <c r="N109" s="66" t="str">
        <f>IFERROR(IF(VLOOKUP($A109,#REF!,14,0)="","",VLOOKUP($A109,#REF!,14,0)),"")</f>
        <v/>
      </c>
      <c r="O109" s="169" t="str">
        <f>IFERROR(IF(VLOOKUP($A109,#REF!,15,0)="","",VLOOKUP($A109,#REF!,15,0)),"")</f>
        <v/>
      </c>
    </row>
    <row r="110" spans="1:15" x14ac:dyDescent="0.3">
      <c r="A110" s="154" t="s">
        <v>198</v>
      </c>
      <c r="B110" s="233"/>
      <c r="C110" s="238"/>
      <c r="D110" s="168" t="str">
        <f>IFERROR(VLOOKUP($A110,Banco!$A:$D,7,0),"")</f>
        <v/>
      </c>
      <c r="E110" s="66" t="str">
        <f>IFERROR(VLOOKUP($A110,Banco!$A:$G,10,0),"-")</f>
        <v>-</v>
      </c>
      <c r="F110" s="67" t="str">
        <f>IFERROR(RIGHT(VLOOKUP($E110,Banco!$G:$I,3,0),24),"")</f>
        <v/>
      </c>
      <c r="G110" s="67" t="str">
        <f>IFERROR(IF(VLOOKUP($A110,#REF!,7,0)="","",VLOOKUP($A110,#REF!,7,0)),"")</f>
        <v/>
      </c>
      <c r="H110" s="158" t="str">
        <f>IFERROR(IF(VLOOKUP($A110,#REF!,8,0)="","",VLOOKUP($A110,#REF!,8,0)),"")</f>
        <v/>
      </c>
      <c r="I110" s="67" t="str">
        <f>IFERROR(IF(VLOOKUP($A110,#REF!,9,0)="","",VLOOKUP($A110,#REF!,9,0)),"")</f>
        <v/>
      </c>
      <c r="J110" s="67" t="str">
        <f>IFERROR(IF(VLOOKUP($A110,#REF!,10,0)="","",VLOOKUP($A110,#REF!,10,0)),"")</f>
        <v/>
      </c>
      <c r="K110" s="67" t="str">
        <f>IFERROR(IF(VLOOKUP($A110,#REF!,11,0)="","",VLOOKUP($A110,#REF!,11,0)),"")</f>
        <v/>
      </c>
      <c r="L110" s="67" t="str">
        <f>IFERROR(IF(VLOOKUP($A110,#REF!,12,0)="","",VLOOKUP($A110,#REF!,12,0)),"")</f>
        <v/>
      </c>
      <c r="M110" s="67" t="str">
        <f>IFERROR(IF(VLOOKUP($A110,#REF!,13,0)="","",VLOOKUP($A110,#REF!,13,0)),"")</f>
        <v/>
      </c>
      <c r="N110" s="66" t="str">
        <f>IFERROR(IF(VLOOKUP($A110,#REF!,14,0)="","",VLOOKUP($A110,#REF!,14,0)),"")</f>
        <v/>
      </c>
      <c r="O110" s="169" t="str">
        <f>IFERROR(IF(VLOOKUP($A110,#REF!,15,0)="","",VLOOKUP($A110,#REF!,15,0)),"")</f>
        <v/>
      </c>
    </row>
    <row r="111" spans="1:15" x14ac:dyDescent="0.3">
      <c r="A111" s="154" t="s">
        <v>199</v>
      </c>
      <c r="B111" s="70" t="s">
        <v>12</v>
      </c>
      <c r="C111" s="69">
        <f>'PLJ30'!L15</f>
        <v>1</v>
      </c>
      <c r="D111" s="168" t="str">
        <f>IFERROR(VLOOKUP($A111,Banco!$A:$D,7,0),"")</f>
        <v/>
      </c>
      <c r="E111" s="66" t="str">
        <f>IFERROR(VLOOKUP($A111,Banco!$A:$G,10,0),"-")</f>
        <v>-</v>
      </c>
      <c r="F111" s="67" t="str">
        <f>IFERROR(RIGHT(VLOOKUP($E111,Banco!$G:$I,3,0),24),"")</f>
        <v/>
      </c>
      <c r="G111" s="67" t="str">
        <f>IFERROR(IF(VLOOKUP($A111,#REF!,7,0)="","",VLOOKUP($A111,#REF!,7,0)),"")</f>
        <v/>
      </c>
      <c r="H111" s="158" t="str">
        <f>IFERROR(IF(VLOOKUP($A111,#REF!,8,0)="","",VLOOKUP($A111,#REF!,8,0)),"")</f>
        <v/>
      </c>
      <c r="I111" s="67" t="str">
        <f>IFERROR(IF(VLOOKUP($A111,#REF!,9,0)="","",VLOOKUP($A111,#REF!,9,0)),"")</f>
        <v/>
      </c>
      <c r="J111" s="67" t="str">
        <f>IFERROR(IF(VLOOKUP($A111,#REF!,10,0)="","",VLOOKUP($A111,#REF!,10,0)),"")</f>
        <v/>
      </c>
      <c r="K111" s="67" t="str">
        <f>IFERROR(IF(VLOOKUP($A111,#REF!,11,0)="","",VLOOKUP($A111,#REF!,11,0)),"")</f>
        <v/>
      </c>
      <c r="L111" s="67" t="str">
        <f>IFERROR(IF(VLOOKUP($A111,#REF!,12,0)="","",VLOOKUP($A111,#REF!,12,0)),"")</f>
        <v/>
      </c>
      <c r="M111" s="67" t="str">
        <f>IFERROR(IF(VLOOKUP($A111,#REF!,13,0)="","",VLOOKUP($A111,#REF!,13,0)),"")</f>
        <v/>
      </c>
      <c r="N111" s="66" t="str">
        <f>IFERROR(IF(VLOOKUP($A111,#REF!,14,0)="","",VLOOKUP($A111,#REF!,14,0)),"")</f>
        <v/>
      </c>
      <c r="O111" s="169" t="str">
        <f>IFERROR(IF(VLOOKUP($A111,#REF!,15,0)="","",VLOOKUP($A111,#REF!,15,0)),"")</f>
        <v/>
      </c>
    </row>
    <row r="112" spans="1:15" ht="15" thickBot="1" x14ac:dyDescent="0.35">
      <c r="A112" s="154"/>
      <c r="B112" s="239" t="s">
        <v>13</v>
      </c>
      <c r="C112" s="240"/>
      <c r="D112" s="241"/>
      <c r="E112" s="160">
        <f>COUNTIFS(E108:E110,"&lt;&gt;-")-COUNTIFS(D108:D110,"Afastamento")-COUNTIFS(D108:D110,"Demitido")</f>
        <v>0</v>
      </c>
      <c r="F112" s="68">
        <f>E112-C110</f>
        <v>0</v>
      </c>
      <c r="G112" s="12" t="str">
        <f>IFERROR(IF(VLOOKUP($A112,#REF!,7,0)="","",VLOOKUP($A112,#REF!,7,0)),"")</f>
        <v/>
      </c>
      <c r="H112" t="str">
        <f>IFERROR(IF(VLOOKUP($A112,#REF!,8,0)="","",VLOOKUP($A112,#REF!,8,0)),"")</f>
        <v/>
      </c>
      <c r="I112" t="str">
        <f>IFERROR(IF(VLOOKUP($A112,#REF!,9,0)="","",VLOOKUP($A112,#REF!,9,0)),"")</f>
        <v/>
      </c>
      <c r="J112" t="str">
        <f>IFERROR(IF(VLOOKUP($A112,#REF!,10,0)="","",VLOOKUP($A112,#REF!,10,0)),"")</f>
        <v/>
      </c>
      <c r="K112" t="str">
        <f>IFERROR(IF(VLOOKUP($A112,#REF!,11,0)="","",VLOOKUP($A112,#REF!,11,0)),"")</f>
        <v/>
      </c>
      <c r="L112" t="str">
        <f>IFERROR(IF(VLOOKUP($A112,#REF!,12,0)="","",VLOOKUP($A112,#REF!,12,0)),"")</f>
        <v/>
      </c>
      <c r="M112" t="str">
        <f>IFERROR(IF(VLOOKUP($A112,#REF!,13,0)="","",VLOOKUP($A112,#REF!,13,0)),"")</f>
        <v/>
      </c>
      <c r="N112" t="str">
        <f>IFERROR(IF(VLOOKUP($A112,#REF!,14,0)="","",VLOOKUP($A112,#REF!,14,0)),"")</f>
        <v/>
      </c>
      <c r="O112" t="str">
        <f>IFERROR(IF(VLOOKUP($A112,#REF!,15,0)="","",VLOOKUP($A112,#REF!,15,0)),"")</f>
        <v/>
      </c>
    </row>
  </sheetData>
  <autoFilter ref="A9:P112" xr:uid="{0E1853DB-65EB-4139-AE21-29C1E8577F79}">
    <filterColumn colId="1" showButton="0"/>
  </autoFilter>
  <mergeCells count="19">
    <mergeCell ref="B112:D112"/>
    <mergeCell ref="B99:C103"/>
    <mergeCell ref="B97:D97"/>
    <mergeCell ref="D8:F8"/>
    <mergeCell ref="H8:L8"/>
    <mergeCell ref="B55:D55"/>
    <mergeCell ref="B50:C53"/>
    <mergeCell ref="B107:C110"/>
    <mergeCell ref="B105:D105"/>
    <mergeCell ref="B18:D18"/>
    <mergeCell ref="B20:C36"/>
    <mergeCell ref="B38:D38"/>
    <mergeCell ref="B40:C46"/>
    <mergeCell ref="B48:D48"/>
    <mergeCell ref="M8:O8"/>
    <mergeCell ref="B13:D13"/>
    <mergeCell ref="B15:C16"/>
    <mergeCell ref="B9:C11"/>
    <mergeCell ref="B57:C95"/>
  </mergeCells>
  <conditionalFormatting sqref="C6">
    <cfRule type="cellIs" dxfId="33" priority="84" operator="notEqual">
      <formula>$B$6</formula>
    </cfRule>
  </conditionalFormatting>
  <conditionalFormatting sqref="D1:D12 D14:D17 D19:D37 D39:D47 D49:D54 D56:D96 D98:D104 D106:D111 D113:D1048576">
    <cfRule type="cellIs" dxfId="32" priority="67" operator="equal">
      <formula>"Demitido"</formula>
    </cfRule>
    <cfRule type="cellIs" dxfId="31" priority="68" operator="equal">
      <formula>"Afastamento"</formula>
    </cfRule>
  </conditionalFormatting>
  <conditionalFormatting sqref="D1:D1048576">
    <cfRule type="cellIs" dxfId="30" priority="11" operator="equal">
      <formula>"Férias"</formula>
    </cfRule>
    <cfRule type="cellIs" dxfId="29" priority="12" operator="equal">
      <formula>"Ativos"</formula>
    </cfRule>
  </conditionalFormatting>
  <conditionalFormatting sqref="D5:D7">
    <cfRule type="cellIs" dxfId="28" priority="85" operator="lessThan">
      <formula>0</formula>
    </cfRule>
  </conditionalFormatting>
  <conditionalFormatting sqref="E13">
    <cfRule type="cellIs" dxfId="27" priority="298" operator="notEqual">
      <formula>C11</formula>
    </cfRule>
  </conditionalFormatting>
  <conditionalFormatting sqref="E18 E38 E48">
    <cfRule type="cellIs" dxfId="26" priority="86" operator="notEqual">
      <formula>C17</formula>
    </cfRule>
  </conditionalFormatting>
  <conditionalFormatting sqref="E55">
    <cfRule type="cellIs" dxfId="25" priority="37" operator="notEqual">
      <formula>C53</formula>
    </cfRule>
  </conditionalFormatting>
  <conditionalFormatting sqref="E97">
    <cfRule type="cellIs" dxfId="24" priority="299" operator="notEqual">
      <formula>C92</formula>
    </cfRule>
  </conditionalFormatting>
  <conditionalFormatting sqref="E105">
    <cfRule type="cellIs" dxfId="23" priority="33" operator="notEqual">
      <formula>C104</formula>
    </cfRule>
  </conditionalFormatting>
  <conditionalFormatting sqref="E112">
    <cfRule type="cellIs" dxfId="22" priority="2" operator="notEqual">
      <formula>C110</formula>
    </cfRule>
  </conditionalFormatting>
  <conditionalFormatting sqref="F13 F18 F38 F48 F55 F97 F105">
    <cfRule type="cellIs" dxfId="21" priority="81" operator="greaterThan">
      <formula>0</formula>
    </cfRule>
    <cfRule type="cellIs" dxfId="20" priority="82" operator="lessThan">
      <formula>0</formula>
    </cfRule>
    <cfRule type="cellIs" dxfId="19" priority="83" operator="equal">
      <formula>0</formula>
    </cfRule>
  </conditionalFormatting>
  <conditionalFormatting sqref="F112">
    <cfRule type="cellIs" dxfId="18" priority="4" operator="greaterThan">
      <formula>0</formula>
    </cfRule>
    <cfRule type="cellIs" dxfId="17" priority="5" operator="lessThan">
      <formula>0</formula>
    </cfRule>
    <cfRule type="cellIs" dxfId="16" priority="6" operator="equal">
      <formula>0</formula>
    </cfRule>
  </conditionalFormatting>
  <conditionalFormatting sqref="F10:O12 F16:O17 F21:O37 F41:O47 F51:O54 F58:O96">
    <cfRule type="cellIs" dxfId="15" priority="10" operator="equal">
      <formula>"x"</formula>
    </cfRule>
  </conditionalFormatting>
  <conditionalFormatting sqref="F100:O104">
    <cfRule type="cellIs" dxfId="14" priority="7" operator="equal">
      <formula>"x"</formula>
    </cfRule>
  </conditionalFormatting>
  <conditionalFormatting sqref="F108:O111">
    <cfRule type="cellIs" dxfId="13" priority="1" operator="equal">
      <formula>"x"</formula>
    </cfRule>
  </conditionalFormatting>
  <conditionalFormatting sqref="M8">
    <cfRule type="cellIs" dxfId="12" priority="76" operator="notEqual">
      <formula>M7</formula>
    </cfRule>
  </conditionalFormatting>
  <conditionalFormatting sqref="N9:O9">
    <cfRule type="cellIs" dxfId="11" priority="77" operator="equal">
      <formula>"-"</formula>
    </cfRule>
  </conditionalFormatting>
  <conditionalFormatting sqref="N15:O15">
    <cfRule type="cellIs" dxfId="10" priority="75" operator="equal">
      <formula>"-"</formula>
    </cfRule>
  </conditionalFormatting>
  <conditionalFormatting sqref="N20:O20">
    <cfRule type="cellIs" dxfId="9" priority="72" operator="equal">
      <formula>"-"</formula>
    </cfRule>
  </conditionalFormatting>
  <conditionalFormatting sqref="N40:O40">
    <cfRule type="cellIs" dxfId="8" priority="71" operator="equal">
      <formula>"-"</formula>
    </cfRule>
  </conditionalFormatting>
  <conditionalFormatting sqref="N50:O50">
    <cfRule type="cellIs" dxfId="7" priority="70" operator="equal">
      <formula>"-"</formula>
    </cfRule>
  </conditionalFormatting>
  <conditionalFormatting sqref="N57:O57">
    <cfRule type="cellIs" dxfId="6" priority="69" operator="equal">
      <formula>"-"</formula>
    </cfRule>
  </conditionalFormatting>
  <conditionalFormatting sqref="N99:O99">
    <cfRule type="cellIs" dxfId="5" priority="61" operator="equal">
      <formula>"-"</formula>
    </cfRule>
  </conditionalFormatting>
  <conditionalFormatting sqref="N107:O107">
    <cfRule type="cellIs" dxfId="4" priority="3" operator="equal">
      <formula>"-"</formula>
    </cfRule>
  </conditionalFormatting>
  <pageMargins left="0.39370078740157483" right="0.39370078740157483" top="0.39370078740157483" bottom="0.39370078740157483" header="0.31496062992125984" footer="0.31496062992125984"/>
  <pageSetup paperSize="9" scale="4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27BBEEB-199F-4C08-8CE7-1BE20500DFD0}">
          <x14:formula1>
            <xm:f>Conf!$D$38:$D$50</xm:f>
          </x14:formula1>
          <xm:sqref>M100:M104 M16:M17 M41:M47 M51:M54 M21:M37 M10:M12 M108:M111 M58:M96</xm:sqref>
        </x14:dataValidation>
        <x14:dataValidation type="list" allowBlank="1" showInputMessage="1" showErrorMessage="1" xr:uid="{5B01BB6E-DDA5-40FC-A83E-DCE350BCC5E8}">
          <x14:formula1>
            <xm:f>Conf!$D$7:$D$9</xm:f>
          </x14:formula1>
          <xm:sqref>K16:K17 K41:K47 K51:K54 K100:K104 K21:K37 K10:K12 K108:K111 K58:K96</xm:sqref>
        </x14:dataValidation>
        <x14:dataValidation type="list" allowBlank="1" showInputMessage="1" showErrorMessage="1" xr:uid="{32DC866F-85DB-4F28-A57E-ED84E1F3E3D9}">
          <x14:formula1>
            <xm:f>Conf!#REF!</xm:f>
          </x14:formula1>
          <xm:sqref>L16:L17 L58:L96 L108:L111 L10:L12 L100:L104 L51:L54 L21:L37 L41:L47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35E4-D5D9-46F1-A9BB-5631EF0D1EC9}">
  <sheetPr>
    <tabColor theme="5" tint="-0.499984740745262"/>
    <pageSetUpPr fitToPage="1"/>
  </sheetPr>
  <dimension ref="A1:Z41"/>
  <sheetViews>
    <sheetView showGridLines="0" zoomScale="70" zoomScaleNormal="70" workbookViewId="0"/>
  </sheetViews>
  <sheetFormatPr defaultColWidth="0" defaultRowHeight="14.4" customHeight="1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66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6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7"/>
      <c r="C3" s="196" t="s">
        <v>200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8"/>
      <c r="T3" s="31"/>
      <c r="U3" s="197">
        <v>2025</v>
      </c>
      <c r="V3" s="198"/>
      <c r="X3" s="190" t="s">
        <v>24</v>
      </c>
      <c r="Y3" s="191"/>
    </row>
    <row r="4" spans="2:25" ht="16.2" thickBot="1" x14ac:dyDescent="0.35">
      <c r="B4" s="98"/>
      <c r="C4" s="36"/>
      <c r="D4" s="1"/>
      <c r="E4" s="36"/>
      <c r="F4" s="132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25</v>
      </c>
      <c r="V4" s="20">
        <f>'Hist LJ08'!B20</f>
        <v>3219511.350000002</v>
      </c>
      <c r="X4" s="23" t="s">
        <v>26</v>
      </c>
      <c r="Y4" s="20">
        <f>SUMIFS('Hist LJ08'!$N:$N,'Hist LJ08'!$P:$P,"Açougue")</f>
        <v>5763222.339999998</v>
      </c>
    </row>
    <row r="5" spans="2:25" ht="27.6" x14ac:dyDescent="0.3">
      <c r="B5" s="98"/>
      <c r="C5" s="16" t="s">
        <v>27</v>
      </c>
      <c r="D5" s="93"/>
      <c r="E5" s="16" t="s">
        <v>28</v>
      </c>
      <c r="F5" s="132"/>
      <c r="H5" s="203" t="s">
        <v>29</v>
      </c>
      <c r="I5" s="204"/>
      <c r="J5" s="204"/>
      <c r="K5" s="204"/>
      <c r="L5" s="204"/>
      <c r="M5" s="204"/>
      <c r="N5" s="205"/>
      <c r="O5" s="2"/>
      <c r="P5" s="224" t="s">
        <v>30</v>
      </c>
      <c r="Q5" s="225"/>
      <c r="R5" s="225"/>
      <c r="S5" s="18"/>
      <c r="U5" s="17" t="s">
        <v>31</v>
      </c>
      <c r="V5" s="20">
        <f>'Hist LJ08'!C20</f>
        <v>3101720.290000001</v>
      </c>
      <c r="X5" s="23" t="s">
        <v>32</v>
      </c>
      <c r="Y5" s="20">
        <f>Y4/12</f>
        <v>480268.52833333315</v>
      </c>
    </row>
    <row r="6" spans="2:25" ht="14.4" customHeight="1" x14ac:dyDescent="0.3">
      <c r="B6" s="98"/>
      <c r="C6" s="37">
        <f>V16</f>
        <v>40395066.50000006</v>
      </c>
      <c r="D6" s="93"/>
      <c r="E6" s="37">
        <v>43000</v>
      </c>
      <c r="F6" s="132"/>
      <c r="H6" s="206"/>
      <c r="I6" s="207"/>
      <c r="J6" s="207"/>
      <c r="K6" s="207"/>
      <c r="L6" s="207"/>
      <c r="M6" s="207"/>
      <c r="N6" s="208"/>
      <c r="O6" s="2"/>
      <c r="P6" s="224"/>
      <c r="Q6" s="225"/>
      <c r="R6" s="225"/>
      <c r="S6" s="18"/>
      <c r="U6" s="17" t="s">
        <v>33</v>
      </c>
      <c r="V6" s="20">
        <f>'Hist LJ08'!D20</f>
        <v>3370344.0800000075</v>
      </c>
      <c r="X6" s="23" t="s">
        <v>34</v>
      </c>
      <c r="Y6" s="20" t="e">
        <f>Y5/H35</f>
        <v>#DIV/0!</v>
      </c>
    </row>
    <row r="7" spans="2:25" ht="16.2" thickBot="1" x14ac:dyDescent="0.35">
      <c r="B7" s="98"/>
      <c r="C7" s="92"/>
      <c r="D7" s="93"/>
      <c r="E7" s="92"/>
      <c r="F7" s="132"/>
      <c r="H7" s="209">
        <v>2</v>
      </c>
      <c r="I7" s="210"/>
      <c r="J7" s="210"/>
      <c r="K7" s="210"/>
      <c r="L7" s="210"/>
      <c r="M7" s="210"/>
      <c r="N7" s="211"/>
      <c r="O7" s="2"/>
      <c r="P7" s="2"/>
      <c r="R7" s="2"/>
      <c r="S7" s="18"/>
      <c r="U7" s="17" t="s">
        <v>35</v>
      </c>
      <c r="V7" s="20">
        <f>'Hist LJ08'!E20</f>
        <v>3379026.7800000054</v>
      </c>
      <c r="X7" s="25" t="s">
        <v>36</v>
      </c>
      <c r="Y7" s="26">
        <v>75000</v>
      </c>
    </row>
    <row r="8" spans="2:25" ht="16.2" thickBot="1" x14ac:dyDescent="0.35">
      <c r="B8" s="98"/>
      <c r="C8" s="16" t="s">
        <v>37</v>
      </c>
      <c r="D8" s="93"/>
      <c r="E8" s="16" t="s">
        <v>38</v>
      </c>
      <c r="F8" s="132"/>
      <c r="L8" s="2"/>
      <c r="O8" s="2"/>
      <c r="P8" s="110" t="s">
        <v>39</v>
      </c>
      <c r="R8" s="113" t="s">
        <v>40</v>
      </c>
      <c r="S8" s="18"/>
      <c r="U8" s="17" t="s">
        <v>41</v>
      </c>
      <c r="V8" s="20">
        <f>'Hist LJ08'!F20</f>
        <v>3349745.2200000025</v>
      </c>
      <c r="X8" s="4"/>
      <c r="Y8" s="14"/>
    </row>
    <row r="9" spans="2:25" ht="14.4" customHeight="1" x14ac:dyDescent="0.3">
      <c r="B9" s="98"/>
      <c r="C9" s="37">
        <f>C6/12</f>
        <v>3366255.5416666716</v>
      </c>
      <c r="D9" s="93"/>
      <c r="E9" s="38">
        <f>C9/E6</f>
        <v>78.285012596899335</v>
      </c>
      <c r="F9" s="132"/>
      <c r="H9" s="203" t="s">
        <v>116</v>
      </c>
      <c r="I9" s="204"/>
      <c r="J9" s="204"/>
      <c r="K9" s="204"/>
      <c r="L9" s="204"/>
      <c r="M9" s="204"/>
      <c r="N9" s="205"/>
      <c r="O9" s="2"/>
      <c r="P9" s="111" t="s">
        <v>43</v>
      </c>
      <c r="R9" s="114" t="s">
        <v>44</v>
      </c>
      <c r="S9" s="18"/>
      <c r="U9" s="17" t="s">
        <v>45</v>
      </c>
      <c r="V9" s="20">
        <f>'Hist LJ08'!G20</f>
        <v>3073145.9500000039</v>
      </c>
      <c r="X9" s="192" t="s">
        <v>46</v>
      </c>
      <c r="Y9" s="193"/>
    </row>
    <row r="10" spans="2:25" ht="14.4" customHeight="1" x14ac:dyDescent="0.3">
      <c r="B10" s="98"/>
      <c r="H10" s="206"/>
      <c r="I10" s="207"/>
      <c r="J10" s="207"/>
      <c r="K10" s="207"/>
      <c r="L10" s="207"/>
      <c r="M10" s="207"/>
      <c r="N10" s="208"/>
      <c r="O10" s="2"/>
      <c r="P10" s="2"/>
      <c r="R10" s="2"/>
      <c r="S10" s="18"/>
      <c r="U10" s="17" t="s">
        <v>47</v>
      </c>
      <c r="V10" s="20">
        <f>'Hist LJ08'!H20</f>
        <v>3277172.190000006</v>
      </c>
      <c r="X10" s="23" t="s">
        <v>26</v>
      </c>
      <c r="Y10" s="20">
        <f>SUMIFS('Hist LJ08'!$N:$N,'Hist LJ08'!$P:$P,"Hortifruti")</f>
        <v>4834607.6000000043</v>
      </c>
    </row>
    <row r="11" spans="2:25" ht="15" thickBot="1" x14ac:dyDescent="0.35">
      <c r="B11" s="98"/>
      <c r="H11" s="209">
        <v>1</v>
      </c>
      <c r="I11" s="210"/>
      <c r="J11" s="210"/>
      <c r="K11" s="210"/>
      <c r="L11" s="210"/>
      <c r="M11" s="210"/>
      <c r="N11" s="211"/>
      <c r="O11" s="2"/>
      <c r="P11" s="2"/>
      <c r="R11" s="2"/>
      <c r="S11" s="18"/>
      <c r="U11" s="17" t="s">
        <v>48</v>
      </c>
      <c r="V11" s="20">
        <f>'Hist LJ08'!I20</f>
        <v>3265256.8200000073</v>
      </c>
      <c r="X11" s="23" t="s">
        <v>32</v>
      </c>
      <c r="Y11" s="28">
        <f>Y10/12</f>
        <v>402883.96666666702</v>
      </c>
    </row>
    <row r="12" spans="2:25" x14ac:dyDescent="0.3">
      <c r="B12" s="98"/>
      <c r="D12" s="3"/>
      <c r="G12" s="3"/>
      <c r="I12" s="3"/>
      <c r="K12" s="3"/>
      <c r="M12" s="3"/>
      <c r="Q12" s="3"/>
      <c r="S12" s="18"/>
      <c r="U12" s="17" t="s">
        <v>49</v>
      </c>
      <c r="V12" s="20">
        <f>'Hist LJ08'!J20</f>
        <v>3058803.9700000077</v>
      </c>
      <c r="X12" s="23" t="s">
        <v>34</v>
      </c>
      <c r="Y12" s="28" t="e">
        <f>Y11/J35</f>
        <v>#DIV/0!</v>
      </c>
    </row>
    <row r="13" spans="2:25" ht="15" thickBot="1" x14ac:dyDescent="0.35">
      <c r="B13" s="98"/>
      <c r="D13" s="3"/>
      <c r="G13" s="3"/>
      <c r="I13" s="3"/>
      <c r="K13" s="3"/>
      <c r="M13" s="3"/>
      <c r="Q13" s="3"/>
      <c r="S13" s="18"/>
      <c r="U13" s="17" t="s">
        <v>59</v>
      </c>
      <c r="V13" s="20">
        <f>'Hist LJ08'!K20</f>
        <v>3373792.8500000034</v>
      </c>
      <c r="X13" s="25" t="s">
        <v>36</v>
      </c>
      <c r="Y13" s="29">
        <v>80000</v>
      </c>
    </row>
    <row r="14" spans="2:25" ht="15" thickBot="1" x14ac:dyDescent="0.35">
      <c r="B14" s="98"/>
      <c r="D14" s="3"/>
      <c r="G14" s="3"/>
      <c r="H14" s="16" t="s">
        <v>150</v>
      </c>
      <c r="I14" s="3"/>
      <c r="J14" s="16" t="s">
        <v>15</v>
      </c>
      <c r="K14" s="3"/>
      <c r="L14" s="16" t="s">
        <v>195</v>
      </c>
      <c r="M14" s="3"/>
      <c r="N14" s="16" t="s">
        <v>137</v>
      </c>
      <c r="Q14" s="3"/>
      <c r="S14" s="18"/>
      <c r="U14" s="17" t="s">
        <v>61</v>
      </c>
      <c r="V14" s="20">
        <f>'Hist LJ08'!L20</f>
        <v>3601251.9000000022</v>
      </c>
      <c r="X14" s="4"/>
      <c r="Y14" s="14"/>
    </row>
    <row r="15" spans="2:25" ht="15.6" x14ac:dyDescent="0.3">
      <c r="B15" s="98"/>
      <c r="D15" s="3"/>
      <c r="G15" s="3"/>
      <c r="H15" s="181">
        <v>30</v>
      </c>
      <c r="I15" s="3"/>
      <c r="J15" s="181">
        <v>4</v>
      </c>
      <c r="K15" s="3"/>
      <c r="L15" s="181">
        <v>1</v>
      </c>
      <c r="M15" s="3"/>
      <c r="N15" s="181">
        <v>4</v>
      </c>
      <c r="Q15" s="3"/>
      <c r="S15" s="18"/>
      <c r="U15" s="17" t="s">
        <v>62</v>
      </c>
      <c r="V15" s="20">
        <f>'Hist LJ08'!M20</f>
        <v>4325295.1000000108</v>
      </c>
      <c r="X15" s="192" t="s">
        <v>63</v>
      </c>
      <c r="Y15" s="193"/>
    </row>
    <row r="16" spans="2:25" ht="15.6" x14ac:dyDescent="0.3">
      <c r="B16" s="98"/>
      <c r="D16" s="3"/>
      <c r="G16" s="3"/>
      <c r="I16" s="3"/>
      <c r="K16" s="3"/>
      <c r="M16" s="3"/>
      <c r="Q16" s="3"/>
      <c r="S16" s="18"/>
      <c r="U16" s="32" t="s">
        <v>64</v>
      </c>
      <c r="V16" s="33">
        <f>'Hist LJ08'!N20</f>
        <v>40395066.50000006</v>
      </c>
      <c r="X16" s="23" t="s">
        <v>26</v>
      </c>
      <c r="Y16" s="20">
        <f>SUMIFS('Hist LJ08'!$N:$N,'Hist LJ08'!$P:$P,"Confeitaria")</f>
        <v>608704.16999999993</v>
      </c>
    </row>
    <row r="17" spans="2:25" x14ac:dyDescent="0.3">
      <c r="B17" s="98"/>
      <c r="G17" s="3"/>
      <c r="H17" s="16" t="s">
        <v>119</v>
      </c>
      <c r="I17" s="3"/>
      <c r="J17" s="16" t="s">
        <v>145</v>
      </c>
      <c r="K17" s="3"/>
      <c r="L17" s="16" t="s">
        <v>145</v>
      </c>
      <c r="M17" s="3"/>
      <c r="Q17" s="3"/>
      <c r="S17" s="18"/>
      <c r="U17" s="17" t="s">
        <v>73</v>
      </c>
      <c r="V17" s="20">
        <f>V16/12</f>
        <v>3366255.5416666716</v>
      </c>
      <c r="X17" s="23" t="s">
        <v>32</v>
      </c>
      <c r="Y17" s="28">
        <f>Y16/12</f>
        <v>50725.347499999996</v>
      </c>
    </row>
    <row r="18" spans="2:25" ht="16.2" thickBot="1" x14ac:dyDescent="0.35">
      <c r="B18" s="98"/>
      <c r="G18" s="3"/>
      <c r="H18" s="181">
        <v>15</v>
      </c>
      <c r="I18" s="3"/>
      <c r="J18" s="181">
        <v>3</v>
      </c>
      <c r="K18" s="3"/>
      <c r="L18" s="181">
        <v>3</v>
      </c>
      <c r="M18" s="3"/>
      <c r="Q18" s="3"/>
      <c r="S18" s="18"/>
      <c r="U18" s="21" t="s">
        <v>74</v>
      </c>
      <c r="V18" s="22">
        <f>V17/43000</f>
        <v>78.285012596899335</v>
      </c>
      <c r="X18" s="23" t="s">
        <v>34</v>
      </c>
      <c r="Y18" s="28" t="e">
        <f>Y17/O35</f>
        <v>#DIV/0!</v>
      </c>
    </row>
    <row r="19" spans="2:25" ht="15" thickBot="1" x14ac:dyDescent="0.35">
      <c r="B19" s="98"/>
      <c r="D19" s="3"/>
      <c r="G19" s="3"/>
      <c r="I19" s="3"/>
      <c r="K19" s="3"/>
      <c r="M19" s="3"/>
      <c r="Q19" s="3"/>
      <c r="S19" s="18"/>
      <c r="X19" s="25" t="s">
        <v>36</v>
      </c>
      <c r="Y19" s="29">
        <v>26000</v>
      </c>
    </row>
    <row r="20" spans="2:25" ht="15" thickBot="1" x14ac:dyDescent="0.35">
      <c r="B20" s="98"/>
      <c r="D20" s="3"/>
      <c r="G20" s="3"/>
      <c r="I20" s="3"/>
      <c r="K20" s="3"/>
      <c r="M20" s="3"/>
      <c r="Q20" s="3"/>
      <c r="S20" s="18"/>
    </row>
    <row r="21" spans="2:25" x14ac:dyDescent="0.3">
      <c r="B21" s="98"/>
      <c r="D21" s="3"/>
      <c r="G21" s="3"/>
      <c r="I21" s="3"/>
      <c r="K21" s="3"/>
      <c r="M21" s="3"/>
      <c r="Q21" s="3"/>
      <c r="S21" s="18"/>
      <c r="U21" s="194" t="s">
        <v>82</v>
      </c>
      <c r="V21" s="195"/>
      <c r="W21" s="27"/>
      <c r="X21" s="194" t="s">
        <v>83</v>
      </c>
      <c r="Y21" s="195"/>
    </row>
    <row r="22" spans="2:25" x14ac:dyDescent="0.3">
      <c r="B22" s="98"/>
      <c r="D22" s="3"/>
      <c r="G22" s="3"/>
      <c r="I22" s="3"/>
      <c r="K22" s="3"/>
      <c r="M22" s="3"/>
      <c r="Q22" s="3"/>
      <c r="S22" s="18"/>
      <c r="U22" s="23" t="s">
        <v>26</v>
      </c>
      <c r="V22" s="20">
        <f>SUMIFS('Hist LJ08'!$N:$N,'Hist LJ08'!$P:$P,"Frios")</f>
        <v>5713222.6300000083</v>
      </c>
      <c r="X22" s="23" t="s">
        <v>26</v>
      </c>
      <c r="Y22" s="20">
        <f>SUMIFS('Hist LJ08'!$N:$N,'Hist LJ08'!$P:$P,"Padaria")</f>
        <v>1850270.94</v>
      </c>
    </row>
    <row r="23" spans="2:25" x14ac:dyDescent="0.3">
      <c r="B23" s="98"/>
      <c r="D23" s="3"/>
      <c r="G23" s="3"/>
      <c r="I23" s="3"/>
      <c r="K23" s="3"/>
      <c r="M23" s="3"/>
      <c r="Q23" s="3"/>
      <c r="S23" s="18"/>
      <c r="U23" s="23" t="s">
        <v>32</v>
      </c>
      <c r="V23" s="20">
        <f>V22/12</f>
        <v>476101.885833334</v>
      </c>
      <c r="X23" s="23" t="s">
        <v>32</v>
      </c>
      <c r="Y23" s="20">
        <f>Y22/12</f>
        <v>154189.245</v>
      </c>
    </row>
    <row r="24" spans="2:25" x14ac:dyDescent="0.3">
      <c r="B24" s="98"/>
      <c r="D24" s="3"/>
      <c r="G24" s="3"/>
      <c r="I24" s="3"/>
      <c r="K24" s="3"/>
      <c r="M24" s="3"/>
      <c r="Q24" s="3"/>
      <c r="S24" s="18"/>
      <c r="U24" s="23" t="s">
        <v>34</v>
      </c>
      <c r="V24" s="20" t="e">
        <f>V23/L35</f>
        <v>#DIV/0!</v>
      </c>
      <c r="X24" s="23" t="s">
        <v>34</v>
      </c>
      <c r="Y24" s="20" t="e">
        <f>Y23/N35</f>
        <v>#DIV/0!</v>
      </c>
    </row>
    <row r="25" spans="2:25" ht="15" thickBot="1" x14ac:dyDescent="0.35">
      <c r="B25" s="98"/>
      <c r="D25" s="3"/>
      <c r="G25" s="3"/>
      <c r="I25" s="3"/>
      <c r="K25" s="3"/>
      <c r="M25" s="3"/>
      <c r="Q25" s="3"/>
      <c r="S25" s="18"/>
      <c r="U25" s="25" t="s">
        <v>36</v>
      </c>
      <c r="V25" s="26">
        <v>80000</v>
      </c>
      <c r="W25" s="27"/>
      <c r="X25" s="25" t="s">
        <v>36</v>
      </c>
      <c r="Y25" s="26">
        <v>16000</v>
      </c>
    </row>
    <row r="26" spans="2:25" ht="15" thickBot="1" x14ac:dyDescent="0.35">
      <c r="B26" s="98"/>
      <c r="D26" s="3"/>
      <c r="G26" s="3"/>
      <c r="I26" s="3"/>
      <c r="K26" s="3"/>
      <c r="M26" s="3"/>
      <c r="Q26" s="3"/>
      <c r="S26" s="18"/>
      <c r="V26" s="24"/>
    </row>
    <row r="27" spans="2:25" x14ac:dyDescent="0.3">
      <c r="B27" s="98"/>
      <c r="D27" s="3"/>
      <c r="G27" s="3"/>
      <c r="I27" s="3"/>
      <c r="K27" s="3"/>
      <c r="M27" s="3"/>
      <c r="Q27" s="3"/>
      <c r="S27" s="18"/>
      <c r="U27" s="194" t="s">
        <v>91</v>
      </c>
      <c r="V27" s="195"/>
      <c r="W27" s="27"/>
      <c r="X27" s="194" t="s">
        <v>92</v>
      </c>
      <c r="Y27" s="195"/>
    </row>
    <row r="28" spans="2:25" x14ac:dyDescent="0.3">
      <c r="B28" s="98"/>
      <c r="D28" s="3"/>
      <c r="G28" s="3"/>
      <c r="I28" s="3"/>
      <c r="K28" s="3"/>
      <c r="M28" s="3"/>
      <c r="Q28" s="3"/>
      <c r="S28" s="18"/>
      <c r="U28" s="23" t="s">
        <v>26</v>
      </c>
      <c r="V28" s="20">
        <f>SUMIFS('Hist LJ08'!$N:$N,'Hist LJ08'!$P:$P,"Loja")</f>
        <v>20800045.410000172</v>
      </c>
      <c r="X28" s="23" t="s">
        <v>26</v>
      </c>
      <c r="Y28" s="20">
        <f>SUMIFS('Hist LJ08'!$N:$N,'Hist LJ08'!$P:$P,"Rotisseria")</f>
        <v>824993.41</v>
      </c>
    </row>
    <row r="29" spans="2:25" x14ac:dyDescent="0.3">
      <c r="B29" s="98"/>
      <c r="D29" s="3"/>
      <c r="G29" s="3"/>
      <c r="I29" s="3"/>
      <c r="K29" s="3"/>
      <c r="M29" s="3"/>
      <c r="Q29" s="3"/>
      <c r="S29" s="18"/>
      <c r="U29" s="23" t="s">
        <v>32</v>
      </c>
      <c r="V29" s="20">
        <f>V28/12</f>
        <v>1733337.1175000144</v>
      </c>
      <c r="X29" s="23" t="s">
        <v>32</v>
      </c>
      <c r="Y29" s="20">
        <f>Y28/12</f>
        <v>68749.450833333336</v>
      </c>
    </row>
    <row r="30" spans="2:25" x14ac:dyDescent="0.3">
      <c r="B30" s="98"/>
      <c r="D30" s="3"/>
      <c r="G30" s="3"/>
      <c r="I30" s="3"/>
      <c r="K30" s="3"/>
      <c r="M30" s="3"/>
      <c r="Q30" s="3"/>
      <c r="S30" s="18"/>
      <c r="U30" s="23" t="s">
        <v>34</v>
      </c>
      <c r="V30" s="20" t="e">
        <f>V29/(E35+R35)</f>
        <v>#DIV/0!</v>
      </c>
      <c r="X30" s="23" t="s">
        <v>34</v>
      </c>
      <c r="Y30" s="20">
        <f>IFERROR(Y29/P35,0)</f>
        <v>0</v>
      </c>
    </row>
    <row r="31" spans="2:25" ht="15" thickBot="1" x14ac:dyDescent="0.35">
      <c r="B31" s="98"/>
      <c r="D31" s="3"/>
      <c r="G31" s="3"/>
      <c r="I31" s="3"/>
      <c r="K31" s="3"/>
      <c r="M31" s="3"/>
      <c r="Q31" s="3"/>
      <c r="S31" s="18"/>
      <c r="U31" s="25" t="s">
        <v>36</v>
      </c>
      <c r="V31" s="26">
        <v>160000</v>
      </c>
      <c r="W31" s="27"/>
      <c r="X31" s="25" t="s">
        <v>36</v>
      </c>
      <c r="Y31" s="26">
        <v>25000</v>
      </c>
    </row>
    <row r="32" spans="2:25" ht="15" thickBot="1" x14ac:dyDescent="0.35">
      <c r="B32" s="98"/>
      <c r="D32" s="3"/>
      <c r="G32" s="3"/>
      <c r="I32" s="3"/>
      <c r="K32" s="3"/>
      <c r="M32" s="3"/>
      <c r="Q32" s="3"/>
      <c r="S32" s="18"/>
      <c r="V32" s="2"/>
    </row>
    <row r="33" spans="2:26" x14ac:dyDescent="0.3">
      <c r="B33" s="98"/>
      <c r="D33" s="3"/>
      <c r="G33" s="3"/>
      <c r="I33" s="3"/>
      <c r="K33" s="3"/>
      <c r="M33" s="3"/>
      <c r="Q33" s="3"/>
      <c r="S33" s="18"/>
      <c r="U33" s="194" t="s">
        <v>96</v>
      </c>
      <c r="V33" s="195"/>
      <c r="X33" s="194" t="s">
        <v>97</v>
      </c>
      <c r="Y33" s="195"/>
    </row>
    <row r="34" spans="2:26" x14ac:dyDescent="0.3">
      <c r="B34" s="98"/>
      <c r="D34" s="3"/>
      <c r="G34" s="3"/>
      <c r="I34" s="3"/>
      <c r="K34" s="3"/>
      <c r="M34" s="3"/>
      <c r="Q34" s="3"/>
      <c r="S34" s="18"/>
      <c r="U34" s="23" t="s">
        <v>26</v>
      </c>
      <c r="V34" s="20">
        <f>SUMIFS('Hist LJ08'!$N:$N,'Hist LJ08'!$P:$P,"Loja")</f>
        <v>20800045.410000172</v>
      </c>
      <c r="X34" s="23" t="s">
        <v>26</v>
      </c>
      <c r="Y34" s="20">
        <f>Y28+Y22+Y16</f>
        <v>3283968.52</v>
      </c>
    </row>
    <row r="35" spans="2:26" x14ac:dyDescent="0.3">
      <c r="B35" s="98"/>
      <c r="D35" s="3"/>
      <c r="G35" s="3"/>
      <c r="I35" s="3"/>
      <c r="K35" s="3"/>
      <c r="M35" s="3"/>
      <c r="Q35" s="3"/>
      <c r="S35" s="18"/>
      <c r="U35" s="23" t="s">
        <v>32</v>
      </c>
      <c r="V35" s="20">
        <f>V34/12</f>
        <v>1733337.1175000144</v>
      </c>
      <c r="X35" s="23" t="s">
        <v>32</v>
      </c>
      <c r="Y35" s="20">
        <f>Y34/12</f>
        <v>273664.04333333333</v>
      </c>
    </row>
    <row r="36" spans="2:26" x14ac:dyDescent="0.3">
      <c r="B36" s="98"/>
      <c r="D36" s="3"/>
      <c r="G36" s="3"/>
      <c r="I36" s="3"/>
      <c r="K36" s="3"/>
      <c r="M36" s="3"/>
      <c r="Q36" s="3"/>
      <c r="S36" s="18"/>
      <c r="U36" s="23" t="s">
        <v>34</v>
      </c>
      <c r="V36" s="20" t="e">
        <f>V35/C35</f>
        <v>#DIV/0!</v>
      </c>
      <c r="X36" s="23" t="s">
        <v>34</v>
      </c>
      <c r="Y36" s="20" t="e">
        <f>Y35/SUM(N35:P35)</f>
        <v>#DIV/0!</v>
      </c>
    </row>
    <row r="37" spans="2:26" ht="11.4" customHeight="1" thickBot="1" x14ac:dyDescent="0.35">
      <c r="B37" s="98"/>
      <c r="D37" s="3"/>
      <c r="G37" s="3"/>
      <c r="I37" s="3"/>
      <c r="K37" s="3"/>
      <c r="M37" s="3"/>
      <c r="Q37" s="3"/>
      <c r="S37" s="18"/>
      <c r="U37" s="25" t="s">
        <v>36</v>
      </c>
      <c r="V37" s="26">
        <v>138000</v>
      </c>
      <c r="X37" s="25" t="s">
        <v>36</v>
      </c>
      <c r="Y37" s="26">
        <v>21000</v>
      </c>
      <c r="Z37" s="35"/>
    </row>
    <row r="38" spans="2:26" x14ac:dyDescent="0.3">
      <c r="B38" s="98"/>
      <c r="D38" s="3"/>
      <c r="G38" s="3"/>
      <c r="I38" s="3"/>
      <c r="K38" s="3"/>
      <c r="M38" s="3"/>
      <c r="Q38" s="3"/>
      <c r="S38" s="18"/>
    </row>
    <row r="39" spans="2:26" x14ac:dyDescent="0.3">
      <c r="B39" s="98"/>
      <c r="D39" s="3"/>
      <c r="G39" s="3"/>
      <c r="I39" s="3"/>
      <c r="K39" s="3"/>
      <c r="M39" s="3"/>
      <c r="Q39" s="3"/>
      <c r="S39" s="18"/>
      <c r="V39" s="14"/>
    </row>
    <row r="40" spans="2:26" ht="15" thickBot="1" x14ac:dyDescent="0.35">
      <c r="B40" s="100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16">
    <mergeCell ref="H9:N10"/>
    <mergeCell ref="X9:Y9"/>
    <mergeCell ref="H11:N11"/>
    <mergeCell ref="X15:Y15"/>
    <mergeCell ref="C3:R3"/>
    <mergeCell ref="U3:V3"/>
    <mergeCell ref="X3:Y3"/>
    <mergeCell ref="H5:N6"/>
    <mergeCell ref="P5:R6"/>
    <mergeCell ref="H7:N7"/>
    <mergeCell ref="U21:V21"/>
    <mergeCell ref="X21:Y21"/>
    <mergeCell ref="U27:V27"/>
    <mergeCell ref="X27:Y27"/>
    <mergeCell ref="U33:V33"/>
    <mergeCell ref="X33:Y33"/>
  </mergeCells>
  <conditionalFormatting sqref="O37:P39 N39 Q39:R39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DEDD-795F-4E3F-8995-BA51D7326249}">
  <sheetPr>
    <tabColor theme="7" tint="0.59999389629810485"/>
  </sheetPr>
  <dimension ref="A1:T943"/>
  <sheetViews>
    <sheetView tabSelected="1" zoomScaleNormal="100" workbookViewId="0"/>
  </sheetViews>
  <sheetFormatPr defaultColWidth="8.88671875" defaultRowHeight="14.4" x14ac:dyDescent="0.3"/>
  <cols>
    <col min="1" max="1" width="8.88671875" style="72" customWidth="1"/>
    <col min="2" max="2" width="16" style="72" customWidth="1"/>
    <col min="3" max="3" width="15.6640625" style="72" customWidth="1"/>
    <col min="4" max="4" width="13" style="72" customWidth="1"/>
    <col min="5" max="6" width="8.88671875" customWidth="1"/>
    <col min="7" max="7" width="42.21875" bestFit="1" customWidth="1"/>
    <col min="8" max="8" width="8" customWidth="1"/>
    <col min="9" max="9" width="12.109375" customWidth="1"/>
    <col min="10" max="10" width="7.5546875" customWidth="1"/>
    <col min="11" max="12" width="11" customWidth="1"/>
    <col min="13" max="13" width="10.5546875" customWidth="1"/>
    <col min="14" max="14" width="12" customWidth="1"/>
    <col min="15" max="16" width="2.88671875" customWidth="1"/>
    <col min="17" max="17" width="12" customWidth="1"/>
    <col min="18" max="18" width="17.109375" customWidth="1"/>
    <col min="19" max="19" width="60.33203125" customWidth="1"/>
    <col min="20" max="20" width="8.88671875" customWidth="1"/>
  </cols>
  <sheetData>
    <row r="1" spans="1:20" s="10" customFormat="1" x14ac:dyDescent="0.3">
      <c r="A1" s="150" t="s">
        <v>201</v>
      </c>
      <c r="B1" s="150" t="s">
        <v>202</v>
      </c>
      <c r="C1" s="150" t="s">
        <v>203</v>
      </c>
      <c r="D1" s="150" t="s">
        <v>204</v>
      </c>
      <c r="E1" s="155" t="s">
        <v>205</v>
      </c>
      <c r="F1" s="155" t="s">
        <v>206</v>
      </c>
      <c r="G1" s="155" t="s">
        <v>207</v>
      </c>
      <c r="H1" s="155" t="s">
        <v>208</v>
      </c>
      <c r="I1" s="155" t="s">
        <v>209</v>
      </c>
      <c r="J1" s="155" t="s">
        <v>204</v>
      </c>
      <c r="K1" s="155" t="s">
        <v>210</v>
      </c>
      <c r="L1" s="155" t="s">
        <v>211</v>
      </c>
      <c r="M1" s="155" t="s">
        <v>212</v>
      </c>
      <c r="N1" s="155" t="s">
        <v>213</v>
      </c>
      <c r="O1" s="155" t="s">
        <v>214</v>
      </c>
      <c r="P1" s="155" t="s">
        <v>215</v>
      </c>
      <c r="Q1" s="155" t="s">
        <v>216</v>
      </c>
      <c r="R1" s="155" t="s">
        <v>217</v>
      </c>
      <c r="S1" s="10" t="s">
        <v>218</v>
      </c>
      <c r="T1" s="10" t="s">
        <v>219</v>
      </c>
    </row>
    <row r="2" spans="1:20" x14ac:dyDescent="0.3">
      <c r="A2" s="72">
        <f>IFERROR(VLOOKUP($G2,Conf!$B:$C,2,0),E2)</f>
        <v>1</v>
      </c>
      <c r="B2" s="72" t="str">
        <f ca="1">IF(D2="Inativo","Inativo",IFERROR(VLOOKUP($G2,Conf!$O:$Q,2,0),VLOOKUP($S2,Conf!$K:$M,2,0)))</f>
        <v>AÇOUGUE</v>
      </c>
      <c r="C2" s="72" t="str">
        <f ca="1">IF(D2="Inativo","Inativo",IFERROR(VLOOKUP($G2,Conf!$O:$Q,3,0),IFERROR(VLOOKUP($G2,Conf!$E:$F,2,0),VLOOKUP($S2,Conf!$K:$M,3,0))))</f>
        <v>AÇOUGUEIRO</v>
      </c>
      <c r="D2" s="72" t="str">
        <f ca="1">IFERROR(IF(TODAY()-K2&gt;365,"Inativo",IF(J2=2,"Férias",IF(J2=7,"Demitido","Afastamento"))),VLOOKUP(J2,Conf!$H:$I,2,0))</f>
        <v>Ativos</v>
      </c>
      <c r="E2" s="187">
        <v>1</v>
      </c>
      <c r="F2" s="187">
        <v>1800</v>
      </c>
      <c r="G2" t="s">
        <v>1335</v>
      </c>
      <c r="H2" s="71"/>
      <c r="I2" t="s">
        <v>222</v>
      </c>
      <c r="J2" s="187">
        <v>1</v>
      </c>
      <c r="K2" t="s">
        <v>1385</v>
      </c>
      <c r="L2" s="185"/>
      <c r="M2" s="188">
        <v>44629</v>
      </c>
      <c r="N2" s="71"/>
      <c r="O2" s="71"/>
      <c r="P2" s="71"/>
      <c r="Q2" s="71"/>
      <c r="R2" s="71"/>
      <c r="S2" t="s">
        <v>223</v>
      </c>
      <c r="T2" s="71"/>
    </row>
    <row r="3" spans="1:20" x14ac:dyDescent="0.3">
      <c r="A3" s="72">
        <f>IFERROR(VLOOKUP($G3,Conf!$B:$C,2,0),E3)</f>
        <v>1</v>
      </c>
      <c r="B3" s="72" t="str">
        <f ca="1">IF(D3="Inativo","Inativo",IFERROR(VLOOKUP($G3,Conf!$O:$Q,2,0),VLOOKUP($S3,Conf!$K:$M,2,0)))</f>
        <v>AÇOUGUE</v>
      </c>
      <c r="C3" s="72" t="str">
        <f ca="1">IF(D3="Inativo","Inativo",IFERROR(VLOOKUP($G3,Conf!$O:$Q,3,0),IFERROR(VLOOKUP($G3,Conf!$E:$F,2,0),VLOOKUP($S3,Conf!$K:$M,3,0))))</f>
        <v>AÇOUGUEIRO</v>
      </c>
      <c r="D3" s="72" t="str">
        <f ca="1">IFERROR(IF(TODAY()-K3&gt;365,"Inativo",IF(J3=2,"Férias",IF(J3=7,"Demitido","Afastamento"))),VLOOKUP(J3,Conf!$H:$I,2,0))</f>
        <v>Férias</v>
      </c>
      <c r="E3" s="187">
        <v>1</v>
      </c>
      <c r="F3" s="187">
        <v>1649</v>
      </c>
      <c r="G3" t="s">
        <v>224</v>
      </c>
      <c r="H3" s="71"/>
      <c r="I3" t="s">
        <v>225</v>
      </c>
      <c r="J3" s="187">
        <v>2</v>
      </c>
      <c r="K3" t="s">
        <v>1629</v>
      </c>
      <c r="L3" s="185"/>
      <c r="M3" s="188">
        <v>44186</v>
      </c>
      <c r="N3" s="71"/>
      <c r="O3" s="71"/>
      <c r="P3" s="71"/>
      <c r="Q3" s="71"/>
      <c r="R3" s="71"/>
      <c r="S3" t="s">
        <v>223</v>
      </c>
      <c r="T3" s="71"/>
    </row>
    <row r="4" spans="1:20" x14ac:dyDescent="0.3">
      <c r="A4" s="72">
        <f>IFERROR(VLOOKUP($G4,Conf!$B:$C,2,0),E4)</f>
        <v>1</v>
      </c>
      <c r="B4" s="72" t="str">
        <f ca="1">IF(D4="Inativo","Inativo",IFERROR(VLOOKUP($G4,Conf!$O:$Q,2,0),VLOOKUP($S4,Conf!$K:$M,2,0)))</f>
        <v>AÇOUGUE</v>
      </c>
      <c r="C4" s="72" t="str">
        <f ca="1">IF(D4="Inativo","Inativo",IFERROR(VLOOKUP($G4,Conf!$O:$Q,3,0),IFERROR(VLOOKUP($G4,Conf!$E:$F,2,0),VLOOKUP($S4,Conf!$K:$M,3,0))))</f>
        <v>AÇOUGUEIRO</v>
      </c>
      <c r="D4" s="72" t="str">
        <f ca="1">IFERROR(IF(TODAY()-K4&gt;365,"Inativo",IF(J4=2,"Férias",IF(J4=7,"Demitido","Afastamento"))),VLOOKUP(J4,Conf!$H:$I,2,0))</f>
        <v>Ativos</v>
      </c>
      <c r="E4" s="187">
        <v>1</v>
      </c>
      <c r="F4" s="187">
        <v>58</v>
      </c>
      <c r="G4" t="s">
        <v>1644</v>
      </c>
      <c r="H4" s="71"/>
      <c r="I4" t="s">
        <v>220</v>
      </c>
      <c r="J4" s="187">
        <v>1</v>
      </c>
      <c r="K4" t="s">
        <v>1385</v>
      </c>
      <c r="L4" s="185"/>
      <c r="M4" s="188">
        <v>46303</v>
      </c>
      <c r="N4" s="71"/>
      <c r="O4" s="71"/>
      <c r="P4" s="71"/>
      <c r="Q4" s="71"/>
      <c r="R4" s="71"/>
      <c r="S4" t="s">
        <v>221</v>
      </c>
      <c r="T4" s="71"/>
    </row>
    <row r="5" spans="1:20" x14ac:dyDescent="0.3">
      <c r="A5" s="72">
        <f>IFERROR(VLOOKUP($G5,Conf!$B:$C,2,0),E5)</f>
        <v>1</v>
      </c>
      <c r="B5" s="72" t="str">
        <f ca="1">IF(D5="Inativo","Inativo",IFERROR(VLOOKUP($G5,Conf!$O:$Q,2,0),VLOOKUP($S5,Conf!$K:$M,2,0)))</f>
        <v>AÇOUGUE</v>
      </c>
      <c r="C5" s="72" t="str">
        <f ca="1">IF(D5="Inativo","Inativo",IFERROR(VLOOKUP($G5,Conf!$O:$Q,3,0),IFERROR(VLOOKUP($G5,Conf!$E:$F,2,0),VLOOKUP($S5,Conf!$K:$M,3,0))))</f>
        <v>AÇOUGUEIRO</v>
      </c>
      <c r="D5" s="72" t="str">
        <f ca="1">IFERROR(IF(TODAY()-K5&gt;365,"Inativo",IF(J5=2,"Férias",IF(J5=7,"Demitido","Afastamento"))),VLOOKUP(J5,Conf!$H:$I,2,0))</f>
        <v>Demitido</v>
      </c>
      <c r="E5" s="187">
        <v>1</v>
      </c>
      <c r="F5" s="187">
        <v>127</v>
      </c>
      <c r="G5" t="s">
        <v>226</v>
      </c>
      <c r="H5" s="71"/>
      <c r="I5" t="s">
        <v>222</v>
      </c>
      <c r="J5" s="187">
        <v>7</v>
      </c>
      <c r="K5" t="s">
        <v>1629</v>
      </c>
      <c r="L5" s="185"/>
      <c r="M5" s="188">
        <v>45511</v>
      </c>
      <c r="N5" s="71"/>
      <c r="O5" s="71"/>
      <c r="P5" s="71"/>
      <c r="Q5" s="71"/>
      <c r="R5" s="71"/>
      <c r="S5" t="s">
        <v>221</v>
      </c>
      <c r="T5" s="71"/>
    </row>
    <row r="6" spans="1:20" x14ac:dyDescent="0.3">
      <c r="A6" s="72">
        <f>IFERROR(VLOOKUP($G6,Conf!$B:$C,2,0),E6)</f>
        <v>1</v>
      </c>
      <c r="B6" s="72" t="str">
        <f ca="1">IF(D6="Inativo","Inativo",IFERROR(VLOOKUP($G6,Conf!$O:$Q,2,0),VLOOKUP($S6,Conf!$K:$M,2,0)))</f>
        <v>AÇOUGUE</v>
      </c>
      <c r="C6" s="72" t="str">
        <f ca="1">IF(D6="Inativo","Inativo",IFERROR(VLOOKUP($G6,Conf!$O:$Q,3,0),IFERROR(VLOOKUP($G6,Conf!$E:$F,2,0),VLOOKUP($S6,Conf!$K:$M,3,0))))</f>
        <v>AÇOUGUEIRO</v>
      </c>
      <c r="D6" s="72" t="str">
        <f ca="1">IFERROR(IF(TODAY()-K6&gt;365,"Inativo",IF(J6=2,"Férias",IF(J6=7,"Demitido","Afastamento"))),VLOOKUP(J6,Conf!$H:$I,2,0))</f>
        <v>Ativos</v>
      </c>
      <c r="E6" s="187">
        <v>1</v>
      </c>
      <c r="F6" s="187">
        <v>187</v>
      </c>
      <c r="G6" t="s">
        <v>227</v>
      </c>
      <c r="H6" s="71"/>
      <c r="I6" t="s">
        <v>225</v>
      </c>
      <c r="J6" s="187">
        <v>1</v>
      </c>
      <c r="K6" t="s">
        <v>1385</v>
      </c>
      <c r="L6" s="185"/>
      <c r="M6" s="188">
        <v>39412</v>
      </c>
      <c r="N6" s="71"/>
      <c r="Q6" s="71"/>
      <c r="R6" s="71"/>
      <c r="S6" t="s">
        <v>223</v>
      </c>
      <c r="T6" s="71"/>
    </row>
    <row r="7" spans="1:20" x14ac:dyDescent="0.3">
      <c r="A7" s="72">
        <f>IFERROR(VLOOKUP($G7,Conf!$B:$C,2,0),E7)</f>
        <v>1</v>
      </c>
      <c r="B7" s="72" t="str">
        <f ca="1">IF(D7="Inativo","Inativo",IFERROR(VLOOKUP($G7,Conf!$O:$Q,2,0),VLOOKUP($S7,Conf!$K:$M,2,0)))</f>
        <v>AÇOUGUE</v>
      </c>
      <c r="C7" s="72" t="str">
        <f ca="1">IF(D7="Inativo","Inativo",IFERROR(VLOOKUP($G7,Conf!$O:$Q,3,0),IFERROR(VLOOKUP($G7,Conf!$E:$F,2,0),VLOOKUP($S7,Conf!$K:$M,3,0))))</f>
        <v>AÇOUGUEIRO</v>
      </c>
      <c r="D7" s="72" t="str">
        <f ca="1">IFERROR(IF(TODAY()-K7&gt;365,"Inativo",IF(J7=2,"Férias",IF(J7=7,"Demitido","Afastamento"))),VLOOKUP(J7,Conf!$H:$I,2,0))</f>
        <v>Ativos</v>
      </c>
      <c r="E7" s="187">
        <v>1</v>
      </c>
      <c r="F7" s="187">
        <v>23</v>
      </c>
      <c r="G7" t="s">
        <v>1318</v>
      </c>
      <c r="H7" s="71"/>
      <c r="I7" t="s">
        <v>220</v>
      </c>
      <c r="J7" s="187">
        <v>1</v>
      </c>
      <c r="K7" t="s">
        <v>1385</v>
      </c>
      <c r="L7" s="185"/>
      <c r="M7" s="188">
        <v>46178</v>
      </c>
      <c r="N7" s="71"/>
      <c r="Q7" s="71"/>
      <c r="R7" s="71"/>
      <c r="S7" t="s">
        <v>221</v>
      </c>
      <c r="T7" s="71"/>
    </row>
    <row r="8" spans="1:20" x14ac:dyDescent="0.3">
      <c r="A8" s="72">
        <f>IFERROR(VLOOKUP($G8,Conf!$B:$C,2,0),E8)</f>
        <v>1</v>
      </c>
      <c r="B8" s="72" t="str">
        <f ca="1">IF(D8="Inativo","Inativo",IFERROR(VLOOKUP($G8,Conf!$O:$Q,2,0),VLOOKUP($S8,Conf!$K:$M,2,0)))</f>
        <v>AÇOUGUE</v>
      </c>
      <c r="C8" s="72" t="str">
        <f ca="1">IF(D8="Inativo","Inativo",IFERROR(VLOOKUP($G8,Conf!$O:$Q,3,0),IFERROR(VLOOKUP($G8,Conf!$E:$F,2,0),VLOOKUP($S8,Conf!$K:$M,3,0))))</f>
        <v>BALCONISTA</v>
      </c>
      <c r="D8" s="72" t="str">
        <f ca="1">IFERROR(IF(TODAY()-K8&gt;365,"Inativo",IF(J8=2,"Férias",IF(J8=7,"Demitido","Afastamento"))),VLOOKUP(J8,Conf!$H:$I,2,0))</f>
        <v>Demitido</v>
      </c>
      <c r="E8" s="187">
        <v>1</v>
      </c>
      <c r="F8" s="187">
        <v>46</v>
      </c>
      <c r="G8" t="s">
        <v>1544</v>
      </c>
      <c r="H8" s="71"/>
      <c r="I8" t="s">
        <v>220</v>
      </c>
      <c r="J8" s="187">
        <v>7</v>
      </c>
      <c r="K8" t="s">
        <v>1658</v>
      </c>
      <c r="L8" s="185"/>
      <c r="M8" s="188">
        <v>46274</v>
      </c>
      <c r="N8" s="71"/>
      <c r="Q8" s="71"/>
      <c r="R8" s="71"/>
      <c r="S8" t="s">
        <v>1248</v>
      </c>
      <c r="T8" s="71"/>
    </row>
    <row r="9" spans="1:20" x14ac:dyDescent="0.3">
      <c r="A9" s="72">
        <f>IFERROR(VLOOKUP($G9,Conf!$B:$C,2,0),E9)</f>
        <v>1</v>
      </c>
      <c r="B9" s="72" t="str">
        <f ca="1">IF(D9="Inativo","Inativo",IFERROR(VLOOKUP($G9,Conf!$O:$Q,2,0),VLOOKUP($S9,Conf!$K:$M,2,0)))</f>
        <v>AÇOUGUE</v>
      </c>
      <c r="C9" s="72" t="str">
        <f ca="1">IF(D9="Inativo","Inativo",IFERROR(VLOOKUP($G9,Conf!$O:$Q,3,0),IFERROR(VLOOKUP($G9,Conf!$E:$F,2,0),VLOOKUP($S9,Conf!$K:$M,3,0))))</f>
        <v>BALCONISTA</v>
      </c>
      <c r="D9" s="72" t="str">
        <f ca="1">IFERROR(IF(TODAY()-K9&gt;365,"Inativo",IF(J9=2,"Férias",IF(J9=7,"Demitido","Afastamento"))),VLOOKUP(J9,Conf!$H:$I,2,0))</f>
        <v>Demitido</v>
      </c>
      <c r="E9" s="187">
        <v>1</v>
      </c>
      <c r="F9" s="187">
        <v>35</v>
      </c>
      <c r="G9" t="s">
        <v>1461</v>
      </c>
      <c r="H9" s="71"/>
      <c r="I9" t="s">
        <v>220</v>
      </c>
      <c r="J9" s="187">
        <v>7</v>
      </c>
      <c r="K9" t="s">
        <v>1550</v>
      </c>
      <c r="L9" s="185"/>
      <c r="M9" s="188">
        <v>46245</v>
      </c>
      <c r="N9" s="71"/>
      <c r="Q9" s="71"/>
      <c r="R9" s="71"/>
      <c r="S9" t="s">
        <v>1248</v>
      </c>
      <c r="T9" s="71"/>
    </row>
    <row r="10" spans="1:20" x14ac:dyDescent="0.3">
      <c r="A10" s="72">
        <f>IFERROR(VLOOKUP($G10,Conf!$B:$C,2,0),E10)</f>
        <v>1</v>
      </c>
      <c r="B10" s="72" t="str">
        <f ca="1">IF(D10="Inativo","Inativo",IFERROR(VLOOKUP($G10,Conf!$O:$Q,2,0),VLOOKUP($S10,Conf!$K:$M,2,0)))</f>
        <v>AÇOUGUE</v>
      </c>
      <c r="C10" s="72" t="str">
        <f ca="1">IF(D10="Inativo","Inativo",IFERROR(VLOOKUP($G10,Conf!$O:$Q,3,0),IFERROR(VLOOKUP($G10,Conf!$E:$F,2,0),VLOOKUP($S10,Conf!$K:$M,3,0))))</f>
        <v>BALCONISTA</v>
      </c>
      <c r="D10" s="72" t="str">
        <f ca="1">IFERROR(IF(TODAY()-K10&gt;365,"Inativo",IF(J10=2,"Férias",IF(J10=7,"Demitido","Afastamento"))),VLOOKUP(J10,Conf!$H:$I,2,0))</f>
        <v>Ativos</v>
      </c>
      <c r="E10" s="187">
        <v>1</v>
      </c>
      <c r="F10" s="187">
        <v>41</v>
      </c>
      <c r="G10" t="s">
        <v>1481</v>
      </c>
      <c r="H10" s="71"/>
      <c r="I10" t="s">
        <v>220</v>
      </c>
      <c r="J10" s="187">
        <v>1</v>
      </c>
      <c r="K10" t="s">
        <v>1385</v>
      </c>
      <c r="L10" s="185"/>
      <c r="M10" s="188">
        <v>46252</v>
      </c>
      <c r="N10" s="71"/>
      <c r="Q10" s="71"/>
      <c r="R10" s="71"/>
      <c r="S10" t="s">
        <v>1248</v>
      </c>
      <c r="T10" s="71"/>
    </row>
    <row r="11" spans="1:20" x14ac:dyDescent="0.3">
      <c r="A11" s="72">
        <f>IFERROR(VLOOKUP($G11,Conf!$B:$C,2,0),E11)</f>
        <v>1</v>
      </c>
      <c r="B11" s="72" t="str">
        <f ca="1">IF(D11="Inativo","Inativo",IFERROR(VLOOKUP($G11,Conf!$O:$Q,2,0),VLOOKUP($S11,Conf!$K:$M,2,0)))</f>
        <v>AÇOUGUE</v>
      </c>
      <c r="C11" s="72" t="str">
        <f ca="1">IF(D11="Inativo","Inativo",IFERROR(VLOOKUP($G11,Conf!$O:$Q,3,0),IFERROR(VLOOKUP($G11,Conf!$E:$F,2,0),VLOOKUP($S11,Conf!$K:$M,3,0))))</f>
        <v>BALCONISTA</v>
      </c>
      <c r="D11" s="72" t="str">
        <f ca="1">IFERROR(IF(TODAY()-K11&gt;365,"Inativo",IF(J11=2,"Férias",IF(J11=7,"Demitido","Afastamento"))),VLOOKUP(J11,Conf!$H:$I,2,0))</f>
        <v>Ativos</v>
      </c>
      <c r="E11" s="187">
        <v>1</v>
      </c>
      <c r="F11" s="187">
        <v>51</v>
      </c>
      <c r="G11" t="s">
        <v>1580</v>
      </c>
      <c r="H11" s="71"/>
      <c r="I11" t="s">
        <v>303</v>
      </c>
      <c r="J11" s="187">
        <v>1</v>
      </c>
      <c r="K11" t="s">
        <v>1385</v>
      </c>
      <c r="L11" s="185"/>
      <c r="M11" s="188">
        <v>46287</v>
      </c>
      <c r="N11" s="71"/>
      <c r="O11" s="71"/>
      <c r="P11" s="71"/>
      <c r="Q11" s="71"/>
      <c r="R11" s="71"/>
      <c r="S11" t="s">
        <v>1248</v>
      </c>
      <c r="T11" s="71"/>
    </row>
    <row r="12" spans="1:20" x14ac:dyDescent="0.3">
      <c r="A12" s="72">
        <f>IFERROR(VLOOKUP($G12,Conf!$B:$C,2,0),E12)</f>
        <v>1</v>
      </c>
      <c r="B12" s="72" t="str">
        <f ca="1">IF(D12="Inativo","Inativo",IFERROR(VLOOKUP($G12,Conf!$O:$Q,2,0),VLOOKUP($S12,Conf!$K:$M,2,0)))</f>
        <v>AÇOUGUE</v>
      </c>
      <c r="C12" s="72" t="str">
        <f ca="1">IF(D12="Inativo","Inativo",IFERROR(VLOOKUP($G12,Conf!$O:$Q,3,0),IFERROR(VLOOKUP($G12,Conf!$E:$F,2,0),VLOOKUP($S12,Conf!$K:$M,3,0))))</f>
        <v>DESOSSADOR</v>
      </c>
      <c r="D12" s="72" t="str">
        <f ca="1">IFERROR(IF(TODAY()-K12&gt;365,"Inativo",IF(J12=2,"Férias",IF(J12=7,"Demitido","Afastamento"))),VLOOKUP(J12,Conf!$H:$I,2,0))</f>
        <v>Ativos</v>
      </c>
      <c r="E12" s="187">
        <v>1</v>
      </c>
      <c r="F12" s="187">
        <v>43</v>
      </c>
      <c r="G12" t="s">
        <v>1498</v>
      </c>
      <c r="H12" s="71"/>
      <c r="I12" t="s">
        <v>220</v>
      </c>
      <c r="J12" s="187">
        <v>1</v>
      </c>
      <c r="K12" t="s">
        <v>1385</v>
      </c>
      <c r="L12" s="185"/>
      <c r="M12" s="188">
        <v>46258</v>
      </c>
      <c r="N12" s="71"/>
      <c r="O12" s="71"/>
      <c r="P12" s="71"/>
      <c r="Q12" s="71"/>
      <c r="R12" s="71"/>
      <c r="S12" t="s">
        <v>228</v>
      </c>
      <c r="T12" s="71"/>
    </row>
    <row r="13" spans="1:20" x14ac:dyDescent="0.3">
      <c r="A13" s="72">
        <f>IFERROR(VLOOKUP($G13,Conf!$B:$C,2,0),E13)</f>
        <v>1</v>
      </c>
      <c r="B13" s="72" t="str">
        <f ca="1">IF(D13="Inativo","Inativo",IFERROR(VLOOKUP($G13,Conf!$O:$Q,2,0),VLOOKUP($S13,Conf!$K:$M,2,0)))</f>
        <v>AÇOUGUE</v>
      </c>
      <c r="C13" s="72" t="str">
        <f ca="1">IF(D13="Inativo","Inativo",IFERROR(VLOOKUP($G13,Conf!$O:$Q,3,0),IFERROR(VLOOKUP($G13,Conf!$E:$F,2,0),VLOOKUP($S13,Conf!$K:$M,3,0))))</f>
        <v>DESOSSADOR</v>
      </c>
      <c r="D13" s="72" t="str">
        <f ca="1">IFERROR(IF(TODAY()-K13&gt;365,"Inativo",IF(J13=2,"Férias",IF(J13=7,"Demitido","Afastamento"))),VLOOKUP(J13,Conf!$H:$I,2,0))</f>
        <v>Ativos</v>
      </c>
      <c r="E13" s="187">
        <v>1</v>
      </c>
      <c r="F13" s="187">
        <v>633</v>
      </c>
      <c r="G13" t="s">
        <v>229</v>
      </c>
      <c r="H13" s="71"/>
      <c r="I13" t="s">
        <v>220</v>
      </c>
      <c r="J13" s="187">
        <v>1</v>
      </c>
      <c r="K13" t="s">
        <v>1385</v>
      </c>
      <c r="L13" s="185"/>
      <c r="M13" s="188">
        <v>41229</v>
      </c>
      <c r="N13" s="71"/>
      <c r="Q13" s="71"/>
      <c r="R13" s="71"/>
      <c r="S13" t="s">
        <v>230</v>
      </c>
      <c r="T13" s="71"/>
    </row>
    <row r="14" spans="1:20" x14ac:dyDescent="0.3">
      <c r="A14" s="72">
        <f>IFERROR(VLOOKUP($G14,Conf!$B:$C,2,0),E14)</f>
        <v>1</v>
      </c>
      <c r="B14" s="72" t="str">
        <f ca="1">IF(D14="Inativo","Inativo",IFERROR(VLOOKUP($G14,Conf!$O:$Q,2,0),VLOOKUP($S14,Conf!$K:$M,2,0)))</f>
        <v>AÇOUGUE</v>
      </c>
      <c r="C14" s="72" t="str">
        <f ca="1">IF(D14="Inativo","Inativo",IFERROR(VLOOKUP($G14,Conf!$O:$Q,3,0),IFERROR(VLOOKUP($G14,Conf!$E:$F,2,0),VLOOKUP($S14,Conf!$K:$M,3,0))))</f>
        <v>DESOSSADOR</v>
      </c>
      <c r="D14" s="72" t="str">
        <f ca="1">IFERROR(IF(TODAY()-K14&gt;365,"Inativo",IF(J14=2,"Férias",IF(J14=7,"Demitido","Afastamento"))),VLOOKUP(J14,Conf!$H:$I,2,0))</f>
        <v>Ativos</v>
      </c>
      <c r="E14" s="187">
        <v>1</v>
      </c>
      <c r="F14" s="187">
        <v>252</v>
      </c>
      <c r="G14" t="s">
        <v>231</v>
      </c>
      <c r="H14" s="71"/>
      <c r="I14" t="s">
        <v>220</v>
      </c>
      <c r="J14" s="187">
        <v>1</v>
      </c>
      <c r="K14" t="s">
        <v>1385</v>
      </c>
      <c r="L14" s="185"/>
      <c r="M14" s="188">
        <v>45952</v>
      </c>
      <c r="N14" s="71"/>
      <c r="Q14" s="71"/>
      <c r="R14" s="71"/>
      <c r="S14" t="s">
        <v>228</v>
      </c>
      <c r="T14" s="71"/>
    </row>
    <row r="15" spans="1:20" x14ac:dyDescent="0.3">
      <c r="A15" s="72">
        <f>IFERROR(VLOOKUP($G15,Conf!$B:$C,2,0),E15)</f>
        <v>1</v>
      </c>
      <c r="B15" s="72" t="str">
        <f ca="1">IF(D15="Inativo","Inativo",IFERROR(VLOOKUP($G15,Conf!$O:$Q,2,0),VLOOKUP($S15,Conf!$K:$M,2,0)))</f>
        <v>AÇOUGUE</v>
      </c>
      <c r="C15" s="72" t="str">
        <f ca="1">IF(D15="Inativo","Inativo",IFERROR(VLOOKUP($G15,Conf!$O:$Q,3,0),IFERROR(VLOOKUP($G15,Conf!$E:$F,2,0),VLOOKUP($S15,Conf!$K:$M,3,0))))</f>
        <v>DESOSSADOR</v>
      </c>
      <c r="D15" s="72" t="str">
        <f ca="1">IFERROR(IF(TODAY()-K15&gt;365,"Inativo",IF(J15=2,"Férias",IF(J15=7,"Demitido","Afastamento"))),VLOOKUP(J15,Conf!$H:$I,2,0))</f>
        <v>Ativos</v>
      </c>
      <c r="E15" s="187">
        <v>1</v>
      </c>
      <c r="F15" s="187">
        <v>213</v>
      </c>
      <c r="G15" t="s">
        <v>232</v>
      </c>
      <c r="H15" s="71"/>
      <c r="I15" t="s">
        <v>233</v>
      </c>
      <c r="J15" s="187">
        <v>1</v>
      </c>
      <c r="K15" t="s">
        <v>1385</v>
      </c>
      <c r="L15" s="185"/>
      <c r="M15" s="188">
        <v>45817</v>
      </c>
      <c r="N15" s="71"/>
      <c r="O15" s="71"/>
      <c r="P15" s="71"/>
      <c r="Q15" s="71"/>
      <c r="R15" s="71"/>
      <c r="S15" t="s">
        <v>228</v>
      </c>
      <c r="T15" s="71"/>
    </row>
    <row r="16" spans="1:20" x14ac:dyDescent="0.3">
      <c r="A16" s="72">
        <f>IFERROR(VLOOKUP($G16,Conf!$B:$C,2,0),E16)</f>
        <v>1</v>
      </c>
      <c r="B16" s="72" t="str">
        <f ca="1">IF(D16="Inativo","Inativo",IFERROR(VLOOKUP($G16,Conf!$O:$Q,2,0),VLOOKUP($S16,Conf!$K:$M,2,0)))</f>
        <v>AÇOUGUE</v>
      </c>
      <c r="C16" s="72" t="str">
        <f ca="1">IF(D16="Inativo","Inativo",IFERROR(VLOOKUP($G16,Conf!$O:$Q,3,0),IFERROR(VLOOKUP($G16,Conf!$E:$F,2,0),VLOOKUP($S16,Conf!$K:$M,3,0))))</f>
        <v>DESOSSADOR</v>
      </c>
      <c r="D16" s="72" t="str">
        <f ca="1">IFERROR(IF(TODAY()-K16&gt;365,"Inativo",IF(J16=2,"Férias",IF(J16=7,"Demitido","Afastamento"))),VLOOKUP(J16,Conf!$H:$I,2,0))</f>
        <v>Ativos</v>
      </c>
      <c r="E16" s="187">
        <v>1</v>
      </c>
      <c r="F16" s="187">
        <v>1332</v>
      </c>
      <c r="G16" t="s">
        <v>234</v>
      </c>
      <c r="H16" s="71"/>
      <c r="I16" t="s">
        <v>225</v>
      </c>
      <c r="J16" s="187">
        <v>1</v>
      </c>
      <c r="K16" t="s">
        <v>1385</v>
      </c>
      <c r="L16" s="185"/>
      <c r="M16" s="188">
        <v>42863</v>
      </c>
      <c r="N16" s="71"/>
      <c r="Q16" s="71"/>
      <c r="R16" s="71"/>
      <c r="S16" t="s">
        <v>230</v>
      </c>
      <c r="T16" s="71"/>
    </row>
    <row r="17" spans="1:20" x14ac:dyDescent="0.3">
      <c r="A17" s="72">
        <f>IFERROR(VLOOKUP($G17,Conf!$B:$C,2,0),E17)</f>
        <v>1</v>
      </c>
      <c r="B17" s="72" t="str">
        <f ca="1">IF(D17="Inativo","Inativo",IFERROR(VLOOKUP($G17,Conf!$O:$Q,2,0),VLOOKUP($S17,Conf!$K:$M,2,0)))</f>
        <v>AÇOUGUE</v>
      </c>
      <c r="C17" s="72" t="str">
        <f ca="1">IF(D17="Inativo","Inativo",IFERROR(VLOOKUP($G17,Conf!$O:$Q,3,0),IFERROR(VLOOKUP($G17,Conf!$E:$F,2,0),VLOOKUP($S17,Conf!$K:$M,3,0))))</f>
        <v>ENCARREGADO</v>
      </c>
      <c r="D17" s="72" t="str">
        <f ca="1">IFERROR(IF(TODAY()-K17&gt;365,"Inativo",IF(J17=2,"Férias",IF(J17=7,"Demitido","Afastamento"))),VLOOKUP(J17,Conf!$H:$I,2,0))</f>
        <v>Ativos</v>
      </c>
      <c r="E17" s="187">
        <v>1</v>
      </c>
      <c r="F17" s="187">
        <v>75</v>
      </c>
      <c r="G17" t="s">
        <v>235</v>
      </c>
      <c r="H17" s="71"/>
      <c r="I17" t="s">
        <v>236</v>
      </c>
      <c r="J17" s="187">
        <v>1</v>
      </c>
      <c r="K17" t="s">
        <v>1385</v>
      </c>
      <c r="L17" s="185"/>
      <c r="M17" s="188">
        <v>45309</v>
      </c>
      <c r="N17" s="71"/>
      <c r="O17" s="71"/>
      <c r="P17" s="71"/>
      <c r="Q17" s="71"/>
      <c r="R17" s="71"/>
      <c r="S17" t="s">
        <v>237</v>
      </c>
      <c r="T17" s="71"/>
    </row>
    <row r="18" spans="1:20" x14ac:dyDescent="0.3">
      <c r="A18" s="72">
        <f>IFERROR(VLOOKUP($G18,Conf!$B:$C,2,0),E18)</f>
        <v>1</v>
      </c>
      <c r="B18" s="72" t="str">
        <f ca="1">IF(D18="Inativo","Inativo",IFERROR(VLOOKUP($G18,Conf!$O:$Q,2,0),VLOOKUP($S18,Conf!$K:$M,2,0)))</f>
        <v>ADMINISTRATIVO</v>
      </c>
      <c r="C18" s="72" t="str">
        <f ca="1">IF(D18="Inativo","Inativo",IFERROR(VLOOKUP($G18,Conf!$O:$Q,3,0),IFERROR(VLOOKUP($G18,Conf!$E:$F,2,0),VLOOKUP($S18,Conf!$K:$M,3,0))))</f>
        <v>APRENDIZ</v>
      </c>
      <c r="D18" s="72" t="str">
        <f ca="1">IFERROR(IF(TODAY()-K18&gt;365,"Inativo",IF(J18=2,"Férias",IF(J18=7,"Demitido","Afastamento"))),VLOOKUP(J18,Conf!$H:$I,2,0))</f>
        <v>Ativos</v>
      </c>
      <c r="E18" s="187">
        <v>1</v>
      </c>
      <c r="F18" s="187">
        <v>2393</v>
      </c>
      <c r="G18" t="s">
        <v>335</v>
      </c>
      <c r="H18" s="71"/>
      <c r="I18" t="s">
        <v>336</v>
      </c>
      <c r="J18" s="187">
        <v>1</v>
      </c>
      <c r="K18" t="s">
        <v>1385</v>
      </c>
      <c r="L18" s="185"/>
      <c r="M18" s="188">
        <v>46077</v>
      </c>
      <c r="N18" s="71"/>
      <c r="O18" s="71"/>
      <c r="P18" s="71"/>
      <c r="Q18" s="71"/>
      <c r="R18" s="71"/>
      <c r="S18" t="s">
        <v>337</v>
      </c>
      <c r="T18" s="71"/>
    </row>
    <row r="19" spans="1:20" x14ac:dyDescent="0.3">
      <c r="A19" s="72">
        <f>IFERROR(VLOOKUP($G19,Conf!$B:$C,2,0),E19)</f>
        <v>1</v>
      </c>
      <c r="B19" s="72" t="str">
        <f ca="1">IF(D19="Inativo","Inativo",IFERROR(VLOOKUP($G19,Conf!$O:$Q,2,0),VLOOKUP($S19,Conf!$K:$M,2,0)))</f>
        <v>ADMINISTRATIVO</v>
      </c>
      <c r="C19" s="72" t="str">
        <f ca="1">IF(D19="Inativo","Inativo",IFERROR(VLOOKUP($G19,Conf!$O:$Q,3,0),IFERROR(VLOOKUP($G19,Conf!$E:$F,2,0),VLOOKUP($S19,Conf!$K:$M,3,0))))</f>
        <v>APRENDIZ</v>
      </c>
      <c r="D19" s="72" t="str">
        <f ca="1">IFERROR(IF(TODAY()-K19&gt;365,"Inativo",IF(J19=2,"Férias",IF(J19=7,"Demitido","Afastamento"))),VLOOKUP(J19,Conf!$H:$I,2,0))</f>
        <v>Ativos</v>
      </c>
      <c r="E19" s="187">
        <v>1</v>
      </c>
      <c r="F19" s="187">
        <v>292</v>
      </c>
      <c r="G19" t="s">
        <v>338</v>
      </c>
      <c r="H19" s="71"/>
      <c r="I19" t="s">
        <v>336</v>
      </c>
      <c r="J19" s="187">
        <v>1</v>
      </c>
      <c r="K19" t="s">
        <v>1385</v>
      </c>
      <c r="L19" s="185"/>
      <c r="M19" s="188">
        <v>46077</v>
      </c>
      <c r="N19" s="71"/>
      <c r="O19" s="71"/>
      <c r="P19" s="71"/>
      <c r="Q19" s="71"/>
      <c r="R19" s="71"/>
      <c r="S19" t="s">
        <v>339</v>
      </c>
      <c r="T19" s="71"/>
    </row>
    <row r="20" spans="1:20" x14ac:dyDescent="0.3">
      <c r="A20" s="72">
        <f>IFERROR(VLOOKUP($G20,Conf!$B:$C,2,0),E20)</f>
        <v>1</v>
      </c>
      <c r="B20" s="72" t="str">
        <f ca="1">IF(D20="Inativo","Inativo",IFERROR(VLOOKUP($G20,Conf!$O:$Q,2,0),VLOOKUP($S20,Conf!$K:$M,2,0)))</f>
        <v>ADMINISTRATIVO</v>
      </c>
      <c r="C20" s="72" t="str">
        <f ca="1">IF(D20="Inativo","Inativo",IFERROR(VLOOKUP($G20,Conf!$O:$Q,3,0),IFERROR(VLOOKUP($G20,Conf!$E:$F,2,0),VLOOKUP($S20,Conf!$K:$M,3,0))))</f>
        <v>APRENDIZ</v>
      </c>
      <c r="D20" s="72" t="str">
        <f ca="1">IFERROR(IF(TODAY()-K20&gt;365,"Inativo",IF(J20=2,"Férias",IF(J20=7,"Demitido","Afastamento"))),VLOOKUP(J20,Conf!$H:$I,2,0))</f>
        <v>Ativos</v>
      </c>
      <c r="E20" s="187">
        <v>1</v>
      </c>
      <c r="F20" s="187">
        <v>2388</v>
      </c>
      <c r="G20" t="s">
        <v>340</v>
      </c>
      <c r="H20" s="71"/>
      <c r="I20" t="s">
        <v>336</v>
      </c>
      <c r="J20" s="187">
        <v>1</v>
      </c>
      <c r="K20" t="s">
        <v>1385</v>
      </c>
      <c r="L20" s="185"/>
      <c r="M20" s="188">
        <v>46077</v>
      </c>
      <c r="N20" s="71"/>
      <c r="Q20" s="71"/>
      <c r="R20" s="71"/>
      <c r="S20" t="s">
        <v>337</v>
      </c>
      <c r="T20" s="71"/>
    </row>
    <row r="21" spans="1:20" x14ac:dyDescent="0.3">
      <c r="A21" s="72">
        <f>IFERROR(VLOOKUP($G21,Conf!$B:$C,2,0),E21)</f>
        <v>1</v>
      </c>
      <c r="B21" s="72" t="str">
        <f ca="1">IF(D21="Inativo","Inativo",IFERROR(VLOOKUP($G21,Conf!$O:$Q,2,0),VLOOKUP($S21,Conf!$K:$M,2,0)))</f>
        <v>ADMINISTRATIVO</v>
      </c>
      <c r="C21" s="72" t="str">
        <f ca="1">IF(D21="Inativo","Inativo",IFERROR(VLOOKUP($G21,Conf!$O:$Q,3,0),IFERROR(VLOOKUP($G21,Conf!$E:$F,2,0),VLOOKUP($S21,Conf!$K:$M,3,0))))</f>
        <v>APRENDIZ</v>
      </c>
      <c r="D21" s="72" t="str">
        <f ca="1">IFERROR(IF(TODAY()-K21&gt;365,"Inativo",IF(J21=2,"Férias",IF(J21=7,"Demitido","Afastamento"))),VLOOKUP(J21,Conf!$H:$I,2,0))</f>
        <v>Ativos</v>
      </c>
      <c r="E21" s="187">
        <v>1</v>
      </c>
      <c r="F21" s="187">
        <v>291</v>
      </c>
      <c r="G21" t="s">
        <v>341</v>
      </c>
      <c r="H21" s="71"/>
      <c r="I21" t="s">
        <v>336</v>
      </c>
      <c r="J21" s="187">
        <v>1</v>
      </c>
      <c r="K21" t="s">
        <v>1385</v>
      </c>
      <c r="L21" s="185"/>
      <c r="M21" s="188">
        <v>46077</v>
      </c>
      <c r="N21" s="71"/>
      <c r="Q21" s="71"/>
      <c r="R21" s="71"/>
      <c r="S21" t="s">
        <v>339</v>
      </c>
      <c r="T21" s="71"/>
    </row>
    <row r="22" spans="1:20" x14ac:dyDescent="0.3">
      <c r="A22" s="72">
        <f>IFERROR(VLOOKUP($G22,Conf!$B:$C,2,0),E22)</f>
        <v>1</v>
      </c>
      <c r="B22" s="72" t="str">
        <f ca="1">IF(D22="Inativo","Inativo",IFERROR(VLOOKUP($G22,Conf!$O:$Q,2,0),VLOOKUP($S22,Conf!$K:$M,2,0)))</f>
        <v>ADMINISTRATIVO</v>
      </c>
      <c r="C22" s="72" t="str">
        <f ca="1">IF(D22="Inativo","Inativo",IFERROR(VLOOKUP($G22,Conf!$O:$Q,3,0),IFERROR(VLOOKUP($G22,Conf!$E:$F,2,0),VLOOKUP($S22,Conf!$K:$M,3,0))))</f>
        <v>APRENDIZ</v>
      </c>
      <c r="D22" s="72" t="str">
        <f ca="1">IFERROR(IF(TODAY()-K22&gt;365,"Inativo",IF(J22=2,"Férias",IF(J22=7,"Demitido","Afastamento"))),VLOOKUP(J22,Conf!$H:$I,2,0))</f>
        <v>Ativos</v>
      </c>
      <c r="E22" s="187">
        <v>1</v>
      </c>
      <c r="F22" s="187">
        <v>2385</v>
      </c>
      <c r="G22" t="s">
        <v>342</v>
      </c>
      <c r="H22" s="71"/>
      <c r="I22" t="s">
        <v>336</v>
      </c>
      <c r="J22" s="187">
        <v>1</v>
      </c>
      <c r="K22" t="s">
        <v>1385</v>
      </c>
      <c r="L22" s="185"/>
      <c r="M22" s="188">
        <v>46077</v>
      </c>
      <c r="N22" s="71"/>
      <c r="Q22" s="71"/>
      <c r="R22" s="71"/>
      <c r="S22" t="s">
        <v>337</v>
      </c>
      <c r="T22" s="71"/>
    </row>
    <row r="23" spans="1:20" x14ac:dyDescent="0.3">
      <c r="A23" s="72">
        <f>IFERROR(VLOOKUP($G23,Conf!$B:$C,2,0),E23)</f>
        <v>1</v>
      </c>
      <c r="B23" s="72" t="str">
        <f ca="1">IF(D23="Inativo","Inativo",IFERROR(VLOOKUP($G23,Conf!$O:$Q,2,0),VLOOKUP($S23,Conf!$K:$M,2,0)))</f>
        <v>ADMINISTRATIVO</v>
      </c>
      <c r="C23" s="72" t="str">
        <f ca="1">IF(D23="Inativo","Inativo",IFERROR(VLOOKUP($G23,Conf!$O:$Q,3,0),IFERROR(VLOOKUP($G23,Conf!$E:$F,2,0),VLOOKUP($S23,Conf!$K:$M,3,0))))</f>
        <v>CONTROLADORIA</v>
      </c>
      <c r="D23" s="72" t="str">
        <f ca="1">IFERROR(IF(TODAY()-K23&gt;365,"Inativo",IF(J23=2,"Férias",IF(J23=7,"Demitido","Afastamento"))),VLOOKUP(J23,Conf!$H:$I,2,0))</f>
        <v>Férias</v>
      </c>
      <c r="E23" s="187">
        <v>1</v>
      </c>
      <c r="F23" s="187">
        <v>1338</v>
      </c>
      <c r="G23" t="s">
        <v>345</v>
      </c>
      <c r="H23" s="71"/>
      <c r="I23" t="s">
        <v>244</v>
      </c>
      <c r="J23" s="187">
        <v>2</v>
      </c>
      <c r="K23" t="s">
        <v>1629</v>
      </c>
      <c r="L23" s="185"/>
      <c r="M23" s="188">
        <v>42887</v>
      </c>
      <c r="N23" s="71"/>
      <c r="O23" s="71"/>
      <c r="P23" s="71"/>
      <c r="Q23" s="71"/>
      <c r="R23" s="71"/>
      <c r="S23" t="s">
        <v>256</v>
      </c>
      <c r="T23" s="71"/>
    </row>
    <row r="24" spans="1:20" x14ac:dyDescent="0.3">
      <c r="A24" s="72">
        <f>IFERROR(VLOOKUP($G24,Conf!$B:$C,2,0),E24)</f>
        <v>1</v>
      </c>
      <c r="B24" s="72" t="str">
        <f ca="1">IF(D24="Inativo","Inativo",IFERROR(VLOOKUP($G24,Conf!$O:$Q,2,0),VLOOKUP($S24,Conf!$K:$M,2,0)))</f>
        <v>ADMINISTRATIVO</v>
      </c>
      <c r="C24" s="72" t="str">
        <f ca="1">IF(D24="Inativo","Inativo",IFERROR(VLOOKUP($G24,Conf!$O:$Q,3,0),IFERROR(VLOOKUP($G24,Conf!$E:$F,2,0),VLOOKUP($S24,Conf!$K:$M,3,0))))</f>
        <v>CONTROLADORIA</v>
      </c>
      <c r="D24" s="72" t="str">
        <f ca="1">IFERROR(IF(TODAY()-K24&gt;365,"Inativo",IF(J24=2,"Férias",IF(J24=7,"Demitido","Afastamento"))),VLOOKUP(J24,Conf!$H:$I,2,0))</f>
        <v>Ativos</v>
      </c>
      <c r="E24" s="187">
        <v>1</v>
      </c>
      <c r="F24" s="187">
        <v>1256</v>
      </c>
      <c r="G24" t="s">
        <v>257</v>
      </c>
      <c r="H24" s="71"/>
      <c r="I24" t="s">
        <v>258</v>
      </c>
      <c r="J24" s="187">
        <v>1</v>
      </c>
      <c r="K24" t="s">
        <v>1385</v>
      </c>
      <c r="L24" s="185"/>
      <c r="M24" s="188">
        <v>42571</v>
      </c>
      <c r="N24" s="71"/>
      <c r="Q24" s="71"/>
      <c r="R24" s="71"/>
      <c r="S24" t="s">
        <v>256</v>
      </c>
      <c r="T24" s="71"/>
    </row>
    <row r="25" spans="1:20" x14ac:dyDescent="0.3">
      <c r="A25" s="72">
        <f>IFERROR(VLOOKUP($G25,Conf!$B:$C,2,0),E25)</f>
        <v>1</v>
      </c>
      <c r="B25" s="72" t="str">
        <f ca="1">IF(D25="Inativo","Inativo",IFERROR(VLOOKUP($G25,Conf!$O:$Q,2,0),VLOOKUP($S25,Conf!$K:$M,2,0)))</f>
        <v>ADMINISTRATIVO</v>
      </c>
      <c r="C25" s="72" t="str">
        <f ca="1">IF(D25="Inativo","Inativo",IFERROR(VLOOKUP($G25,Conf!$O:$Q,3,0),IFERROR(VLOOKUP($G25,Conf!$E:$F,2,0),VLOOKUP($S25,Conf!$K:$M,3,0))))</f>
        <v>GESTÃO PESSOAS</v>
      </c>
      <c r="D25" s="72" t="str">
        <f ca="1">IFERROR(IF(TODAY()-K25&gt;365,"Inativo",IF(J25=2,"Férias",IF(J25=7,"Demitido","Afastamento"))),VLOOKUP(J25,Conf!$H:$I,2,0))</f>
        <v>Ativos</v>
      </c>
      <c r="E25" s="187">
        <v>1</v>
      </c>
      <c r="F25" s="187">
        <v>2350</v>
      </c>
      <c r="G25" t="s">
        <v>238</v>
      </c>
      <c r="H25" s="71"/>
      <c r="I25" t="s">
        <v>239</v>
      </c>
      <c r="J25" s="187">
        <v>1</v>
      </c>
      <c r="K25" t="s">
        <v>1385</v>
      </c>
      <c r="L25" s="185"/>
      <c r="M25" s="188">
        <v>46034</v>
      </c>
      <c r="N25" s="71"/>
      <c r="Q25" s="71"/>
      <c r="R25" s="71"/>
      <c r="S25" t="s">
        <v>240</v>
      </c>
      <c r="T25" s="71"/>
    </row>
    <row r="26" spans="1:20" x14ac:dyDescent="0.3">
      <c r="A26" s="72">
        <f>IFERROR(VLOOKUP($G26,Conf!$B:$C,2,0),E26)</f>
        <v>1</v>
      </c>
      <c r="B26" s="72" t="str">
        <f ca="1">IF(D26="Inativo","Inativo",IFERROR(VLOOKUP($G26,Conf!$O:$Q,2,0),VLOOKUP($S26,Conf!$K:$M,2,0)))</f>
        <v>ADMINISTRATIVO</v>
      </c>
      <c r="C26" s="72" t="str">
        <f ca="1">IF(D26="Inativo","Inativo",IFERROR(VLOOKUP($G26,Conf!$O:$Q,3,0),IFERROR(VLOOKUP($G26,Conf!$E:$F,2,0),VLOOKUP($S26,Conf!$K:$M,3,0))))</f>
        <v>LIMPEZA</v>
      </c>
      <c r="D26" s="72" t="str">
        <f ca="1">IFERROR(IF(TODAY()-K26&gt;365,"Inativo",IF(J26=2,"Férias",IF(J26=7,"Demitido","Afastamento"))),VLOOKUP(J26,Conf!$H:$I,2,0))</f>
        <v>Ativos</v>
      </c>
      <c r="E26" s="187">
        <v>1</v>
      </c>
      <c r="F26" s="187">
        <v>137</v>
      </c>
      <c r="G26" t="s">
        <v>331</v>
      </c>
      <c r="H26" s="71"/>
      <c r="I26" t="s">
        <v>222</v>
      </c>
      <c r="J26" s="187">
        <v>1</v>
      </c>
      <c r="K26" t="s">
        <v>1385</v>
      </c>
      <c r="L26" s="185"/>
      <c r="M26" s="188">
        <v>45554</v>
      </c>
      <c r="N26" s="71"/>
      <c r="Q26" s="71"/>
      <c r="R26" s="71"/>
      <c r="S26" t="s">
        <v>332</v>
      </c>
      <c r="T26" s="71"/>
    </row>
    <row r="27" spans="1:20" x14ac:dyDescent="0.3">
      <c r="A27" s="72">
        <f>IFERROR(VLOOKUP($G27,Conf!$B:$C,2,0),E27)</f>
        <v>1</v>
      </c>
      <c r="B27" s="72" t="str">
        <f ca="1">IF(D27="Inativo","Inativo",IFERROR(VLOOKUP($G27,Conf!$O:$Q,2,0),VLOOKUP($S27,Conf!$K:$M,2,0)))</f>
        <v>ADMINISTRATIVO</v>
      </c>
      <c r="C27" s="72" t="str">
        <f ca="1">IF(D27="Inativo","Inativo",IFERROR(VLOOKUP($G27,Conf!$O:$Q,3,0),IFERROR(VLOOKUP($G27,Conf!$E:$F,2,0),VLOOKUP($S27,Conf!$K:$M,3,0))))</f>
        <v>LIMPEZA</v>
      </c>
      <c r="D27" s="72" t="str">
        <f ca="1">IFERROR(IF(TODAY()-K27&gt;365,"Inativo",IF(J27=2,"Férias",IF(J27=7,"Demitido","Afastamento"))),VLOOKUP(J27,Conf!$H:$I,2,0))</f>
        <v>Ativos</v>
      </c>
      <c r="E27" s="187">
        <v>1</v>
      </c>
      <c r="F27" s="187">
        <v>287</v>
      </c>
      <c r="G27" t="s">
        <v>333</v>
      </c>
      <c r="H27" s="71"/>
      <c r="I27" t="s">
        <v>220</v>
      </c>
      <c r="J27" s="187">
        <v>1</v>
      </c>
      <c r="K27" t="s">
        <v>1385</v>
      </c>
      <c r="L27" s="185"/>
      <c r="M27" s="188">
        <v>46062</v>
      </c>
      <c r="N27" s="71"/>
      <c r="O27" s="71"/>
      <c r="P27" s="71"/>
      <c r="Q27" s="71"/>
      <c r="R27" s="71"/>
      <c r="S27" t="s">
        <v>332</v>
      </c>
      <c r="T27" s="71"/>
    </row>
    <row r="28" spans="1:20" x14ac:dyDescent="0.3">
      <c r="A28" s="72">
        <f>IFERROR(VLOOKUP($G28,Conf!$B:$C,2,0),E28)</f>
        <v>1</v>
      </c>
      <c r="B28" s="72" t="str">
        <f ca="1">IF(D28="Inativo","Inativo",IFERROR(VLOOKUP($G28,Conf!$O:$Q,2,0),VLOOKUP($S28,Conf!$K:$M,2,0)))</f>
        <v>ADMINISTRATIVO</v>
      </c>
      <c r="C28" s="72" t="str">
        <f ca="1">IF(D28="Inativo","Inativo",IFERROR(VLOOKUP($G28,Conf!$O:$Q,3,0),IFERROR(VLOOKUP($G28,Conf!$E:$F,2,0),VLOOKUP($S28,Conf!$K:$M,3,0))))</f>
        <v>LIMPEZA</v>
      </c>
      <c r="D28" s="72" t="str">
        <f ca="1">IFERROR(IF(TODAY()-K28&gt;365,"Inativo",IF(J28=2,"Férias",IF(J28=7,"Demitido","Afastamento"))),VLOOKUP(J28,Conf!$H:$I,2,0))</f>
        <v>Ativos</v>
      </c>
      <c r="E28" s="187">
        <v>1</v>
      </c>
      <c r="F28" s="187">
        <v>144</v>
      </c>
      <c r="G28" t="s">
        <v>334</v>
      </c>
      <c r="H28" s="71"/>
      <c r="I28" t="s">
        <v>220</v>
      </c>
      <c r="J28" s="187">
        <v>1</v>
      </c>
      <c r="K28" t="s">
        <v>1385</v>
      </c>
      <c r="L28" s="185"/>
      <c r="M28" s="188">
        <v>45581</v>
      </c>
      <c r="N28" s="71"/>
      <c r="O28" s="71"/>
      <c r="P28" s="71"/>
      <c r="Q28" s="71"/>
      <c r="R28" s="71"/>
      <c r="S28" t="s">
        <v>332</v>
      </c>
      <c r="T28" s="71"/>
    </row>
    <row r="29" spans="1:20" x14ac:dyDescent="0.3">
      <c r="A29" s="72">
        <f>IFERROR(VLOOKUP($G29,Conf!$B:$C,2,0),E29)</f>
        <v>1</v>
      </c>
      <c r="B29" s="72" t="str">
        <f ca="1">IF(D29="Inativo","Inativo",IFERROR(VLOOKUP($G29,Conf!$O:$Q,2,0),VLOOKUP($S29,Conf!$K:$M,2,0)))</f>
        <v>ADMINISTRATIVO</v>
      </c>
      <c r="C29" s="72" t="str">
        <f ca="1">IF(D29="Inativo","Inativo",IFERROR(VLOOKUP($G29,Conf!$O:$Q,3,0),IFERROR(VLOOKUP($G29,Conf!$E:$F,2,0),VLOOKUP($S29,Conf!$K:$M,3,0))))</f>
        <v>LIMPEZA</v>
      </c>
      <c r="D29" s="72" t="str">
        <f ca="1">IFERROR(IF(TODAY()-K29&gt;365,"Inativo",IF(J29=2,"Férias",IF(J29=7,"Demitido","Afastamento"))),VLOOKUP(J29,Conf!$H:$I,2,0))</f>
        <v>Ativos</v>
      </c>
      <c r="E29" s="187">
        <v>1</v>
      </c>
      <c r="F29" s="187">
        <v>55</v>
      </c>
      <c r="G29" t="s">
        <v>1614</v>
      </c>
      <c r="H29" s="71"/>
      <c r="I29" t="s">
        <v>488</v>
      </c>
      <c r="J29" s="187">
        <v>1</v>
      </c>
      <c r="K29" t="s">
        <v>1385</v>
      </c>
      <c r="L29" s="185"/>
      <c r="M29" s="188">
        <v>46296</v>
      </c>
      <c r="N29" s="71"/>
      <c r="Q29" s="71"/>
      <c r="R29" s="71"/>
      <c r="S29" t="s">
        <v>1263</v>
      </c>
      <c r="T29" s="71"/>
    </row>
    <row r="30" spans="1:20" x14ac:dyDescent="0.3">
      <c r="A30" s="72">
        <f>IFERROR(VLOOKUP($G30,Conf!$B:$C,2,0),E30)</f>
        <v>1</v>
      </c>
      <c r="B30" s="72" t="str">
        <f ca="1">IF(D30="Inativo","Inativo",IFERROR(VLOOKUP($G30,Conf!$O:$Q,2,0),VLOOKUP($S30,Conf!$K:$M,2,0)))</f>
        <v>ADMINISTRATIVO</v>
      </c>
      <c r="C30" s="72" t="str">
        <f ca="1">IF(D30="Inativo","Inativo",IFERROR(VLOOKUP($G30,Conf!$O:$Q,3,0),IFERROR(VLOOKUP($G30,Conf!$E:$F,2,0),VLOOKUP($S30,Conf!$K:$M,3,0))))</f>
        <v>PREVENÇÃO</v>
      </c>
      <c r="D30" s="72" t="str">
        <f ca="1">IFERROR(IF(TODAY()-K30&gt;365,"Inativo",IF(J30=2,"Férias",IF(J30=7,"Demitido","Afastamento"))),VLOOKUP(J30,Conf!$H:$I,2,0))</f>
        <v>Ativos</v>
      </c>
      <c r="E30" s="187">
        <v>1</v>
      </c>
      <c r="F30" s="187">
        <v>2432</v>
      </c>
      <c r="G30" t="s">
        <v>1303</v>
      </c>
      <c r="H30" s="71"/>
      <c r="I30" t="s">
        <v>296</v>
      </c>
      <c r="J30" s="187">
        <v>1</v>
      </c>
      <c r="K30" t="s">
        <v>1385</v>
      </c>
      <c r="L30" s="185"/>
      <c r="M30" s="188">
        <v>46178</v>
      </c>
      <c r="N30" s="71"/>
      <c r="Q30" s="71"/>
      <c r="R30" s="71"/>
      <c r="S30" t="s">
        <v>1470</v>
      </c>
      <c r="T30" s="71"/>
    </row>
    <row r="31" spans="1:20" x14ac:dyDescent="0.3">
      <c r="A31" s="72">
        <f>IFERROR(VLOOKUP($G31,Conf!$B:$C,2,0),E31)</f>
        <v>1</v>
      </c>
      <c r="B31" s="72" t="str">
        <f ca="1">IF(D31="Inativo","Inativo",IFERROR(VLOOKUP($G31,Conf!$O:$Q,2,0),VLOOKUP($S31,Conf!$K:$M,2,0)))</f>
        <v>CONFEITARIA</v>
      </c>
      <c r="C31" s="72" t="str">
        <f ca="1">IF(D31="Inativo","Inativo",IFERROR(VLOOKUP($G31,Conf!$O:$Q,3,0),IFERROR(VLOOKUP($G31,Conf!$E:$F,2,0),VLOOKUP($S31,Conf!$K:$M,3,0))))</f>
        <v>AUXILIAR</v>
      </c>
      <c r="D31" s="72" t="str">
        <f ca="1">IFERROR(IF(TODAY()-K31&gt;365,"Inativo",IF(J31=2,"Férias",IF(J31=7,"Demitido","Afastamento"))),VLOOKUP(J31,Conf!$H:$I,2,0))</f>
        <v>Ativos</v>
      </c>
      <c r="E31" s="187">
        <v>1</v>
      </c>
      <c r="F31" s="187">
        <v>271</v>
      </c>
      <c r="G31" t="s">
        <v>372</v>
      </c>
      <c r="H31" s="71"/>
      <c r="I31" t="s">
        <v>222</v>
      </c>
      <c r="J31" s="187">
        <v>1</v>
      </c>
      <c r="K31" t="s">
        <v>1385</v>
      </c>
      <c r="L31" s="185"/>
      <c r="M31" s="188">
        <v>46028</v>
      </c>
      <c r="N31" s="71"/>
      <c r="Q31" s="71"/>
      <c r="R31" s="71"/>
      <c r="S31" t="s">
        <v>370</v>
      </c>
      <c r="T31" s="71"/>
    </row>
    <row r="32" spans="1:20" x14ac:dyDescent="0.3">
      <c r="A32" s="72">
        <f>IFERROR(VLOOKUP($G32,Conf!$B:$C,2,0),E32)</f>
        <v>1</v>
      </c>
      <c r="B32" s="72" t="str">
        <f ca="1">IF(D32="Inativo","Inativo",IFERROR(VLOOKUP($G32,Conf!$O:$Q,2,0),VLOOKUP($S32,Conf!$K:$M,2,0)))</f>
        <v>CONFEITARIA</v>
      </c>
      <c r="C32" s="72" t="str">
        <f ca="1">IF(D32="Inativo","Inativo",IFERROR(VLOOKUP($G32,Conf!$O:$Q,3,0),IFERROR(VLOOKUP($G32,Conf!$E:$F,2,0),VLOOKUP($S32,Conf!$K:$M,3,0))))</f>
        <v>AUXILIAR</v>
      </c>
      <c r="D32" s="72" t="str">
        <f ca="1">IFERROR(IF(TODAY()-K32&gt;365,"Inativo",IF(J32=2,"Férias",IF(J32=7,"Demitido","Afastamento"))),VLOOKUP(J32,Conf!$H:$I,2,0))</f>
        <v>Ativos</v>
      </c>
      <c r="E32" s="187">
        <v>1</v>
      </c>
      <c r="F32" s="187">
        <v>246</v>
      </c>
      <c r="G32" t="s">
        <v>373</v>
      </c>
      <c r="H32" s="71"/>
      <c r="I32" t="s">
        <v>222</v>
      </c>
      <c r="J32" s="187">
        <v>1</v>
      </c>
      <c r="K32" t="s">
        <v>1385</v>
      </c>
      <c r="L32" s="185"/>
      <c r="M32" s="188">
        <v>45931</v>
      </c>
      <c r="N32" s="71"/>
      <c r="Q32" s="71"/>
      <c r="R32" s="71"/>
      <c r="S32" t="s">
        <v>370</v>
      </c>
      <c r="T32" s="71"/>
    </row>
    <row r="33" spans="1:20" x14ac:dyDescent="0.3">
      <c r="A33" s="72">
        <f>IFERROR(VLOOKUP($G33,Conf!$B:$C,2,0),E33)</f>
        <v>1</v>
      </c>
      <c r="B33" s="72" t="str">
        <f ca="1">IF(D33="Inativo","Inativo",IFERROR(VLOOKUP($G33,Conf!$O:$Q,2,0),VLOOKUP($S33,Conf!$K:$M,2,0)))</f>
        <v>CONFEITARIA</v>
      </c>
      <c r="C33" s="72" t="str">
        <f ca="1">IF(D33="Inativo","Inativo",IFERROR(VLOOKUP($G33,Conf!$O:$Q,3,0),IFERROR(VLOOKUP($G33,Conf!$E:$F,2,0),VLOOKUP($S33,Conf!$K:$M,3,0))))</f>
        <v>CONFEITEIRO(A)</v>
      </c>
      <c r="D33" s="72" t="str">
        <f ca="1">IFERROR(IF(TODAY()-K33&gt;365,"Inativo",IF(J33=2,"Férias",IF(J33=7,"Demitido","Afastamento"))),VLOOKUP(J33,Conf!$H:$I,2,0))</f>
        <v>Ativos</v>
      </c>
      <c r="E33" s="187">
        <v>1</v>
      </c>
      <c r="F33" s="187">
        <v>1566</v>
      </c>
      <c r="G33" t="s">
        <v>243</v>
      </c>
      <c r="H33" s="71"/>
      <c r="I33" t="s">
        <v>244</v>
      </c>
      <c r="J33" s="187">
        <v>1</v>
      </c>
      <c r="K33" t="s">
        <v>1385</v>
      </c>
      <c r="L33" s="185"/>
      <c r="M33" s="188">
        <v>43872</v>
      </c>
      <c r="N33" s="71"/>
      <c r="Q33" s="71"/>
      <c r="R33" s="71"/>
      <c r="S33" t="s">
        <v>245</v>
      </c>
      <c r="T33" s="71"/>
    </row>
    <row r="34" spans="1:20" x14ac:dyDescent="0.3">
      <c r="A34" s="72">
        <f>IFERROR(VLOOKUP($G34,Conf!$B:$C,2,0),E34)</f>
        <v>1</v>
      </c>
      <c r="B34" s="72" t="str">
        <f ca="1">IF(D34="Inativo","Inativo",IFERROR(VLOOKUP($G34,Conf!$O:$Q,2,0),VLOOKUP($S34,Conf!$K:$M,2,0)))</f>
        <v>CONFEITARIA</v>
      </c>
      <c r="C34" s="72" t="str">
        <f ca="1">IF(D34="Inativo","Inativo",IFERROR(VLOOKUP($G34,Conf!$O:$Q,3,0),IFERROR(VLOOKUP($G34,Conf!$E:$F,2,0),VLOOKUP($S34,Conf!$K:$M,3,0))))</f>
        <v>CONFEITEIRO(A)</v>
      </c>
      <c r="D34" s="72" t="str">
        <f ca="1">IFERROR(IF(TODAY()-K34&gt;365,"Inativo",IF(J34=2,"Férias",IF(J34=7,"Demitido","Afastamento"))),VLOOKUP(J34,Conf!$H:$I,2,0))</f>
        <v>Ativos</v>
      </c>
      <c r="E34" s="187">
        <v>1</v>
      </c>
      <c r="F34" s="187">
        <v>16</v>
      </c>
      <c r="G34" t="s">
        <v>378</v>
      </c>
      <c r="H34" s="71"/>
      <c r="I34" t="s">
        <v>222</v>
      </c>
      <c r="J34" s="187">
        <v>1</v>
      </c>
      <c r="K34" t="s">
        <v>1385</v>
      </c>
      <c r="L34" s="185"/>
      <c r="M34" s="188">
        <v>46147</v>
      </c>
      <c r="N34" s="71"/>
      <c r="O34" s="71"/>
      <c r="P34" s="71"/>
      <c r="Q34" s="71"/>
      <c r="R34" s="71"/>
      <c r="S34" t="s">
        <v>242</v>
      </c>
      <c r="T34" s="71"/>
    </row>
    <row r="35" spans="1:20" x14ac:dyDescent="0.3">
      <c r="A35" s="72">
        <f>IFERROR(VLOOKUP($G35,Conf!$B:$C,2,0),E35)</f>
        <v>1</v>
      </c>
      <c r="B35" s="72" t="str">
        <f ca="1">IF(D35="Inativo","Inativo",IFERROR(VLOOKUP($G35,Conf!$O:$Q,2,0),VLOOKUP($S35,Conf!$K:$M,2,0)))</f>
        <v>CONFEITARIA</v>
      </c>
      <c r="C35" s="72" t="str">
        <f ca="1">IF(D35="Inativo","Inativo",IFERROR(VLOOKUP($G35,Conf!$O:$Q,3,0),IFERROR(VLOOKUP($G35,Conf!$E:$F,2,0),VLOOKUP($S35,Conf!$K:$M,3,0))))</f>
        <v>CONFEITEIRO(A)</v>
      </c>
      <c r="D35" s="72" t="str">
        <f ca="1">IFERROR(IF(TODAY()-K35&gt;365,"Inativo",IF(J35=2,"Férias",IF(J35=7,"Demitido","Afastamento"))),VLOOKUP(J35,Conf!$H:$I,2,0))</f>
        <v>Ativos</v>
      </c>
      <c r="E35" s="187">
        <v>1</v>
      </c>
      <c r="F35" s="187">
        <v>17</v>
      </c>
      <c r="G35" t="s">
        <v>241</v>
      </c>
      <c r="H35" s="71"/>
      <c r="I35" t="s">
        <v>222</v>
      </c>
      <c r="J35" s="187">
        <v>1</v>
      </c>
      <c r="K35" t="s">
        <v>1385</v>
      </c>
      <c r="L35" s="185"/>
      <c r="M35" s="188">
        <v>46155</v>
      </c>
      <c r="N35" s="71"/>
      <c r="Q35" s="71"/>
      <c r="R35" s="71"/>
      <c r="S35" t="s">
        <v>242</v>
      </c>
      <c r="T35" s="71"/>
    </row>
    <row r="36" spans="1:20" x14ac:dyDescent="0.3">
      <c r="A36" s="72">
        <f>IFERROR(VLOOKUP($G36,Conf!$B:$C,2,0),E36)</f>
        <v>1</v>
      </c>
      <c r="B36" s="72" t="str">
        <f ca="1">IF(D36="Inativo","Inativo",IFERROR(VLOOKUP($G36,Conf!$O:$Q,2,0),VLOOKUP($S36,Conf!$K:$M,2,0)))</f>
        <v>DEPOSITO</v>
      </c>
      <c r="C36" s="72" t="str">
        <f ca="1">IF(D36="Inativo","Inativo",IFERROR(VLOOKUP($G36,Conf!$O:$Q,3,0),IFERROR(VLOOKUP($G36,Conf!$E:$F,2,0),VLOOKUP($S36,Conf!$K:$M,3,0))))</f>
        <v>AUXILIAR</v>
      </c>
      <c r="D36" s="72" t="str">
        <f ca="1">IFERROR(IF(TODAY()-K36&gt;365,"Inativo",IF(J36=2,"Férias",IF(J36=7,"Demitido","Afastamento"))),VLOOKUP(J36,Conf!$H:$I,2,0))</f>
        <v>Ativos</v>
      </c>
      <c r="E36" s="187">
        <v>1</v>
      </c>
      <c r="F36" s="187">
        <v>45</v>
      </c>
      <c r="G36" t="s">
        <v>292</v>
      </c>
      <c r="H36" s="71"/>
      <c r="I36" t="s">
        <v>319</v>
      </c>
      <c r="J36" s="187">
        <v>1</v>
      </c>
      <c r="K36" t="s">
        <v>1385</v>
      </c>
      <c r="L36" s="185"/>
      <c r="M36" s="188">
        <v>46269</v>
      </c>
      <c r="N36" s="71"/>
      <c r="O36" s="71"/>
      <c r="P36" s="71"/>
      <c r="Q36" s="71"/>
      <c r="R36" s="71"/>
      <c r="S36" t="s">
        <v>249</v>
      </c>
      <c r="T36" s="71"/>
    </row>
    <row r="37" spans="1:20" x14ac:dyDescent="0.3">
      <c r="A37" s="72">
        <f>IFERROR(VLOOKUP($G37,Conf!$B:$C,2,0),E37)</f>
        <v>1</v>
      </c>
      <c r="B37" s="72" t="str">
        <f ca="1">IF(D37="Inativo","Inativo",IFERROR(VLOOKUP($G37,Conf!$O:$Q,2,0),VLOOKUP($S37,Conf!$K:$M,2,0)))</f>
        <v>DEPOSITO</v>
      </c>
      <c r="C37" s="72" t="str">
        <f ca="1">IF(D37="Inativo","Inativo",IFERROR(VLOOKUP($G37,Conf!$O:$Q,3,0),IFERROR(VLOOKUP($G37,Conf!$E:$F,2,0),VLOOKUP($S37,Conf!$K:$M,3,0))))</f>
        <v>AUXILIAR</v>
      </c>
      <c r="D37" s="72" t="str">
        <f ca="1">IFERROR(IF(TODAY()-K37&gt;365,"Inativo",IF(J37=2,"Férias",IF(J37=7,"Demitido","Afastamento"))),VLOOKUP(J37,Conf!$H:$I,2,0))</f>
        <v>Ativos</v>
      </c>
      <c r="E37" s="187">
        <v>1</v>
      </c>
      <c r="F37" s="187">
        <v>32</v>
      </c>
      <c r="G37" t="s">
        <v>1429</v>
      </c>
      <c r="H37" s="71"/>
      <c r="I37" t="s">
        <v>222</v>
      </c>
      <c r="J37" s="187">
        <v>1</v>
      </c>
      <c r="K37" t="s">
        <v>1385</v>
      </c>
      <c r="L37" s="185"/>
      <c r="M37" s="188">
        <v>46223</v>
      </c>
      <c r="N37" s="71"/>
      <c r="Q37" s="71"/>
      <c r="R37" s="71"/>
      <c r="S37" t="s">
        <v>249</v>
      </c>
      <c r="T37" s="71"/>
    </row>
    <row r="38" spans="1:20" x14ac:dyDescent="0.3">
      <c r="A38" s="72">
        <f>IFERROR(VLOOKUP($G38,Conf!$B:$C,2,0),E38)</f>
        <v>1</v>
      </c>
      <c r="B38" s="72" t="str">
        <f ca="1">IF(D38="Inativo","Inativo",IFERROR(VLOOKUP($G38,Conf!$O:$Q,2,0),VLOOKUP($S38,Conf!$K:$M,2,0)))</f>
        <v>DEPOSITO</v>
      </c>
      <c r="C38" s="72" t="str">
        <f ca="1">IF(D38="Inativo","Inativo",IFERROR(VLOOKUP($G38,Conf!$O:$Q,3,0),IFERROR(VLOOKUP($G38,Conf!$E:$F,2,0),VLOOKUP($S38,Conf!$K:$M,3,0))))</f>
        <v>AUXILIAR</v>
      </c>
      <c r="D38" s="72" t="str">
        <f ca="1">IFERROR(IF(TODAY()-K38&gt;365,"Inativo",IF(J38=2,"Férias",IF(J38=7,"Demitido","Afastamento"))),VLOOKUP(J38,Conf!$H:$I,2,0))</f>
        <v>Ativos</v>
      </c>
      <c r="E38" s="187">
        <v>1</v>
      </c>
      <c r="F38" s="187">
        <v>15</v>
      </c>
      <c r="G38" t="s">
        <v>253</v>
      </c>
      <c r="H38" s="71"/>
      <c r="I38" t="s">
        <v>222</v>
      </c>
      <c r="J38" s="187">
        <v>1</v>
      </c>
      <c r="K38" t="s">
        <v>1385</v>
      </c>
      <c r="L38" s="185"/>
      <c r="M38" s="188">
        <v>46147</v>
      </c>
      <c r="N38" s="71"/>
      <c r="Q38" s="71"/>
      <c r="R38" s="71"/>
      <c r="S38" t="s">
        <v>249</v>
      </c>
      <c r="T38" s="71"/>
    </row>
    <row r="39" spans="1:20" x14ac:dyDescent="0.3">
      <c r="A39" s="72">
        <f>IFERROR(VLOOKUP($G39,Conf!$B:$C,2,0),E39)</f>
        <v>1</v>
      </c>
      <c r="B39" s="72" t="str">
        <f ca="1">IF(D39="Inativo","Inativo",IFERROR(VLOOKUP($G39,Conf!$O:$Q,2,0),VLOOKUP($S39,Conf!$K:$M,2,0)))</f>
        <v>DEPOSITO</v>
      </c>
      <c r="C39" s="72" t="str">
        <f ca="1">IF(D39="Inativo","Inativo",IFERROR(VLOOKUP($G39,Conf!$O:$Q,3,0),IFERROR(VLOOKUP($G39,Conf!$E:$F,2,0),VLOOKUP($S39,Conf!$K:$M,3,0))))</f>
        <v>AUXILIAR</v>
      </c>
      <c r="D39" s="72" t="str">
        <f ca="1">IFERROR(IF(TODAY()-K39&gt;365,"Inativo",IF(J39=2,"Férias",IF(J39=7,"Demitido","Afastamento"))),VLOOKUP(J39,Conf!$H:$I,2,0))</f>
        <v>Ativos</v>
      </c>
      <c r="E39" s="187">
        <v>1</v>
      </c>
      <c r="F39" s="187">
        <v>1823</v>
      </c>
      <c r="G39" t="s">
        <v>246</v>
      </c>
      <c r="H39" s="71"/>
      <c r="I39" t="s">
        <v>247</v>
      </c>
      <c r="J39" s="187">
        <v>1</v>
      </c>
      <c r="K39" t="s">
        <v>1385</v>
      </c>
      <c r="L39" s="185"/>
      <c r="M39" s="188">
        <v>44655</v>
      </c>
      <c r="N39" s="71"/>
      <c r="O39" s="71"/>
      <c r="P39" s="71"/>
      <c r="Q39" s="71"/>
      <c r="R39" s="71"/>
      <c r="S39" t="s">
        <v>248</v>
      </c>
      <c r="T39" s="71"/>
    </row>
    <row r="40" spans="1:20" x14ac:dyDescent="0.3">
      <c r="A40" s="72">
        <f>IFERROR(VLOOKUP($G40,Conf!$B:$C,2,0),E40)</f>
        <v>1</v>
      </c>
      <c r="B40" s="72" t="str">
        <f ca="1">IF(D40="Inativo","Inativo",IFERROR(VLOOKUP($G40,Conf!$O:$Q,2,0),VLOOKUP($S40,Conf!$K:$M,2,0)))</f>
        <v>DEPOSITO</v>
      </c>
      <c r="C40" s="72" t="str">
        <f ca="1">IF(D40="Inativo","Inativo",IFERROR(VLOOKUP($G40,Conf!$O:$Q,3,0),IFERROR(VLOOKUP($G40,Conf!$E:$F,2,0),VLOOKUP($S40,Conf!$K:$M,3,0))))</f>
        <v>CONFERENTE</v>
      </c>
      <c r="D40" s="72" t="str">
        <f ca="1">IFERROR(IF(TODAY()-K40&gt;365,"Inativo",IF(J40=2,"Férias",IF(J40=7,"Demitido","Afastamento"))),VLOOKUP(J40,Conf!$H:$I,2,0))</f>
        <v>Ativos</v>
      </c>
      <c r="E40" s="187">
        <v>1</v>
      </c>
      <c r="F40" s="187">
        <v>2098</v>
      </c>
      <c r="G40" t="s">
        <v>252</v>
      </c>
      <c r="H40" s="71"/>
      <c r="I40" t="s">
        <v>225</v>
      </c>
      <c r="J40" s="187">
        <v>1</v>
      </c>
      <c r="K40" t="s">
        <v>1385</v>
      </c>
      <c r="L40" s="185"/>
      <c r="M40" s="188">
        <v>45474</v>
      </c>
      <c r="N40" s="71"/>
      <c r="O40" s="71"/>
      <c r="P40" s="71"/>
      <c r="Q40" s="71"/>
      <c r="R40" s="71"/>
      <c r="S40" t="s">
        <v>251</v>
      </c>
      <c r="T40" s="71"/>
    </row>
    <row r="41" spans="1:20" x14ac:dyDescent="0.3">
      <c r="A41" s="72">
        <f>IFERROR(VLOOKUP($G41,Conf!$B:$C,2,0),E41)</f>
        <v>1</v>
      </c>
      <c r="B41" s="72" t="str">
        <f ca="1">IF(D41="Inativo","Inativo",IFERROR(VLOOKUP($G41,Conf!$O:$Q,2,0),VLOOKUP($S41,Conf!$K:$M,2,0)))</f>
        <v>DEPOSITO</v>
      </c>
      <c r="C41" s="72" t="str">
        <f ca="1">IF(D41="Inativo","Inativo",IFERROR(VLOOKUP($G41,Conf!$O:$Q,3,0),IFERROR(VLOOKUP($G41,Conf!$E:$F,2,0),VLOOKUP($S41,Conf!$K:$M,3,0))))</f>
        <v>ENCARREGADO</v>
      </c>
      <c r="D41" s="72" t="str">
        <f ca="1">IFERROR(IF(TODAY()-K41&gt;365,"Inativo",IF(J41=2,"Férias",IF(J41=7,"Demitido","Afastamento"))),VLOOKUP(J41,Conf!$H:$I,2,0))</f>
        <v>Ativos</v>
      </c>
      <c r="E41" s="187">
        <v>1</v>
      </c>
      <c r="F41" s="187">
        <v>101</v>
      </c>
      <c r="G41" t="s">
        <v>259</v>
      </c>
      <c r="H41" s="71"/>
      <c r="I41" t="s">
        <v>247</v>
      </c>
      <c r="J41" s="187">
        <v>1</v>
      </c>
      <c r="K41" t="s">
        <v>1385</v>
      </c>
      <c r="L41" s="185"/>
      <c r="M41" s="188">
        <v>38992</v>
      </c>
      <c r="N41" s="71"/>
      <c r="Q41" s="71"/>
      <c r="R41" s="71"/>
      <c r="S41" t="s">
        <v>260</v>
      </c>
      <c r="T41" s="71"/>
    </row>
    <row r="42" spans="1:20" x14ac:dyDescent="0.3">
      <c r="A42" s="72">
        <f>IFERROR(VLOOKUP($G42,Conf!$B:$C,2,0),E42)</f>
        <v>1</v>
      </c>
      <c r="B42" s="72" t="str">
        <f ca="1">IF(D42="Inativo","Inativo",IFERROR(VLOOKUP($G42,Conf!$O:$Q,2,0),VLOOKUP($S42,Conf!$K:$M,2,0)))</f>
        <v>FRENTE DE CAIXA</v>
      </c>
      <c r="C42" s="72" t="str">
        <f ca="1">IF(D42="Inativo","Inativo",IFERROR(VLOOKUP($G42,Conf!$O:$Q,3,0),IFERROR(VLOOKUP($G42,Conf!$E:$F,2,0),VLOOKUP($S42,Conf!$K:$M,3,0))))</f>
        <v>EMPACOTADOR</v>
      </c>
      <c r="D42" s="72" t="str">
        <f ca="1">IFERROR(IF(TODAY()-K42&gt;365,"Inativo",IF(J42=2,"Férias",IF(J42=7,"Demitido","Afastamento"))),VLOOKUP(J42,Conf!$H:$I,2,0))</f>
        <v>Ativos</v>
      </c>
      <c r="E42" s="187">
        <v>1</v>
      </c>
      <c r="F42" s="187">
        <v>308</v>
      </c>
      <c r="G42" t="s">
        <v>264</v>
      </c>
      <c r="H42" s="71"/>
      <c r="I42" t="s">
        <v>265</v>
      </c>
      <c r="J42" s="187">
        <v>1</v>
      </c>
      <c r="K42" t="s">
        <v>1385</v>
      </c>
      <c r="L42" s="185"/>
      <c r="M42" s="188">
        <v>40039</v>
      </c>
      <c r="N42" s="71"/>
      <c r="Q42" s="71"/>
      <c r="R42" s="71"/>
      <c r="S42" t="s">
        <v>266</v>
      </c>
      <c r="T42" s="71"/>
    </row>
    <row r="43" spans="1:20" x14ac:dyDescent="0.3">
      <c r="A43" s="72">
        <f>IFERROR(VLOOKUP($G43,Conf!$B:$C,2,0),E43)</f>
        <v>1</v>
      </c>
      <c r="B43" s="72" t="str">
        <f ca="1">IF(D43="Inativo","Inativo",IFERROR(VLOOKUP($G43,Conf!$O:$Q,2,0),VLOOKUP($S43,Conf!$K:$M,2,0)))</f>
        <v>FRENTE DE CAIXA</v>
      </c>
      <c r="C43" s="72" t="str">
        <f ca="1">IF(D43="Inativo","Inativo",IFERROR(VLOOKUP($G43,Conf!$O:$Q,3,0),IFERROR(VLOOKUP($G43,Conf!$E:$F,2,0),VLOOKUP($S43,Conf!$K:$M,3,0))))</f>
        <v>EMPACOTADOR</v>
      </c>
      <c r="D43" s="72" t="str">
        <f ca="1">IFERROR(IF(TODAY()-K43&gt;365,"Inativo",IF(J43=2,"Férias",IF(J43=7,"Demitido","Afastamento"))),VLOOKUP(J43,Conf!$H:$I,2,0))</f>
        <v>Demitido</v>
      </c>
      <c r="E43" s="187">
        <v>1</v>
      </c>
      <c r="F43" s="187">
        <v>195</v>
      </c>
      <c r="G43" t="s">
        <v>267</v>
      </c>
      <c r="H43" s="71"/>
      <c r="I43" t="s">
        <v>220</v>
      </c>
      <c r="J43" s="187">
        <v>7</v>
      </c>
      <c r="K43" t="s">
        <v>1629</v>
      </c>
      <c r="L43" s="185"/>
      <c r="M43" s="188">
        <v>39454</v>
      </c>
      <c r="N43" s="71"/>
      <c r="Q43" s="71"/>
      <c r="R43" s="71"/>
      <c r="S43" t="s">
        <v>266</v>
      </c>
      <c r="T43" s="71"/>
    </row>
    <row r="44" spans="1:20" x14ac:dyDescent="0.3">
      <c r="A44" s="72">
        <f>IFERROR(VLOOKUP($G44,Conf!$B:$C,2,0),E44)</f>
        <v>1</v>
      </c>
      <c r="B44" s="72" t="str">
        <f ca="1">IF(D44="Inativo","Inativo",IFERROR(VLOOKUP($G44,Conf!$O:$Q,2,0),VLOOKUP($S44,Conf!$K:$M,2,0)))</f>
        <v>FRENTE DE CAIXA</v>
      </c>
      <c r="C44" s="72" t="str">
        <f ca="1">IF(D44="Inativo","Inativo",IFERROR(VLOOKUP($G44,Conf!$O:$Q,3,0),IFERROR(VLOOKUP($G44,Conf!$E:$F,2,0),VLOOKUP($S44,Conf!$K:$M,3,0))))</f>
        <v>EMPACOTADOR</v>
      </c>
      <c r="D44" s="72" t="str">
        <f ca="1">IFERROR(IF(TODAY()-K44&gt;365,"Inativo",IF(J44=2,"Férias",IF(J44=7,"Demitido","Afastamento"))),VLOOKUP(J44,Conf!$H:$I,2,0))</f>
        <v>Ativos</v>
      </c>
      <c r="E44" s="187">
        <v>1</v>
      </c>
      <c r="F44" s="187">
        <v>37</v>
      </c>
      <c r="G44" t="s">
        <v>1476</v>
      </c>
      <c r="H44" s="71"/>
      <c r="I44" t="s">
        <v>220</v>
      </c>
      <c r="J44" s="187">
        <v>1</v>
      </c>
      <c r="K44" t="s">
        <v>1385</v>
      </c>
      <c r="L44" s="185"/>
      <c r="M44" s="188">
        <v>46251</v>
      </c>
      <c r="N44" s="71"/>
      <c r="O44" s="71"/>
      <c r="P44" s="71"/>
      <c r="Q44" s="71"/>
      <c r="R44" s="71"/>
      <c r="S44" t="s">
        <v>272</v>
      </c>
      <c r="T44" s="71"/>
    </row>
    <row r="45" spans="1:20" x14ac:dyDescent="0.3">
      <c r="A45" s="72">
        <f>IFERROR(VLOOKUP($G45,Conf!$B:$C,2,0),E45)</f>
        <v>1</v>
      </c>
      <c r="B45" s="72" t="str">
        <f ca="1">IF(D45="Inativo","Inativo",IFERROR(VLOOKUP($G45,Conf!$O:$Q,2,0),VLOOKUP($S45,Conf!$K:$M,2,0)))</f>
        <v>FRENTE DE CAIXA</v>
      </c>
      <c r="C45" s="72" t="str">
        <f ca="1">IF(D45="Inativo","Inativo",IFERROR(VLOOKUP($G45,Conf!$O:$Q,3,0),IFERROR(VLOOKUP($G45,Conf!$E:$F,2,0),VLOOKUP($S45,Conf!$K:$M,3,0))))</f>
        <v>EMPACOTADOR</v>
      </c>
      <c r="D45" s="72" t="str">
        <f ca="1">IFERROR(IF(TODAY()-K45&gt;365,"Inativo",IF(J45=2,"Férias",IF(J45=7,"Demitido","Afastamento"))),VLOOKUP(J45,Conf!$H:$I,2,0))</f>
        <v>Férias</v>
      </c>
      <c r="E45" s="187">
        <v>1</v>
      </c>
      <c r="F45" s="187">
        <v>1970</v>
      </c>
      <c r="G45" t="s">
        <v>270</v>
      </c>
      <c r="H45" s="71"/>
      <c r="I45" t="s">
        <v>271</v>
      </c>
      <c r="J45" s="187">
        <v>2</v>
      </c>
      <c r="K45" t="s">
        <v>1629</v>
      </c>
      <c r="L45" s="185"/>
      <c r="M45" s="188">
        <v>45010</v>
      </c>
      <c r="N45" s="71"/>
      <c r="O45" s="71"/>
      <c r="P45" s="71"/>
      <c r="Q45" s="71"/>
      <c r="R45" s="71"/>
      <c r="S45" t="s">
        <v>266</v>
      </c>
      <c r="T45" s="71"/>
    </row>
    <row r="46" spans="1:20" x14ac:dyDescent="0.3">
      <c r="A46" s="72">
        <f>IFERROR(VLOOKUP($G46,Conf!$B:$C,2,0),E46)</f>
        <v>1</v>
      </c>
      <c r="B46" s="72" t="str">
        <f ca="1">IF(D46="Inativo","Inativo",IFERROR(VLOOKUP($G46,Conf!$O:$Q,2,0),VLOOKUP($S46,Conf!$K:$M,2,0)))</f>
        <v>FRENTE DE CAIXA</v>
      </c>
      <c r="C46" s="72" t="str">
        <f ca="1">IF(D46="Inativo","Inativo",IFERROR(VLOOKUP($G46,Conf!$O:$Q,3,0),IFERROR(VLOOKUP($G46,Conf!$E:$F,2,0),VLOOKUP($S46,Conf!$K:$M,3,0))))</f>
        <v>EMPACOTADOR</v>
      </c>
      <c r="D46" s="72" t="str">
        <f ca="1">IFERROR(IF(TODAY()-K46&gt;365,"Inativo",IF(J46=2,"Férias",IF(J46=7,"Demitido","Afastamento"))),VLOOKUP(J46,Conf!$H:$I,2,0))</f>
        <v>Ativos</v>
      </c>
      <c r="E46" s="187">
        <v>1</v>
      </c>
      <c r="F46" s="187">
        <v>48</v>
      </c>
      <c r="G46" t="s">
        <v>1566</v>
      </c>
      <c r="H46" s="71"/>
      <c r="I46" t="s">
        <v>357</v>
      </c>
      <c r="J46" s="187">
        <v>1</v>
      </c>
      <c r="K46" t="s">
        <v>1385</v>
      </c>
      <c r="L46" s="185"/>
      <c r="M46" s="188">
        <v>46282</v>
      </c>
      <c r="N46" s="71"/>
      <c r="Q46" s="71"/>
      <c r="R46" s="71"/>
      <c r="S46" t="s">
        <v>272</v>
      </c>
      <c r="T46" s="71"/>
    </row>
    <row r="47" spans="1:20" x14ac:dyDescent="0.3">
      <c r="A47" s="72">
        <f>IFERROR(VLOOKUP($G47,Conf!$B:$C,2,0),E47)</f>
        <v>1</v>
      </c>
      <c r="B47" s="72" t="str">
        <f ca="1">IF(D47="Inativo","Inativo",IFERROR(VLOOKUP($G47,Conf!$O:$Q,2,0),VLOOKUP($S47,Conf!$K:$M,2,0)))</f>
        <v>FRENTE DE CAIXA</v>
      </c>
      <c r="C47" s="72" t="str">
        <f ca="1">IF(D47="Inativo","Inativo",IFERROR(VLOOKUP($G47,Conf!$O:$Q,3,0),IFERROR(VLOOKUP($G47,Conf!$E:$F,2,0),VLOOKUP($S47,Conf!$K:$M,3,0))))</f>
        <v>ENCARREGADO</v>
      </c>
      <c r="D47" s="72" t="str">
        <f ca="1">IFERROR(IF(TODAY()-K47&gt;365,"Inativo",IF(J47=2,"Férias",IF(J47=7,"Demitido","Afastamento"))),VLOOKUP(J47,Conf!$H:$I,2,0))</f>
        <v>Ativos</v>
      </c>
      <c r="E47" s="187">
        <v>1</v>
      </c>
      <c r="F47" s="187">
        <v>2424</v>
      </c>
      <c r="G47" t="s">
        <v>273</v>
      </c>
      <c r="H47" s="71"/>
      <c r="I47" t="s">
        <v>220</v>
      </c>
      <c r="J47" s="187">
        <v>1</v>
      </c>
      <c r="K47" t="s">
        <v>1385</v>
      </c>
      <c r="L47" s="185"/>
      <c r="M47" s="188">
        <v>46135</v>
      </c>
      <c r="N47" s="71"/>
      <c r="Q47" s="71"/>
      <c r="R47" s="71"/>
      <c r="S47" t="s">
        <v>274</v>
      </c>
      <c r="T47" s="71"/>
    </row>
    <row r="48" spans="1:20" x14ac:dyDescent="0.3">
      <c r="A48" s="72">
        <f>IFERROR(VLOOKUP($G48,Conf!$B:$C,2,0),E48)</f>
        <v>1</v>
      </c>
      <c r="B48" s="72" t="str">
        <f ca="1">IF(D48="Inativo","Inativo",IFERROR(VLOOKUP($G48,Conf!$O:$Q,2,0),VLOOKUP($S48,Conf!$K:$M,2,0)))</f>
        <v>FRENTE DE CAIXA</v>
      </c>
      <c r="C48" s="72" t="str">
        <f ca="1">IF(D48="Inativo","Inativo",IFERROR(VLOOKUP($G48,Conf!$O:$Q,3,0),IFERROR(VLOOKUP($G48,Conf!$E:$F,2,0),VLOOKUP($S48,Conf!$K:$M,3,0))))</f>
        <v>ENCARREGADO</v>
      </c>
      <c r="D48" s="72" t="str">
        <f ca="1">IFERROR(IF(TODAY()-K48&gt;365,"Inativo",IF(J48=2,"Férias",IF(J48=7,"Demitido","Afastamento"))),VLOOKUP(J48,Conf!$H:$I,2,0))</f>
        <v>Ativos</v>
      </c>
      <c r="E48" s="187">
        <v>1</v>
      </c>
      <c r="F48" s="187">
        <v>18</v>
      </c>
      <c r="G48" t="s">
        <v>275</v>
      </c>
      <c r="H48" s="71"/>
      <c r="I48" t="s">
        <v>222</v>
      </c>
      <c r="J48" s="187">
        <v>1</v>
      </c>
      <c r="K48" t="s">
        <v>1385</v>
      </c>
      <c r="L48" s="185"/>
      <c r="M48" s="188">
        <v>36923</v>
      </c>
      <c r="N48" s="71"/>
      <c r="Q48" s="71"/>
      <c r="R48" s="71"/>
      <c r="S48" t="s">
        <v>274</v>
      </c>
      <c r="T48" s="71"/>
    </row>
    <row r="49" spans="1:20" x14ac:dyDescent="0.3">
      <c r="A49" s="72">
        <f>IFERROR(VLOOKUP($G49,Conf!$B:$C,2,0),E49)</f>
        <v>1</v>
      </c>
      <c r="B49" s="72" t="str">
        <f ca="1">IF(D49="Inativo","Inativo",IFERROR(VLOOKUP($G49,Conf!$O:$Q,2,0),VLOOKUP($S49,Conf!$K:$M,2,0)))</f>
        <v>FRENTE DE CAIXA</v>
      </c>
      <c r="C49" s="72" t="str">
        <f ca="1">IF(D49="Inativo","Inativo",IFERROR(VLOOKUP($G49,Conf!$O:$Q,3,0),IFERROR(VLOOKUP($G49,Conf!$E:$F,2,0),VLOOKUP($S49,Conf!$K:$M,3,0))))</f>
        <v>ENTREGADOR</v>
      </c>
      <c r="D49" s="72" t="str">
        <f ca="1">IFERROR(IF(TODAY()-K49&gt;365,"Inativo",IF(J49=2,"Férias",IF(J49=7,"Demitido","Afastamento"))),VLOOKUP(J49,Conf!$H:$I,2,0))</f>
        <v>Afastamento</v>
      </c>
      <c r="E49" s="187">
        <v>1</v>
      </c>
      <c r="F49" s="187">
        <v>563</v>
      </c>
      <c r="G49" t="s">
        <v>250</v>
      </c>
      <c r="H49" s="71"/>
      <c r="I49" t="s">
        <v>220</v>
      </c>
      <c r="J49" s="187">
        <v>4</v>
      </c>
      <c r="K49" t="s">
        <v>1599</v>
      </c>
      <c r="L49" s="185"/>
      <c r="M49" s="188">
        <v>40933</v>
      </c>
      <c r="N49" s="71"/>
      <c r="Q49" s="71"/>
      <c r="R49" s="71"/>
      <c r="S49" t="s">
        <v>263</v>
      </c>
      <c r="T49" s="71"/>
    </row>
    <row r="50" spans="1:20" x14ac:dyDescent="0.3">
      <c r="A50" s="72">
        <f>IFERROR(VLOOKUP($G50,Conf!$B:$C,2,0),E50)</f>
        <v>1</v>
      </c>
      <c r="B50" s="72" t="str">
        <f ca="1">IF(D50="Inativo","Inativo",IFERROR(VLOOKUP($G50,Conf!$O:$Q,2,0),VLOOKUP($S50,Conf!$K:$M,2,0)))</f>
        <v>FRENTE DE CAIXA</v>
      </c>
      <c r="C50" s="72" t="str">
        <f ca="1">IF(D50="Inativo","Inativo",IFERROR(VLOOKUP($G50,Conf!$O:$Q,3,0),IFERROR(VLOOKUP($G50,Conf!$E:$F,2,0),VLOOKUP($S50,Conf!$K:$M,3,0))))</f>
        <v>ENTREGADOR</v>
      </c>
      <c r="D50" s="72" t="str">
        <f ca="1">IFERROR(IF(TODAY()-K50&gt;365,"Inativo",IF(J50=2,"Férias",IF(J50=7,"Demitido","Afastamento"))),VLOOKUP(J50,Conf!$H:$I,2,0))</f>
        <v>Ativos</v>
      </c>
      <c r="E50" s="187">
        <v>1</v>
      </c>
      <c r="F50" s="187">
        <v>1067</v>
      </c>
      <c r="G50" t="s">
        <v>261</v>
      </c>
      <c r="H50" s="71"/>
      <c r="I50" t="s">
        <v>262</v>
      </c>
      <c r="J50" s="187">
        <v>1</v>
      </c>
      <c r="K50" t="s">
        <v>1385</v>
      </c>
      <c r="L50" s="185"/>
      <c r="M50" s="188">
        <v>42067</v>
      </c>
      <c r="N50" s="71"/>
      <c r="Q50" s="71"/>
      <c r="R50" s="71"/>
      <c r="S50" t="s">
        <v>263</v>
      </c>
      <c r="T50" s="71"/>
    </row>
    <row r="51" spans="1:20" x14ac:dyDescent="0.3">
      <c r="A51" s="72">
        <f>IFERROR(VLOOKUP($G51,Conf!$B:$C,2,0),E51)</f>
        <v>1</v>
      </c>
      <c r="B51" s="72" t="str">
        <f ca="1">IF(D51="Inativo","Inativo",IFERROR(VLOOKUP($G51,Conf!$O:$Q,2,0),VLOOKUP($S51,Conf!$K:$M,2,0)))</f>
        <v>FRENTE DE CAIXA</v>
      </c>
      <c r="C51" s="72" t="str">
        <f ca="1">IF(D51="Inativo","Inativo",IFERROR(VLOOKUP($G51,Conf!$O:$Q,3,0),IFERROR(VLOOKUP($G51,Conf!$E:$F,2,0),VLOOKUP($S51,Conf!$K:$M,3,0))))</f>
        <v>ESTACIONAMENTO</v>
      </c>
      <c r="D51" s="72" t="str">
        <f ca="1">IFERROR(IF(TODAY()-K51&gt;365,"Inativo",IF(J51=2,"Férias",IF(J51=7,"Demitido","Afastamento"))),VLOOKUP(J51,Conf!$H:$I,2,0))</f>
        <v>Ativos</v>
      </c>
      <c r="E51" s="187">
        <v>1</v>
      </c>
      <c r="F51" s="187">
        <v>38</v>
      </c>
      <c r="G51" t="s">
        <v>1477</v>
      </c>
      <c r="H51" s="71"/>
      <c r="I51" t="s">
        <v>220</v>
      </c>
      <c r="J51" s="187">
        <v>1</v>
      </c>
      <c r="K51" t="s">
        <v>1385</v>
      </c>
      <c r="L51" s="185"/>
      <c r="M51" s="188">
        <v>46251</v>
      </c>
      <c r="N51" s="71"/>
      <c r="O51" s="71"/>
      <c r="P51" s="71"/>
      <c r="Q51" s="71"/>
      <c r="R51" s="71"/>
      <c r="S51" t="s">
        <v>1478</v>
      </c>
      <c r="T51" s="71"/>
    </row>
    <row r="52" spans="1:20" x14ac:dyDescent="0.3">
      <c r="A52" s="72">
        <f>IFERROR(VLOOKUP($G52,Conf!$B:$C,2,0),E52)</f>
        <v>1</v>
      </c>
      <c r="B52" s="72" t="str">
        <f ca="1">IF(D52="Inativo","Inativo",IFERROR(VLOOKUP($G52,Conf!$O:$Q,2,0),VLOOKUP($S52,Conf!$K:$M,2,0)))</f>
        <v>FRENTE DE CAIXA</v>
      </c>
      <c r="C52" s="72" t="str">
        <f ca="1">IF(D52="Inativo","Inativo",IFERROR(VLOOKUP($G52,Conf!$O:$Q,3,0),IFERROR(VLOOKUP($G52,Conf!$E:$F,2,0),VLOOKUP($S52,Conf!$K:$M,3,0))))</f>
        <v>FISCAL DE CAIXA</v>
      </c>
      <c r="D52" s="72" t="str">
        <f ca="1">IFERROR(IF(TODAY()-K52&gt;365,"Inativo",IF(J52=2,"Férias",IF(J52=7,"Demitido","Afastamento"))),VLOOKUP(J52,Conf!$H:$I,2,0))</f>
        <v>Ativos</v>
      </c>
      <c r="E52" s="187">
        <v>1</v>
      </c>
      <c r="F52" s="187">
        <v>1369</v>
      </c>
      <c r="G52" t="s">
        <v>276</v>
      </c>
      <c r="H52" s="71"/>
      <c r="I52" t="s">
        <v>277</v>
      </c>
      <c r="J52" s="187">
        <v>1</v>
      </c>
      <c r="K52" t="s">
        <v>1385</v>
      </c>
      <c r="L52" s="185"/>
      <c r="M52" s="188">
        <v>43073</v>
      </c>
      <c r="N52" s="71"/>
      <c r="O52" s="71"/>
      <c r="P52" s="71"/>
      <c r="Q52" s="71"/>
      <c r="R52" s="71"/>
      <c r="S52" t="s">
        <v>278</v>
      </c>
      <c r="T52" s="71"/>
    </row>
    <row r="53" spans="1:20" x14ac:dyDescent="0.3">
      <c r="A53" s="72">
        <f>IFERROR(VLOOKUP($G53,Conf!$B:$C,2,0),E53)</f>
        <v>1</v>
      </c>
      <c r="B53" s="72" t="str">
        <f ca="1">IF(D53="Inativo","Inativo",IFERROR(VLOOKUP($G53,Conf!$O:$Q,2,0),VLOOKUP($S53,Conf!$K:$M,2,0)))</f>
        <v>FRENTE DE CAIXA</v>
      </c>
      <c r="C53" s="72" t="str">
        <f ca="1">IF(D53="Inativo","Inativo",IFERROR(VLOOKUP($G53,Conf!$O:$Q,3,0),IFERROR(VLOOKUP($G53,Conf!$E:$F,2,0),VLOOKUP($S53,Conf!$K:$M,3,0))))</f>
        <v>FISCAL DE CAIXA</v>
      </c>
      <c r="D53" s="72" t="str">
        <f ca="1">IFERROR(IF(TODAY()-K53&gt;365,"Inativo",IF(J53=2,"Férias",IF(J53=7,"Demitido","Afastamento"))),VLOOKUP(J53,Conf!$H:$I,2,0))</f>
        <v>Ativos</v>
      </c>
      <c r="E53" s="187">
        <v>1</v>
      </c>
      <c r="F53" s="187">
        <v>2417</v>
      </c>
      <c r="G53" t="s">
        <v>298</v>
      </c>
      <c r="H53" s="71"/>
      <c r="I53" t="s">
        <v>220</v>
      </c>
      <c r="J53" s="187">
        <v>1</v>
      </c>
      <c r="K53" t="s">
        <v>1385</v>
      </c>
      <c r="L53" s="185"/>
      <c r="M53" s="188">
        <v>46113</v>
      </c>
      <c r="N53" s="71"/>
      <c r="Q53" s="71"/>
      <c r="R53" s="71"/>
      <c r="S53" t="s">
        <v>278</v>
      </c>
      <c r="T53" s="71"/>
    </row>
    <row r="54" spans="1:20" x14ac:dyDescent="0.3">
      <c r="A54" s="72">
        <f>IFERROR(VLOOKUP($G54,Conf!$B:$C,2,0),E54)</f>
        <v>1</v>
      </c>
      <c r="B54" s="72" t="str">
        <f ca="1">IF(D54="Inativo","Inativo",IFERROR(VLOOKUP($G54,Conf!$O:$Q,2,0),VLOOKUP($S54,Conf!$K:$M,2,0)))</f>
        <v>FRENTE DE CAIXA</v>
      </c>
      <c r="C54" s="72" t="str">
        <f ca="1">IF(D54="Inativo","Inativo",IFERROR(VLOOKUP($G54,Conf!$O:$Q,3,0),IFERROR(VLOOKUP($G54,Conf!$E:$F,2,0),VLOOKUP($S54,Conf!$K:$M,3,0))))</f>
        <v>FISCAL DE CAIXA</v>
      </c>
      <c r="D54" s="72" t="str">
        <f ca="1">IFERROR(IF(TODAY()-K54&gt;365,"Inativo",IF(J54=2,"Férias",IF(J54=7,"Demitido","Afastamento"))),VLOOKUP(J54,Conf!$H:$I,2,0))</f>
        <v>Ativos</v>
      </c>
      <c r="E54" s="187">
        <v>1</v>
      </c>
      <c r="F54" s="187">
        <v>1679</v>
      </c>
      <c r="G54" t="s">
        <v>279</v>
      </c>
      <c r="H54" s="71"/>
      <c r="I54" t="s">
        <v>220</v>
      </c>
      <c r="J54" s="187">
        <v>1</v>
      </c>
      <c r="K54" t="s">
        <v>1385</v>
      </c>
      <c r="L54" s="185"/>
      <c r="M54" s="188">
        <v>44242</v>
      </c>
      <c r="N54" s="71"/>
      <c r="O54" s="71"/>
      <c r="P54" s="71"/>
      <c r="Q54" s="71"/>
      <c r="R54" s="71"/>
      <c r="S54" t="s">
        <v>278</v>
      </c>
      <c r="T54" s="71"/>
    </row>
    <row r="55" spans="1:20" x14ac:dyDescent="0.3">
      <c r="A55" s="72">
        <f>IFERROR(VLOOKUP($G55,Conf!$B:$C,2,0),E55)</f>
        <v>1</v>
      </c>
      <c r="B55" s="72" t="str">
        <f ca="1">IF(D55="Inativo","Inativo",IFERROR(VLOOKUP($G55,Conf!$O:$Q,2,0),VLOOKUP($S55,Conf!$K:$M,2,0)))</f>
        <v>FRENTE DE CAIXA</v>
      </c>
      <c r="C55" s="72" t="str">
        <f ca="1">IF(D55="Inativo","Inativo",IFERROR(VLOOKUP($G55,Conf!$O:$Q,3,0),IFERROR(VLOOKUP($G55,Conf!$E:$F,2,0),VLOOKUP($S55,Conf!$K:$M,3,0))))</f>
        <v>OPERADOR CAIXA</v>
      </c>
      <c r="D55" s="72" t="str">
        <f ca="1">IFERROR(IF(TODAY()-K55&gt;365,"Inativo",IF(J55=2,"Férias",IF(J55=7,"Demitido","Afastamento"))),VLOOKUP(J55,Conf!$H:$I,2,0))</f>
        <v>Ativos</v>
      </c>
      <c r="E55" s="187">
        <v>1</v>
      </c>
      <c r="F55" s="187">
        <v>2419</v>
      </c>
      <c r="G55" t="s">
        <v>280</v>
      </c>
      <c r="H55" s="71"/>
      <c r="I55" t="s">
        <v>220</v>
      </c>
      <c r="J55" s="187">
        <v>1</v>
      </c>
      <c r="K55" t="s">
        <v>1385</v>
      </c>
      <c r="L55" s="185"/>
      <c r="M55" s="188">
        <v>46121</v>
      </c>
      <c r="N55" s="71"/>
      <c r="Q55" s="71"/>
      <c r="R55" s="71"/>
      <c r="S55" t="s">
        <v>281</v>
      </c>
      <c r="T55" s="71"/>
    </row>
    <row r="56" spans="1:20" x14ac:dyDescent="0.3">
      <c r="A56" s="72">
        <f>IFERROR(VLOOKUP($G56,Conf!$B:$C,2,0),E56)</f>
        <v>1</v>
      </c>
      <c r="B56" s="72" t="str">
        <f ca="1">IF(D56="Inativo","Inativo",IFERROR(VLOOKUP($G56,Conf!$O:$Q,2,0),VLOOKUP($S56,Conf!$K:$M,2,0)))</f>
        <v>FRENTE DE CAIXA</v>
      </c>
      <c r="C56" s="72" t="str">
        <f ca="1">IF(D56="Inativo","Inativo",IFERROR(VLOOKUP($G56,Conf!$O:$Q,3,0),IFERROR(VLOOKUP($G56,Conf!$E:$F,2,0),VLOOKUP($S56,Conf!$K:$M,3,0))))</f>
        <v>OPERADOR CAIXA</v>
      </c>
      <c r="D56" s="72" t="str">
        <f ca="1">IFERROR(IF(TODAY()-K56&gt;365,"Inativo",IF(J56=2,"Férias",IF(J56=7,"Demitido","Afastamento"))),VLOOKUP(J56,Conf!$H:$I,2,0))</f>
        <v>Demitido</v>
      </c>
      <c r="E56" s="187">
        <v>1</v>
      </c>
      <c r="F56" s="187">
        <v>2457</v>
      </c>
      <c r="G56" t="s">
        <v>1529</v>
      </c>
      <c r="H56" s="71"/>
      <c r="I56" t="s">
        <v>220</v>
      </c>
      <c r="J56" s="187">
        <v>7</v>
      </c>
      <c r="K56" t="s">
        <v>1600</v>
      </c>
      <c r="L56" s="185"/>
      <c r="M56" s="188">
        <v>46269</v>
      </c>
      <c r="N56" s="71"/>
      <c r="O56" s="71"/>
      <c r="P56" s="71"/>
      <c r="Q56" s="71"/>
      <c r="R56" s="71"/>
      <c r="S56" t="s">
        <v>281</v>
      </c>
      <c r="T56" s="71"/>
    </row>
    <row r="57" spans="1:20" x14ac:dyDescent="0.3">
      <c r="A57" s="72">
        <f>IFERROR(VLOOKUP($G57,Conf!$B:$C,2,0),E57)</f>
        <v>1</v>
      </c>
      <c r="B57" s="72" t="str">
        <f ca="1">IF(D57="Inativo","Inativo",IFERROR(VLOOKUP($G57,Conf!$O:$Q,2,0),VLOOKUP($S57,Conf!$K:$M,2,0)))</f>
        <v>FRENTE DE CAIXA</v>
      </c>
      <c r="C57" s="72" t="str">
        <f ca="1">IF(D57="Inativo","Inativo",IFERROR(VLOOKUP($G57,Conf!$O:$Q,3,0),IFERROR(VLOOKUP($G57,Conf!$E:$F,2,0),VLOOKUP($S57,Conf!$K:$M,3,0))))</f>
        <v>OPERADOR CAIXA</v>
      </c>
      <c r="D57" s="72" t="str">
        <f ca="1">IFERROR(IF(TODAY()-K57&gt;365,"Inativo",IF(J57=2,"Férias",IF(J57=7,"Demitido","Afastamento"))),VLOOKUP(J57,Conf!$H:$I,2,0))</f>
        <v>Ativos</v>
      </c>
      <c r="E57" s="187">
        <v>1</v>
      </c>
      <c r="F57" s="187">
        <v>2268</v>
      </c>
      <c r="G57" t="s">
        <v>282</v>
      </c>
      <c r="H57" s="71"/>
      <c r="I57" t="s">
        <v>220</v>
      </c>
      <c r="J57" s="187">
        <v>1</v>
      </c>
      <c r="K57" t="s">
        <v>1385</v>
      </c>
      <c r="L57" s="185"/>
      <c r="M57" s="188">
        <v>45797</v>
      </c>
      <c r="N57" s="71"/>
      <c r="Q57" s="71"/>
      <c r="R57" s="71"/>
      <c r="S57" t="s">
        <v>281</v>
      </c>
      <c r="T57" s="71"/>
    </row>
    <row r="58" spans="1:20" x14ac:dyDescent="0.3">
      <c r="A58" s="72">
        <f>IFERROR(VLOOKUP($G58,Conf!$B:$C,2,0),E58)</f>
        <v>1</v>
      </c>
      <c r="B58" s="72" t="str">
        <f ca="1">IF(D58="Inativo","Inativo",IFERROR(VLOOKUP($G58,Conf!$O:$Q,2,0),VLOOKUP($S58,Conf!$K:$M,2,0)))</f>
        <v>FRENTE DE CAIXA</v>
      </c>
      <c r="C58" s="72" t="str">
        <f ca="1">IF(D58="Inativo","Inativo",IFERROR(VLOOKUP($G58,Conf!$O:$Q,3,0),IFERROR(VLOOKUP($G58,Conf!$E:$F,2,0),VLOOKUP($S58,Conf!$K:$M,3,0))))</f>
        <v>OPERADOR CAIXA</v>
      </c>
      <c r="D58" s="72" t="str">
        <f ca="1">IFERROR(IF(TODAY()-K58&gt;365,"Inativo",IF(J58=2,"Férias",IF(J58=7,"Demitido","Afastamento"))),VLOOKUP(J58,Conf!$H:$I,2,0))</f>
        <v>Demitido</v>
      </c>
      <c r="E58" s="187">
        <v>1</v>
      </c>
      <c r="F58" s="187">
        <v>2428</v>
      </c>
      <c r="G58" t="s">
        <v>283</v>
      </c>
      <c r="H58" s="71"/>
      <c r="I58" t="s">
        <v>220</v>
      </c>
      <c r="J58" s="187">
        <v>7</v>
      </c>
      <c r="K58" t="s">
        <v>1551</v>
      </c>
      <c r="L58" s="185"/>
      <c r="M58" s="188">
        <v>46163</v>
      </c>
      <c r="N58" s="71"/>
      <c r="Q58" s="71"/>
      <c r="R58" s="71"/>
      <c r="S58" t="s">
        <v>281</v>
      </c>
      <c r="T58" s="71"/>
    </row>
    <row r="59" spans="1:20" x14ac:dyDescent="0.3">
      <c r="A59" s="72">
        <f>IFERROR(VLOOKUP($G59,Conf!$B:$C,2,0),E59)</f>
        <v>1</v>
      </c>
      <c r="B59" s="72" t="str">
        <f ca="1">IF(D59="Inativo","Inativo",IFERROR(VLOOKUP($G59,Conf!$O:$Q,2,0),VLOOKUP($S59,Conf!$K:$M,2,0)))</f>
        <v>FRENTE DE CAIXA</v>
      </c>
      <c r="C59" s="72" t="str">
        <f ca="1">IF(D59="Inativo","Inativo",IFERROR(VLOOKUP($G59,Conf!$O:$Q,3,0),IFERROR(VLOOKUP($G59,Conf!$E:$F,2,0),VLOOKUP($S59,Conf!$K:$M,3,0))))</f>
        <v>OPERADOR CAIXA</v>
      </c>
      <c r="D59" s="72" t="str">
        <f ca="1">IFERROR(IF(TODAY()-K59&gt;365,"Inativo",IF(J59=2,"Férias",IF(J59=7,"Demitido","Afastamento"))),VLOOKUP(J59,Conf!$H:$I,2,0))</f>
        <v>Férias</v>
      </c>
      <c r="E59" s="187">
        <v>1</v>
      </c>
      <c r="F59" s="187">
        <v>778</v>
      </c>
      <c r="G59" t="s">
        <v>285</v>
      </c>
      <c r="H59" s="71"/>
      <c r="I59" t="s">
        <v>225</v>
      </c>
      <c r="J59" s="187">
        <v>2</v>
      </c>
      <c r="K59" t="s">
        <v>1629</v>
      </c>
      <c r="L59" s="185"/>
      <c r="M59" s="188">
        <v>41526</v>
      </c>
      <c r="N59" s="71"/>
      <c r="Q59" s="71"/>
      <c r="R59" s="71"/>
      <c r="S59" t="s">
        <v>281</v>
      </c>
      <c r="T59" s="71"/>
    </row>
    <row r="60" spans="1:20" x14ac:dyDescent="0.3">
      <c r="A60" s="72">
        <f>IFERROR(VLOOKUP($G60,Conf!$B:$C,2,0),E60)</f>
        <v>1</v>
      </c>
      <c r="B60" s="72" t="str">
        <f ca="1">IF(D60="Inativo","Inativo",IFERROR(VLOOKUP($G60,Conf!$O:$Q,2,0),VLOOKUP($S60,Conf!$K:$M,2,0)))</f>
        <v>FRENTE DE CAIXA</v>
      </c>
      <c r="C60" s="72" t="str">
        <f ca="1">IF(D60="Inativo","Inativo",IFERROR(VLOOKUP($G60,Conf!$O:$Q,3,0),IFERROR(VLOOKUP($G60,Conf!$E:$F,2,0),VLOOKUP($S60,Conf!$K:$M,3,0))))</f>
        <v>OPERADOR CAIXA</v>
      </c>
      <c r="D60" s="72" t="str">
        <f ca="1">IFERROR(IF(TODAY()-K60&gt;365,"Inativo",IF(J60=2,"Férias",IF(J60=7,"Demitido","Afastamento"))),VLOOKUP(J60,Conf!$H:$I,2,0))</f>
        <v>Afastamento</v>
      </c>
      <c r="E60" s="187">
        <v>1</v>
      </c>
      <c r="F60" s="187">
        <v>2267</v>
      </c>
      <c r="G60" t="s">
        <v>286</v>
      </c>
      <c r="H60" s="71"/>
      <c r="I60" t="s">
        <v>220</v>
      </c>
      <c r="J60" s="187">
        <v>5</v>
      </c>
      <c r="K60" t="s">
        <v>287</v>
      </c>
      <c r="L60" s="185"/>
      <c r="M60" s="188">
        <v>45796</v>
      </c>
      <c r="N60" s="71"/>
      <c r="O60" s="71"/>
      <c r="P60" s="71"/>
      <c r="Q60" s="71"/>
      <c r="R60" s="71"/>
      <c r="S60" t="s">
        <v>281</v>
      </c>
      <c r="T60" s="71"/>
    </row>
    <row r="61" spans="1:20" x14ac:dyDescent="0.3">
      <c r="A61" s="72">
        <f>IFERROR(VLOOKUP($G61,Conf!$B:$C,2,0),E61)</f>
        <v>1</v>
      </c>
      <c r="B61" s="72" t="str">
        <f ca="1">IF(D61="Inativo","Inativo",IFERROR(VLOOKUP($G61,Conf!$O:$Q,2,0),VLOOKUP($S61,Conf!$K:$M,2,0)))</f>
        <v>FRENTE DE CAIXA</v>
      </c>
      <c r="C61" s="72" t="str">
        <f ca="1">IF(D61="Inativo","Inativo",IFERROR(VLOOKUP($G61,Conf!$O:$Q,3,0),IFERROR(VLOOKUP($G61,Conf!$E:$F,2,0),VLOOKUP($S61,Conf!$K:$M,3,0))))</f>
        <v>OPERADOR CAIXA</v>
      </c>
      <c r="D61" s="72" t="str">
        <f ca="1">IFERROR(IF(TODAY()-K61&gt;365,"Inativo",IF(J61=2,"Férias",IF(J61=7,"Demitido","Afastamento"))),VLOOKUP(J61,Conf!$H:$I,2,0))</f>
        <v>Ativos</v>
      </c>
      <c r="E61" s="187">
        <v>1</v>
      </c>
      <c r="F61" s="187">
        <v>2436</v>
      </c>
      <c r="G61" t="s">
        <v>1302</v>
      </c>
      <c r="H61" s="71"/>
      <c r="I61" t="s">
        <v>220</v>
      </c>
      <c r="J61" s="187">
        <v>1</v>
      </c>
      <c r="K61" t="s">
        <v>1385</v>
      </c>
      <c r="L61" s="185"/>
      <c r="M61" s="188">
        <v>46184</v>
      </c>
      <c r="N61" s="71"/>
      <c r="O61" s="71"/>
      <c r="P61" s="71"/>
      <c r="Q61" s="71"/>
      <c r="R61" s="71"/>
      <c r="S61" t="s">
        <v>281</v>
      </c>
      <c r="T61" s="71"/>
    </row>
    <row r="62" spans="1:20" x14ac:dyDescent="0.3">
      <c r="A62" s="72">
        <f>IFERROR(VLOOKUP($G62,Conf!$B:$C,2,0),E62)</f>
        <v>1</v>
      </c>
      <c r="B62" s="72" t="str">
        <f ca="1">IF(D62="Inativo","Inativo",IFERROR(VLOOKUP($G62,Conf!$O:$Q,2,0),VLOOKUP($S62,Conf!$K:$M,2,0)))</f>
        <v>FRENTE DE CAIXA</v>
      </c>
      <c r="C62" s="72" t="str">
        <f ca="1">IF(D62="Inativo","Inativo",IFERROR(VLOOKUP($G62,Conf!$O:$Q,3,0),IFERROR(VLOOKUP($G62,Conf!$E:$F,2,0),VLOOKUP($S62,Conf!$K:$M,3,0))))</f>
        <v>OPERADOR CAIXA</v>
      </c>
      <c r="D62" s="72" t="str">
        <f ca="1">IFERROR(IF(TODAY()-K62&gt;365,"Inativo",IF(J62=2,"Férias",IF(J62=7,"Demitido","Afastamento"))),VLOOKUP(J62,Conf!$H:$I,2,0))</f>
        <v>Ativos</v>
      </c>
      <c r="E62" s="187">
        <v>1</v>
      </c>
      <c r="F62" s="187">
        <v>2466</v>
      </c>
      <c r="G62" t="s">
        <v>1633</v>
      </c>
      <c r="H62" s="71"/>
      <c r="I62" t="s">
        <v>220</v>
      </c>
      <c r="J62" s="187">
        <v>1</v>
      </c>
      <c r="K62" t="s">
        <v>1385</v>
      </c>
      <c r="L62" s="185"/>
      <c r="M62" s="188">
        <v>46301</v>
      </c>
      <c r="N62" s="71"/>
      <c r="Q62" s="71"/>
      <c r="R62" s="71"/>
      <c r="S62" t="s">
        <v>281</v>
      </c>
      <c r="T62" s="71"/>
    </row>
    <row r="63" spans="1:20" x14ac:dyDescent="0.3">
      <c r="A63" s="72">
        <f>IFERROR(VLOOKUP($G63,Conf!$B:$C,2,0),E63)</f>
        <v>1</v>
      </c>
      <c r="B63" s="72" t="str">
        <f ca="1">IF(D63="Inativo","Inativo",IFERROR(VLOOKUP($G63,Conf!$O:$Q,2,0),VLOOKUP($S63,Conf!$K:$M,2,0)))</f>
        <v>FRENTE DE CAIXA</v>
      </c>
      <c r="C63" s="72" t="str">
        <f ca="1">IF(D63="Inativo","Inativo",IFERROR(VLOOKUP($G63,Conf!$O:$Q,3,0),IFERROR(VLOOKUP($G63,Conf!$E:$F,2,0),VLOOKUP($S63,Conf!$K:$M,3,0))))</f>
        <v>OPERADOR CAIXA</v>
      </c>
      <c r="D63" s="72" t="str">
        <f ca="1">IFERROR(IF(TODAY()-K63&gt;365,"Inativo",IF(J63=2,"Férias",IF(J63=7,"Demitido","Afastamento"))),VLOOKUP(J63,Conf!$H:$I,2,0))</f>
        <v>Afastamento</v>
      </c>
      <c r="E63" s="187">
        <v>1</v>
      </c>
      <c r="F63" s="187">
        <v>2204</v>
      </c>
      <c r="G63" t="s">
        <v>288</v>
      </c>
      <c r="H63" s="71"/>
      <c r="I63" t="s">
        <v>220</v>
      </c>
      <c r="J63" s="187">
        <v>5</v>
      </c>
      <c r="K63" t="s">
        <v>287</v>
      </c>
      <c r="L63" s="185"/>
      <c r="M63" s="188">
        <v>45691</v>
      </c>
      <c r="N63" s="71"/>
      <c r="O63" s="71"/>
      <c r="P63" s="71"/>
      <c r="Q63" s="71"/>
      <c r="R63" s="71"/>
      <c r="S63" t="s">
        <v>281</v>
      </c>
      <c r="T63" s="71"/>
    </row>
    <row r="64" spans="1:20" x14ac:dyDescent="0.3">
      <c r="A64" s="72">
        <f>IFERROR(VLOOKUP($G64,Conf!$B:$C,2,0),E64)</f>
        <v>1</v>
      </c>
      <c r="B64" s="72" t="str">
        <f ca="1">IF(D64="Inativo","Inativo",IFERROR(VLOOKUP($G64,Conf!$O:$Q,2,0),VLOOKUP($S64,Conf!$K:$M,2,0)))</f>
        <v>FRENTE DE CAIXA</v>
      </c>
      <c r="C64" s="72" t="str">
        <f ca="1">IF(D64="Inativo","Inativo",IFERROR(VLOOKUP($G64,Conf!$O:$Q,3,0),IFERROR(VLOOKUP($G64,Conf!$E:$F,2,0),VLOOKUP($S64,Conf!$K:$M,3,0))))</f>
        <v>OPERADOR CAIXA</v>
      </c>
      <c r="D64" s="72" t="str">
        <f ca="1">IFERROR(IF(TODAY()-K64&gt;365,"Inativo",IF(J64=2,"Férias",IF(J64=7,"Demitido","Afastamento"))),VLOOKUP(J64,Conf!$H:$I,2,0))</f>
        <v>Demitido</v>
      </c>
      <c r="E64" s="187">
        <v>1</v>
      </c>
      <c r="F64" s="187">
        <v>2403</v>
      </c>
      <c r="G64" t="s">
        <v>290</v>
      </c>
      <c r="H64" s="71"/>
      <c r="I64" t="s">
        <v>220</v>
      </c>
      <c r="J64" s="187">
        <v>7</v>
      </c>
      <c r="K64" t="s">
        <v>1590</v>
      </c>
      <c r="L64" s="185"/>
      <c r="M64" s="188">
        <v>46086</v>
      </c>
      <c r="N64" s="71"/>
      <c r="Q64" s="71"/>
      <c r="R64" s="71"/>
      <c r="S64" t="s">
        <v>281</v>
      </c>
      <c r="T64" s="71"/>
    </row>
    <row r="65" spans="1:20" x14ac:dyDescent="0.3">
      <c r="A65" s="72">
        <f>IFERROR(VLOOKUP($G65,Conf!$B:$C,2,0),E65)</f>
        <v>1</v>
      </c>
      <c r="B65" s="72" t="str">
        <f ca="1">IF(D65="Inativo","Inativo",IFERROR(VLOOKUP($G65,Conf!$O:$Q,2,0),VLOOKUP($S65,Conf!$K:$M,2,0)))</f>
        <v>FRENTE DE CAIXA</v>
      </c>
      <c r="C65" s="72" t="str">
        <f ca="1">IF(D65="Inativo","Inativo",IFERROR(VLOOKUP($G65,Conf!$O:$Q,3,0),IFERROR(VLOOKUP($G65,Conf!$E:$F,2,0),VLOOKUP($S65,Conf!$K:$M,3,0))))</f>
        <v>OPERADOR CAIXA</v>
      </c>
      <c r="D65" s="72" t="str">
        <f ca="1">IFERROR(IF(TODAY()-K65&gt;365,"Inativo",IF(J65=2,"Férias",IF(J65=7,"Demitido","Afastamento"))),VLOOKUP(J65,Conf!$H:$I,2,0))</f>
        <v>Ativos</v>
      </c>
      <c r="E65" s="187">
        <v>1</v>
      </c>
      <c r="F65" s="187">
        <v>2464</v>
      </c>
      <c r="G65" t="s">
        <v>1613</v>
      </c>
      <c r="H65" s="71"/>
      <c r="I65" t="s">
        <v>220</v>
      </c>
      <c r="J65" s="187">
        <v>1</v>
      </c>
      <c r="K65" t="s">
        <v>1385</v>
      </c>
      <c r="L65" s="185"/>
      <c r="M65" s="188">
        <v>46296</v>
      </c>
      <c r="N65" s="71"/>
      <c r="Q65" s="71"/>
      <c r="R65" s="71"/>
      <c r="S65" t="s">
        <v>281</v>
      </c>
      <c r="T65" s="71"/>
    </row>
    <row r="66" spans="1:20" x14ac:dyDescent="0.3">
      <c r="A66" s="72">
        <f>IFERROR(VLOOKUP($G66,Conf!$B:$C,2,0),E66)</f>
        <v>1</v>
      </c>
      <c r="B66" s="72" t="str">
        <f ca="1">IF(D66="Inativo","Inativo",IFERROR(VLOOKUP($G66,Conf!$O:$Q,2,0),VLOOKUP($S66,Conf!$K:$M,2,0)))</f>
        <v>FRENTE DE CAIXA</v>
      </c>
      <c r="C66" s="72" t="str">
        <f ca="1">IF(D66="Inativo","Inativo",IFERROR(VLOOKUP($G66,Conf!$O:$Q,3,0),IFERROR(VLOOKUP($G66,Conf!$E:$F,2,0),VLOOKUP($S66,Conf!$K:$M,3,0))))</f>
        <v>OPERADOR CAIXA</v>
      </c>
      <c r="D66" s="72" t="str">
        <f ca="1">IFERROR(IF(TODAY()-K66&gt;365,"Inativo",IF(J66=2,"Férias",IF(J66=7,"Demitido","Afastamento"))),VLOOKUP(J66,Conf!$H:$I,2,0))</f>
        <v>Ativos</v>
      </c>
      <c r="E66" s="187">
        <v>1</v>
      </c>
      <c r="F66" s="187">
        <v>2380</v>
      </c>
      <c r="G66" t="s">
        <v>291</v>
      </c>
      <c r="H66" s="71"/>
      <c r="I66" t="s">
        <v>220</v>
      </c>
      <c r="J66" s="187">
        <v>1</v>
      </c>
      <c r="K66" t="s">
        <v>1385</v>
      </c>
      <c r="L66" s="185"/>
      <c r="M66" s="188">
        <v>46066</v>
      </c>
      <c r="N66" s="71"/>
      <c r="Q66" s="71"/>
      <c r="R66" s="71"/>
      <c r="S66" t="s">
        <v>281</v>
      </c>
      <c r="T66" s="71"/>
    </row>
    <row r="67" spans="1:20" x14ac:dyDescent="0.3">
      <c r="A67" s="72">
        <f>IFERROR(VLOOKUP($G67,Conf!$B:$C,2,0),E67)</f>
        <v>1</v>
      </c>
      <c r="B67" s="72" t="str">
        <f ca="1">IF(D67="Inativo","Inativo",IFERROR(VLOOKUP($G67,Conf!$O:$Q,2,0),VLOOKUP($S67,Conf!$K:$M,2,0)))</f>
        <v>FRENTE DE CAIXA</v>
      </c>
      <c r="C67" s="72" t="str">
        <f ca="1">IF(D67="Inativo","Inativo",IFERROR(VLOOKUP($G67,Conf!$O:$Q,3,0),IFERROR(VLOOKUP($G67,Conf!$E:$F,2,0),VLOOKUP($S67,Conf!$K:$M,3,0))))</f>
        <v>OPERADOR CAIXA</v>
      </c>
      <c r="D67" s="72" t="str">
        <f ca="1">IFERROR(IF(TODAY()-K67&gt;365,"Inativo",IF(J67=2,"Férias",IF(J67=7,"Demitido","Afastamento"))),VLOOKUP(J67,Conf!$H:$I,2,0))</f>
        <v>Demitido</v>
      </c>
      <c r="E67" s="187">
        <v>1</v>
      </c>
      <c r="F67" s="187">
        <v>2449</v>
      </c>
      <c r="G67" t="s">
        <v>1437</v>
      </c>
      <c r="H67" s="71"/>
      <c r="I67" t="s">
        <v>220</v>
      </c>
      <c r="J67" s="187">
        <v>7</v>
      </c>
      <c r="K67" t="s">
        <v>1638</v>
      </c>
      <c r="L67" s="185"/>
      <c r="M67" s="188">
        <v>46228</v>
      </c>
      <c r="N67" s="71"/>
      <c r="O67" s="71"/>
      <c r="P67" s="71"/>
      <c r="Q67" s="71"/>
      <c r="R67" s="71"/>
      <c r="S67" t="s">
        <v>281</v>
      </c>
      <c r="T67" s="71"/>
    </row>
    <row r="68" spans="1:20" x14ac:dyDescent="0.3">
      <c r="A68" s="72">
        <f>IFERROR(VLOOKUP($G68,Conf!$B:$C,2,0),E68)</f>
        <v>1</v>
      </c>
      <c r="B68" s="72" t="str">
        <f ca="1">IF(D68="Inativo","Inativo",IFERROR(VLOOKUP($G68,Conf!$O:$Q,2,0),VLOOKUP($S68,Conf!$K:$M,2,0)))</f>
        <v>FRENTE DE CAIXA</v>
      </c>
      <c r="C68" s="72" t="str">
        <f ca="1">IF(D68="Inativo","Inativo",IFERROR(VLOOKUP($G68,Conf!$O:$Q,3,0),IFERROR(VLOOKUP($G68,Conf!$E:$F,2,0),VLOOKUP($S68,Conf!$K:$M,3,0))))</f>
        <v>OPERADOR CAIXA</v>
      </c>
      <c r="D68" s="72" t="str">
        <f ca="1">IFERROR(IF(TODAY()-K68&gt;365,"Inativo",IF(J68=2,"Férias",IF(J68=7,"Demitido","Afastamento"))),VLOOKUP(J68,Conf!$H:$I,2,0))</f>
        <v>Ativos</v>
      </c>
      <c r="E68" s="187">
        <v>1</v>
      </c>
      <c r="F68" s="187">
        <v>2463</v>
      </c>
      <c r="G68" t="s">
        <v>1612</v>
      </c>
      <c r="H68" s="71"/>
      <c r="I68" t="s">
        <v>220</v>
      </c>
      <c r="J68" s="187">
        <v>1</v>
      </c>
      <c r="K68" t="s">
        <v>1385</v>
      </c>
      <c r="L68" s="185"/>
      <c r="M68" s="188">
        <v>46296</v>
      </c>
      <c r="N68" s="71"/>
      <c r="Q68" s="71"/>
      <c r="R68" s="71"/>
      <c r="S68" t="s">
        <v>281</v>
      </c>
      <c r="T68" s="71"/>
    </row>
    <row r="69" spans="1:20" x14ac:dyDescent="0.3">
      <c r="A69" s="72">
        <f>IFERROR(VLOOKUP($G69,Conf!$B:$C,2,0),E69)</f>
        <v>1</v>
      </c>
      <c r="B69" s="72" t="str">
        <f ca="1">IF(D69="Inativo","Inativo",IFERROR(VLOOKUP($G69,Conf!$O:$Q,2,0),VLOOKUP($S69,Conf!$K:$M,2,0)))</f>
        <v>FRENTE DE CAIXA</v>
      </c>
      <c r="C69" s="72" t="str">
        <f ca="1">IF(D69="Inativo","Inativo",IFERROR(VLOOKUP($G69,Conf!$O:$Q,3,0),IFERROR(VLOOKUP($G69,Conf!$E:$F,2,0),VLOOKUP($S69,Conf!$K:$M,3,0))))</f>
        <v>OPERADOR CAIXA</v>
      </c>
      <c r="D69" s="72" t="str">
        <f ca="1">IFERROR(IF(TODAY()-K69&gt;365,"Inativo",IF(J69=2,"Férias",IF(J69=7,"Demitido","Afastamento"))),VLOOKUP(J69,Conf!$H:$I,2,0))</f>
        <v>Ativos</v>
      </c>
      <c r="E69" s="187">
        <v>1</v>
      </c>
      <c r="F69" s="187">
        <v>1684</v>
      </c>
      <c r="G69" t="s">
        <v>293</v>
      </c>
      <c r="H69" s="71"/>
      <c r="I69" t="s">
        <v>225</v>
      </c>
      <c r="J69" s="187">
        <v>1</v>
      </c>
      <c r="K69" t="s">
        <v>1385</v>
      </c>
      <c r="L69" s="185"/>
      <c r="M69" s="188">
        <v>44250</v>
      </c>
      <c r="N69" s="71"/>
      <c r="O69" s="71"/>
      <c r="P69" s="71"/>
      <c r="Q69" s="71"/>
      <c r="R69" s="71"/>
      <c r="S69" t="s">
        <v>281</v>
      </c>
      <c r="T69" s="71"/>
    </row>
    <row r="70" spans="1:20" x14ac:dyDescent="0.3">
      <c r="A70" s="72">
        <f>IFERROR(VLOOKUP($G70,Conf!$B:$C,2,0),E70)</f>
        <v>1</v>
      </c>
      <c r="B70" s="72" t="str">
        <f ca="1">IF(D70="Inativo","Inativo",IFERROR(VLOOKUP($G70,Conf!$O:$Q,2,0),VLOOKUP($S70,Conf!$K:$M,2,0)))</f>
        <v>FRENTE DE CAIXA</v>
      </c>
      <c r="C70" s="72" t="str">
        <f ca="1">IF(D70="Inativo","Inativo",IFERROR(VLOOKUP($G70,Conf!$O:$Q,3,0),IFERROR(VLOOKUP($G70,Conf!$E:$F,2,0),VLOOKUP($S70,Conf!$K:$M,3,0))))</f>
        <v>OPERADOR CAIXA</v>
      </c>
      <c r="D70" s="72" t="str">
        <f ca="1">IFERROR(IF(TODAY()-K70&gt;365,"Inativo",IF(J70=2,"Férias",IF(J70=7,"Demitido","Afastamento"))),VLOOKUP(J70,Conf!$H:$I,2,0))</f>
        <v>Ativos</v>
      </c>
      <c r="E70" s="187">
        <v>1</v>
      </c>
      <c r="F70" s="187">
        <v>2444</v>
      </c>
      <c r="G70" t="s">
        <v>268</v>
      </c>
      <c r="H70" s="71"/>
      <c r="I70" t="s">
        <v>220</v>
      </c>
      <c r="J70" s="187">
        <v>1</v>
      </c>
      <c r="K70" t="s">
        <v>1385</v>
      </c>
      <c r="L70" s="185"/>
      <c r="M70" s="188">
        <v>46213</v>
      </c>
      <c r="N70" s="71"/>
      <c r="Q70" s="71"/>
      <c r="R70" s="71"/>
      <c r="S70" t="s">
        <v>281</v>
      </c>
      <c r="T70" s="71"/>
    </row>
    <row r="71" spans="1:20" x14ac:dyDescent="0.3">
      <c r="A71" s="72">
        <f>IFERROR(VLOOKUP($G71,Conf!$B:$C,2,0),E71)</f>
        <v>1</v>
      </c>
      <c r="B71" s="72" t="str">
        <f ca="1">IF(D71="Inativo","Inativo",IFERROR(VLOOKUP($G71,Conf!$O:$Q,2,0),VLOOKUP($S71,Conf!$K:$M,2,0)))</f>
        <v>FRENTE DE CAIXA</v>
      </c>
      <c r="C71" s="72" t="str">
        <f ca="1">IF(D71="Inativo","Inativo",IFERROR(VLOOKUP($G71,Conf!$O:$Q,3,0),IFERROR(VLOOKUP($G71,Conf!$E:$F,2,0),VLOOKUP($S71,Conf!$K:$M,3,0))))</f>
        <v>OPERADOR CAIXA</v>
      </c>
      <c r="D71" s="72" t="str">
        <f ca="1">IFERROR(IF(TODAY()-K71&gt;365,"Inativo",IF(J71=2,"Férias",IF(J71=7,"Demitido","Afastamento"))),VLOOKUP(J71,Conf!$H:$I,2,0))</f>
        <v>Ativos</v>
      </c>
      <c r="E71" s="187">
        <v>1</v>
      </c>
      <c r="F71" s="187">
        <v>2453</v>
      </c>
      <c r="G71" t="s">
        <v>1484</v>
      </c>
      <c r="H71" s="71"/>
      <c r="I71" t="s">
        <v>220</v>
      </c>
      <c r="J71" s="187">
        <v>1</v>
      </c>
      <c r="K71" t="s">
        <v>1385</v>
      </c>
      <c r="L71" s="185"/>
      <c r="M71" s="188">
        <v>46252</v>
      </c>
      <c r="N71" s="71"/>
      <c r="Q71" s="71"/>
      <c r="R71" s="71"/>
      <c r="S71" t="s">
        <v>281</v>
      </c>
      <c r="T71" s="71"/>
    </row>
    <row r="72" spans="1:20" x14ac:dyDescent="0.3">
      <c r="A72" s="72">
        <f>IFERROR(VLOOKUP($G72,Conf!$B:$C,2,0),E72)</f>
        <v>1</v>
      </c>
      <c r="B72" s="72" t="str">
        <f ca="1">IF(D72="Inativo","Inativo",IFERROR(VLOOKUP($G72,Conf!$O:$Q,2,0),VLOOKUP($S72,Conf!$K:$M,2,0)))</f>
        <v>FRENTE DE CAIXA</v>
      </c>
      <c r="C72" s="72" t="str">
        <f ca="1">IF(D72="Inativo","Inativo",IFERROR(VLOOKUP($G72,Conf!$O:$Q,3,0),IFERROR(VLOOKUP($G72,Conf!$E:$F,2,0),VLOOKUP($S72,Conf!$K:$M,3,0))))</f>
        <v>OPERADOR CAIXA</v>
      </c>
      <c r="D72" s="72" t="str">
        <f ca="1">IFERROR(IF(TODAY()-K72&gt;365,"Inativo",IF(J72=2,"Férias",IF(J72=7,"Demitido","Afastamento"))),VLOOKUP(J72,Conf!$H:$I,2,0))</f>
        <v>Ativos</v>
      </c>
      <c r="E72" s="187">
        <v>1</v>
      </c>
      <c r="F72" s="187">
        <v>2438</v>
      </c>
      <c r="G72" t="s">
        <v>1301</v>
      </c>
      <c r="H72" s="71"/>
      <c r="I72" t="s">
        <v>303</v>
      </c>
      <c r="J72" s="187">
        <v>1</v>
      </c>
      <c r="K72" t="s">
        <v>1385</v>
      </c>
      <c r="L72" s="185"/>
      <c r="M72" s="188">
        <v>46184</v>
      </c>
      <c r="N72" s="71"/>
      <c r="O72" s="71"/>
      <c r="P72" s="71"/>
      <c r="Q72" s="71"/>
      <c r="R72" s="71"/>
      <c r="S72" t="s">
        <v>281</v>
      </c>
      <c r="T72" s="71"/>
    </row>
    <row r="73" spans="1:20" x14ac:dyDescent="0.3">
      <c r="A73" s="72">
        <f>IFERROR(VLOOKUP($G73,Conf!$B:$C,2,0),E73)</f>
        <v>1</v>
      </c>
      <c r="B73" s="72" t="str">
        <f ca="1">IF(D73="Inativo","Inativo",IFERROR(VLOOKUP($G73,Conf!$O:$Q,2,0),VLOOKUP($S73,Conf!$K:$M,2,0)))</f>
        <v>FRENTE DE CAIXA</v>
      </c>
      <c r="C73" s="72" t="str">
        <f ca="1">IF(D73="Inativo","Inativo",IFERROR(VLOOKUP($G73,Conf!$O:$Q,3,0),IFERROR(VLOOKUP($G73,Conf!$E:$F,2,0),VLOOKUP($S73,Conf!$K:$M,3,0))))</f>
        <v>OPERADOR CAIXA</v>
      </c>
      <c r="D73" s="72" t="str">
        <f ca="1">IFERROR(IF(TODAY()-K73&gt;365,"Inativo",IF(J73=2,"Férias",IF(J73=7,"Demitido","Afastamento"))),VLOOKUP(J73,Conf!$H:$I,2,0))</f>
        <v>Ativos</v>
      </c>
      <c r="E73" s="187">
        <v>1</v>
      </c>
      <c r="F73" s="187">
        <v>2369</v>
      </c>
      <c r="G73" t="s">
        <v>294</v>
      </c>
      <c r="H73" s="71"/>
      <c r="I73" t="s">
        <v>220</v>
      </c>
      <c r="J73" s="187">
        <v>1</v>
      </c>
      <c r="K73" t="s">
        <v>1385</v>
      </c>
      <c r="L73" s="185"/>
      <c r="M73" s="188">
        <v>46058</v>
      </c>
      <c r="N73" s="71"/>
      <c r="O73" s="71"/>
      <c r="P73" s="71"/>
      <c r="Q73" s="71"/>
      <c r="R73" s="71"/>
      <c r="S73" t="s">
        <v>281</v>
      </c>
      <c r="T73" s="71"/>
    </row>
    <row r="74" spans="1:20" x14ac:dyDescent="0.3">
      <c r="A74" s="72">
        <f>IFERROR(VLOOKUP($G74,Conf!$B:$C,2,0),E74)</f>
        <v>1</v>
      </c>
      <c r="B74" s="72" t="str">
        <f ca="1">IF(D74="Inativo","Inativo",IFERROR(VLOOKUP($G74,Conf!$O:$Q,2,0),VLOOKUP($S74,Conf!$K:$M,2,0)))</f>
        <v>FRENTE DE CAIXA</v>
      </c>
      <c r="C74" s="72" t="str">
        <f ca="1">IF(D74="Inativo","Inativo",IFERROR(VLOOKUP($G74,Conf!$O:$Q,3,0),IFERROR(VLOOKUP($G74,Conf!$E:$F,2,0),VLOOKUP($S74,Conf!$K:$M,3,0))))</f>
        <v>OPERADOR CAIXA</v>
      </c>
      <c r="D74" s="72" t="str">
        <f ca="1">IFERROR(IF(TODAY()-K74&gt;365,"Inativo",IF(J74=2,"Férias",IF(J74=7,"Demitido","Afastamento"))),VLOOKUP(J74,Conf!$H:$I,2,0))</f>
        <v>Ativos</v>
      </c>
      <c r="E74" s="187">
        <v>1</v>
      </c>
      <c r="F74" s="187">
        <v>2382</v>
      </c>
      <c r="G74" t="s">
        <v>295</v>
      </c>
      <c r="H74" s="71"/>
      <c r="I74" t="s">
        <v>296</v>
      </c>
      <c r="J74" s="187">
        <v>1</v>
      </c>
      <c r="K74" t="s">
        <v>1385</v>
      </c>
      <c r="L74" s="185"/>
      <c r="M74" s="188">
        <v>46066</v>
      </c>
      <c r="N74" s="71"/>
      <c r="Q74" s="71"/>
      <c r="R74" s="71"/>
      <c r="S74" t="s">
        <v>281</v>
      </c>
      <c r="T74" s="71"/>
    </row>
    <row r="75" spans="1:20" x14ac:dyDescent="0.3">
      <c r="A75" s="72">
        <f>IFERROR(VLOOKUP($G75,Conf!$B:$C,2,0),E75)</f>
        <v>1</v>
      </c>
      <c r="B75" s="72" t="str">
        <f ca="1">IF(D75="Inativo","Inativo",IFERROR(VLOOKUP($G75,Conf!$O:$Q,2,0),VLOOKUP($S75,Conf!$K:$M,2,0)))</f>
        <v>FRENTE DE CAIXA</v>
      </c>
      <c r="C75" s="72" t="str">
        <f ca="1">IF(D75="Inativo","Inativo",IFERROR(VLOOKUP($G75,Conf!$O:$Q,3,0),IFERROR(VLOOKUP($G75,Conf!$E:$F,2,0),VLOOKUP($S75,Conf!$K:$M,3,0))))</f>
        <v>OPERADOR CAIXA</v>
      </c>
      <c r="D75" s="72" t="str">
        <f ca="1">IFERROR(IF(TODAY()-K75&gt;365,"Inativo",IF(J75=2,"Férias",IF(J75=7,"Demitido","Afastamento"))),VLOOKUP(J75,Conf!$H:$I,2,0))</f>
        <v>Ativos</v>
      </c>
      <c r="E75" s="187">
        <v>1</v>
      </c>
      <c r="F75" s="187">
        <v>2113</v>
      </c>
      <c r="G75" t="s">
        <v>297</v>
      </c>
      <c r="H75" s="71"/>
      <c r="I75" t="s">
        <v>220</v>
      </c>
      <c r="J75" s="187">
        <v>1</v>
      </c>
      <c r="K75" t="s">
        <v>1385</v>
      </c>
      <c r="L75" s="185"/>
      <c r="M75" s="188">
        <v>45505</v>
      </c>
      <c r="N75" s="71"/>
      <c r="Q75" s="71"/>
      <c r="R75" s="71"/>
      <c r="S75" t="s">
        <v>281</v>
      </c>
      <c r="T75" s="71"/>
    </row>
    <row r="76" spans="1:20" x14ac:dyDescent="0.3">
      <c r="A76" s="72">
        <f>IFERROR(VLOOKUP($G76,Conf!$B:$C,2,0),E76)</f>
        <v>1</v>
      </c>
      <c r="B76" s="72" t="str">
        <f ca="1">IF(D76="Inativo","Inativo",IFERROR(VLOOKUP($G76,Conf!$O:$Q,2,0),VLOOKUP($S76,Conf!$K:$M,2,0)))</f>
        <v>FRENTE DE CAIXA</v>
      </c>
      <c r="C76" s="72" t="str">
        <f ca="1">IF(D76="Inativo","Inativo",IFERROR(VLOOKUP($G76,Conf!$O:$Q,3,0),IFERROR(VLOOKUP($G76,Conf!$E:$F,2,0),VLOOKUP($S76,Conf!$K:$M,3,0))))</f>
        <v>OPERADOR CAIXA</v>
      </c>
      <c r="D76" s="72" t="str">
        <f ca="1">IFERROR(IF(TODAY()-K76&gt;365,"Inativo",IF(J76=2,"Férias",IF(J76=7,"Demitido","Afastamento"))),VLOOKUP(J76,Conf!$H:$I,2,0))</f>
        <v>Ativos</v>
      </c>
      <c r="E76" s="187">
        <v>1</v>
      </c>
      <c r="F76" s="187">
        <v>2460</v>
      </c>
      <c r="G76" t="s">
        <v>1565</v>
      </c>
      <c r="H76" s="71"/>
      <c r="I76" t="s">
        <v>220</v>
      </c>
      <c r="J76" s="187">
        <v>1</v>
      </c>
      <c r="K76" t="s">
        <v>1385</v>
      </c>
      <c r="L76" s="185"/>
      <c r="M76" s="188">
        <v>46281</v>
      </c>
      <c r="N76" s="71"/>
      <c r="Q76" s="71"/>
      <c r="R76" s="71"/>
      <c r="S76" t="s">
        <v>284</v>
      </c>
      <c r="T76" s="71"/>
    </row>
    <row r="77" spans="1:20" x14ac:dyDescent="0.3">
      <c r="A77" s="72">
        <f>IFERROR(VLOOKUP($G77,Conf!$B:$C,2,0),E77)</f>
        <v>1</v>
      </c>
      <c r="B77" s="72" t="str">
        <f ca="1">IF(D77="Inativo","Inativo",IFERROR(VLOOKUP($G77,Conf!$O:$Q,2,0),VLOOKUP($S77,Conf!$K:$M,2,0)))</f>
        <v>FRENTE DE CAIXA</v>
      </c>
      <c r="C77" s="72" t="str">
        <f ca="1">IF(D77="Inativo","Inativo",IFERROR(VLOOKUP($G77,Conf!$O:$Q,3,0),IFERROR(VLOOKUP($G77,Conf!$E:$F,2,0),VLOOKUP($S77,Conf!$K:$M,3,0))))</f>
        <v>OPERADOR CAIXA</v>
      </c>
      <c r="D77" s="72" t="str">
        <f ca="1">IFERROR(IF(TODAY()-K77&gt;365,"Inativo",IF(J77=2,"Férias",IF(J77=7,"Demitido","Afastamento"))),VLOOKUP(J77,Conf!$H:$I,2,0))</f>
        <v>Ativos</v>
      </c>
      <c r="E77" s="187">
        <v>1</v>
      </c>
      <c r="F77" s="187">
        <v>2357</v>
      </c>
      <c r="G77" t="s">
        <v>299</v>
      </c>
      <c r="H77" s="71"/>
      <c r="I77" t="s">
        <v>300</v>
      </c>
      <c r="J77" s="187">
        <v>1</v>
      </c>
      <c r="K77" t="s">
        <v>1385</v>
      </c>
      <c r="L77" s="185"/>
      <c r="M77" s="188">
        <v>46042</v>
      </c>
      <c r="N77" s="71"/>
      <c r="O77" s="71"/>
      <c r="P77" s="71"/>
      <c r="Q77" s="71"/>
      <c r="R77" s="71"/>
      <c r="S77" t="s">
        <v>281</v>
      </c>
      <c r="T77" s="71"/>
    </row>
    <row r="78" spans="1:20" x14ac:dyDescent="0.3">
      <c r="A78" s="72">
        <f>IFERROR(VLOOKUP($G78,Conf!$B:$C,2,0),E78)</f>
        <v>1</v>
      </c>
      <c r="B78" s="72" t="str">
        <f ca="1">IF(D78="Inativo","Inativo",IFERROR(VLOOKUP($G78,Conf!$O:$Q,2,0),VLOOKUP($S78,Conf!$K:$M,2,0)))</f>
        <v>FRENTE DE CAIXA</v>
      </c>
      <c r="C78" s="72" t="str">
        <f ca="1">IF(D78="Inativo","Inativo",IFERROR(VLOOKUP($G78,Conf!$O:$Q,3,0),IFERROR(VLOOKUP($G78,Conf!$E:$F,2,0),VLOOKUP($S78,Conf!$K:$M,3,0))))</f>
        <v>OPERADOR CAIXA</v>
      </c>
      <c r="D78" s="72" t="str">
        <f ca="1">IFERROR(IF(TODAY()-K78&gt;365,"Inativo",IF(J78=2,"Férias",IF(J78=7,"Demitido","Afastamento"))),VLOOKUP(J78,Conf!$H:$I,2,0))</f>
        <v>Ativos</v>
      </c>
      <c r="E78" s="187">
        <v>1</v>
      </c>
      <c r="F78" s="187">
        <v>2258</v>
      </c>
      <c r="G78" t="s">
        <v>302</v>
      </c>
      <c r="H78" s="71"/>
      <c r="I78" t="s">
        <v>220</v>
      </c>
      <c r="J78" s="187">
        <v>1</v>
      </c>
      <c r="K78" t="s">
        <v>1385</v>
      </c>
      <c r="L78" s="185"/>
      <c r="M78" s="188">
        <v>45782</v>
      </c>
      <c r="N78" s="71"/>
      <c r="Q78" s="71"/>
      <c r="R78" s="71"/>
      <c r="S78" t="s">
        <v>281</v>
      </c>
      <c r="T78" s="71"/>
    </row>
    <row r="79" spans="1:20" x14ac:dyDescent="0.3">
      <c r="A79" s="72">
        <f>IFERROR(VLOOKUP($G79,Conf!$B:$C,2,0),E79)</f>
        <v>1</v>
      </c>
      <c r="B79" s="72" t="str">
        <f ca="1">IF(D79="Inativo","Inativo",IFERROR(VLOOKUP($G79,Conf!$O:$Q,2,0),VLOOKUP($S79,Conf!$K:$M,2,0)))</f>
        <v>FRENTE DE CAIXA</v>
      </c>
      <c r="C79" s="72" t="str">
        <f ca="1">IF(D79="Inativo","Inativo",IFERROR(VLOOKUP($G79,Conf!$O:$Q,3,0),IFERROR(VLOOKUP($G79,Conf!$E:$F,2,0),VLOOKUP($S79,Conf!$K:$M,3,0))))</f>
        <v>OPERADOR CAIXA</v>
      </c>
      <c r="D79" s="72" t="str">
        <f ca="1">IFERROR(IF(TODAY()-K79&gt;365,"Inativo",IF(J79=2,"Férias",IF(J79=7,"Demitido","Afastamento"))),VLOOKUP(J79,Conf!$H:$I,2,0))</f>
        <v>Demitido</v>
      </c>
      <c r="E79" s="187">
        <v>1</v>
      </c>
      <c r="F79" s="187">
        <v>2435</v>
      </c>
      <c r="G79" t="s">
        <v>1300</v>
      </c>
      <c r="H79" s="71"/>
      <c r="I79" t="s">
        <v>301</v>
      </c>
      <c r="J79" s="187">
        <v>7</v>
      </c>
      <c r="K79" t="s">
        <v>1549</v>
      </c>
      <c r="L79" s="185"/>
      <c r="M79" s="188">
        <v>46184</v>
      </c>
      <c r="N79" s="71"/>
      <c r="Q79" s="71"/>
      <c r="R79" s="71"/>
      <c r="S79" t="s">
        <v>281</v>
      </c>
      <c r="T79" s="71"/>
    </row>
    <row r="80" spans="1:20" x14ac:dyDescent="0.3">
      <c r="A80" s="72">
        <f>IFERROR(VLOOKUP($G80,Conf!$B:$C,2,0),E80)</f>
        <v>1</v>
      </c>
      <c r="B80" s="72" t="str">
        <f ca="1">IF(D80="Inativo","Inativo",IFERROR(VLOOKUP($G80,Conf!$O:$Q,2,0),VLOOKUP($S80,Conf!$K:$M,2,0)))</f>
        <v>FRENTE DE CAIXA</v>
      </c>
      <c r="C80" s="72" t="str">
        <f ca="1">IF(D80="Inativo","Inativo",IFERROR(VLOOKUP($G80,Conf!$O:$Q,3,0),IFERROR(VLOOKUP($G80,Conf!$E:$F,2,0),VLOOKUP($S80,Conf!$K:$M,3,0))))</f>
        <v>OPERADOR CAIXA</v>
      </c>
      <c r="D80" s="72" t="str">
        <f ca="1">IFERROR(IF(TODAY()-K80&gt;365,"Inativo",IF(J80=2,"Férias",IF(J80=7,"Demitido","Afastamento"))),VLOOKUP(J80,Conf!$H:$I,2,0))</f>
        <v>Ativos</v>
      </c>
      <c r="E80" s="187">
        <v>1</v>
      </c>
      <c r="F80" s="187">
        <v>2452</v>
      </c>
      <c r="G80" t="s">
        <v>1483</v>
      </c>
      <c r="H80" s="71"/>
      <c r="I80" t="s">
        <v>301</v>
      </c>
      <c r="J80" s="187">
        <v>1</v>
      </c>
      <c r="K80" t="s">
        <v>1385</v>
      </c>
      <c r="L80" s="185"/>
      <c r="M80" s="188">
        <v>46252</v>
      </c>
      <c r="N80" s="71"/>
      <c r="O80" s="71"/>
      <c r="P80" s="71"/>
      <c r="Q80" s="71"/>
      <c r="R80" s="71"/>
      <c r="S80" t="s">
        <v>281</v>
      </c>
      <c r="T80" s="71"/>
    </row>
    <row r="81" spans="1:20" x14ac:dyDescent="0.3">
      <c r="A81" s="72">
        <f>IFERROR(VLOOKUP($G81,Conf!$B:$C,2,0),E81)</f>
        <v>1</v>
      </c>
      <c r="B81" s="72" t="str">
        <f ca="1">IF(D81="Inativo","Inativo",IFERROR(VLOOKUP($G81,Conf!$O:$Q,2,0),VLOOKUP($S81,Conf!$K:$M,2,0)))</f>
        <v>FRIOS</v>
      </c>
      <c r="C81" s="72" t="str">
        <f ca="1">IF(D81="Inativo","Inativo",IFERROR(VLOOKUP($G81,Conf!$O:$Q,3,0),IFERROR(VLOOKUP($G81,Conf!$E:$F,2,0),VLOOKUP($S81,Conf!$K:$M,3,0))))</f>
        <v>ATENDENTE</v>
      </c>
      <c r="D81" s="72" t="str">
        <f ca="1">IFERROR(IF(TODAY()-K81&gt;365,"Inativo",IF(J81=2,"Férias",IF(J81=7,"Demitido","Afastamento"))),VLOOKUP(J81,Conf!$H:$I,2,0))</f>
        <v>Ativos</v>
      </c>
      <c r="E81" s="187">
        <v>1</v>
      </c>
      <c r="F81" s="187">
        <v>54</v>
      </c>
      <c r="G81" t="s">
        <v>1593</v>
      </c>
      <c r="H81" s="71"/>
      <c r="I81" t="s">
        <v>220</v>
      </c>
      <c r="J81" s="187">
        <v>1</v>
      </c>
      <c r="K81" t="s">
        <v>1385</v>
      </c>
      <c r="L81" s="185"/>
      <c r="M81" s="188">
        <v>46290</v>
      </c>
      <c r="N81" s="71"/>
      <c r="O81" s="71"/>
      <c r="P81" s="71"/>
      <c r="Q81" s="71"/>
      <c r="R81" s="71"/>
      <c r="S81" t="s">
        <v>304</v>
      </c>
      <c r="T81" s="71"/>
    </row>
    <row r="82" spans="1:20" x14ac:dyDescent="0.3">
      <c r="A82" s="72">
        <f>IFERROR(VLOOKUP($G82,Conf!$B:$C,2,0),E82)</f>
        <v>1</v>
      </c>
      <c r="B82" s="72" t="str">
        <f ca="1">IF(D82="Inativo","Inativo",IFERROR(VLOOKUP($G82,Conf!$O:$Q,2,0),VLOOKUP($S82,Conf!$K:$M,2,0)))</f>
        <v>FRIOS</v>
      </c>
      <c r="C82" s="72" t="str">
        <f ca="1">IF(D82="Inativo","Inativo",IFERROR(VLOOKUP($G82,Conf!$O:$Q,3,0),IFERROR(VLOOKUP($G82,Conf!$E:$F,2,0),VLOOKUP($S82,Conf!$K:$M,3,0))))</f>
        <v>ATENDENTE</v>
      </c>
      <c r="D82" s="72" t="str">
        <f ca="1">IFERROR(IF(TODAY()-K82&gt;365,"Inativo",IF(J82=2,"Férias",IF(J82=7,"Demitido","Afastamento"))),VLOOKUP(J82,Conf!$H:$I,2,0))</f>
        <v>Ativos</v>
      </c>
      <c r="E82" s="187">
        <v>1</v>
      </c>
      <c r="F82" s="187">
        <v>1782</v>
      </c>
      <c r="G82" t="s">
        <v>305</v>
      </c>
      <c r="H82" s="71"/>
      <c r="I82" t="s">
        <v>220</v>
      </c>
      <c r="J82" s="187">
        <v>1</v>
      </c>
      <c r="K82" t="s">
        <v>1385</v>
      </c>
      <c r="L82" s="185"/>
      <c r="M82" s="188">
        <v>44586</v>
      </c>
      <c r="N82" s="71"/>
      <c r="O82" s="71"/>
      <c r="P82" s="71"/>
      <c r="Q82" s="71"/>
      <c r="R82" s="71"/>
      <c r="S82" t="s">
        <v>306</v>
      </c>
      <c r="T82" s="71"/>
    </row>
    <row r="83" spans="1:20" x14ac:dyDescent="0.3">
      <c r="A83" s="72">
        <f>IFERROR(VLOOKUP($G83,Conf!$B:$C,2,0),E83)</f>
        <v>1</v>
      </c>
      <c r="B83" s="72" t="str">
        <f ca="1">IF(D83="Inativo","Inativo",IFERROR(VLOOKUP($G83,Conf!$O:$Q,2,0),VLOOKUP($S83,Conf!$K:$M,2,0)))</f>
        <v>FRIOS</v>
      </c>
      <c r="C83" s="72" t="str">
        <f ca="1">IF(D83="Inativo","Inativo",IFERROR(VLOOKUP($G83,Conf!$O:$Q,3,0),IFERROR(VLOOKUP($G83,Conf!$E:$F,2,0),VLOOKUP($S83,Conf!$K:$M,3,0))))</f>
        <v>ATENDENTE</v>
      </c>
      <c r="D83" s="72" t="str">
        <f ca="1">IFERROR(IF(TODAY()-K83&gt;365,"Inativo",IF(J83=2,"Férias",IF(J83=7,"Demitido","Afastamento"))),VLOOKUP(J83,Conf!$H:$I,2,0))</f>
        <v>Ativos</v>
      </c>
      <c r="E83" s="187">
        <v>1</v>
      </c>
      <c r="F83" s="187">
        <v>53</v>
      </c>
      <c r="G83" t="s">
        <v>1592</v>
      </c>
      <c r="H83" s="71"/>
      <c r="I83" t="s">
        <v>220</v>
      </c>
      <c r="J83" s="187">
        <v>1</v>
      </c>
      <c r="K83" t="s">
        <v>1385</v>
      </c>
      <c r="L83" s="185"/>
      <c r="M83" s="188">
        <v>46290</v>
      </c>
      <c r="N83" s="71"/>
      <c r="Q83" s="71"/>
      <c r="R83" s="71"/>
      <c r="S83" t="s">
        <v>304</v>
      </c>
      <c r="T83" s="71"/>
    </row>
    <row r="84" spans="1:20" x14ac:dyDescent="0.3">
      <c r="A84" s="72">
        <f>IFERROR(VLOOKUP($G84,Conf!$B:$C,2,0),E84)</f>
        <v>1</v>
      </c>
      <c r="B84" s="72" t="str">
        <f ca="1">IF(D84="Inativo","Inativo",IFERROR(VLOOKUP($G84,Conf!$O:$Q,2,0),VLOOKUP($S84,Conf!$K:$M,2,0)))</f>
        <v>FRIOS</v>
      </c>
      <c r="C84" s="72" t="str">
        <f ca="1">IF(D84="Inativo","Inativo",IFERROR(VLOOKUP($G84,Conf!$O:$Q,3,0),IFERROR(VLOOKUP($G84,Conf!$E:$F,2,0),VLOOKUP($S84,Conf!$K:$M,3,0))))</f>
        <v>ATENDENTE</v>
      </c>
      <c r="D84" s="72" t="str">
        <f ca="1">IFERROR(IF(TODAY()-K84&gt;365,"Inativo",IF(J84=2,"Férias",IF(J84=7,"Demitido","Afastamento"))),VLOOKUP(J84,Conf!$H:$I,2,0))</f>
        <v>Ativos</v>
      </c>
      <c r="E84" s="187">
        <v>1</v>
      </c>
      <c r="F84" s="187">
        <v>90</v>
      </c>
      <c r="G84" t="s">
        <v>307</v>
      </c>
      <c r="H84" s="71"/>
      <c r="I84" t="s">
        <v>220</v>
      </c>
      <c r="J84" s="187">
        <v>1</v>
      </c>
      <c r="K84" t="s">
        <v>1385</v>
      </c>
      <c r="L84" s="185"/>
      <c r="M84" s="188">
        <v>45362</v>
      </c>
      <c r="N84" s="71"/>
      <c r="O84" s="71"/>
      <c r="P84" s="71"/>
      <c r="Q84" s="71"/>
      <c r="R84" s="71"/>
      <c r="S84" t="s">
        <v>304</v>
      </c>
      <c r="T84" s="71"/>
    </row>
    <row r="85" spans="1:20" x14ac:dyDescent="0.3">
      <c r="A85" s="72">
        <f>IFERROR(VLOOKUP($G85,Conf!$B:$C,2,0),E85)</f>
        <v>1</v>
      </c>
      <c r="B85" s="72" t="str">
        <f ca="1">IF(D85="Inativo","Inativo",IFERROR(VLOOKUP($G85,Conf!$O:$Q,2,0),VLOOKUP($S85,Conf!$K:$M,2,0)))</f>
        <v>FRIOS</v>
      </c>
      <c r="C85" s="72" t="str">
        <f ca="1">IF(D85="Inativo","Inativo",IFERROR(VLOOKUP($G85,Conf!$O:$Q,3,0),IFERROR(VLOOKUP($G85,Conf!$E:$F,2,0),VLOOKUP($S85,Conf!$K:$M,3,0))))</f>
        <v>ATENDENTE</v>
      </c>
      <c r="D85" s="72" t="str">
        <f ca="1">IFERROR(IF(TODAY()-K85&gt;365,"Inativo",IF(J85=2,"Férias",IF(J85=7,"Demitido","Afastamento"))),VLOOKUP(J85,Conf!$H:$I,2,0))</f>
        <v>Demitido</v>
      </c>
      <c r="E85" s="187">
        <v>1</v>
      </c>
      <c r="F85" s="187">
        <v>42</v>
      </c>
      <c r="G85" t="s">
        <v>1482</v>
      </c>
      <c r="H85" s="71"/>
      <c r="I85" t="s">
        <v>220</v>
      </c>
      <c r="J85" s="187">
        <v>7</v>
      </c>
      <c r="K85" t="s">
        <v>1588</v>
      </c>
      <c r="L85" s="185"/>
      <c r="M85" s="188">
        <v>46253</v>
      </c>
      <c r="N85" s="71"/>
      <c r="O85" s="71"/>
      <c r="P85" s="71"/>
      <c r="Q85" s="71"/>
      <c r="R85" s="71"/>
      <c r="S85" t="s">
        <v>304</v>
      </c>
      <c r="T85" s="71"/>
    </row>
    <row r="86" spans="1:20" x14ac:dyDescent="0.3">
      <c r="A86" s="72">
        <f>IFERROR(VLOOKUP($G86,Conf!$B:$C,2,0),E86)</f>
        <v>1</v>
      </c>
      <c r="B86" s="72" t="str">
        <f ca="1">IF(D86="Inativo","Inativo",IFERROR(VLOOKUP($G86,Conf!$O:$Q,2,0),VLOOKUP($S86,Conf!$K:$M,2,0)))</f>
        <v>FRIOS</v>
      </c>
      <c r="C86" s="72" t="str">
        <f ca="1">IF(D86="Inativo","Inativo",IFERROR(VLOOKUP($G86,Conf!$O:$Q,3,0),IFERROR(VLOOKUP($G86,Conf!$E:$F,2,0),VLOOKUP($S86,Conf!$K:$M,3,0))))</f>
        <v>ENCARREGADO</v>
      </c>
      <c r="D86" s="72" t="str">
        <f ca="1">IFERROR(IF(TODAY()-K86&gt;365,"Inativo",IF(J86=2,"Férias",IF(J86=7,"Demitido","Afastamento"))),VLOOKUP(J86,Conf!$H:$I,2,0))</f>
        <v>Ativos</v>
      </c>
      <c r="E86" s="187">
        <v>1</v>
      </c>
      <c r="F86" s="187">
        <v>132</v>
      </c>
      <c r="G86" t="s">
        <v>308</v>
      </c>
      <c r="H86" s="71"/>
      <c r="I86" t="s">
        <v>222</v>
      </c>
      <c r="J86" s="187">
        <v>1</v>
      </c>
      <c r="K86" t="s">
        <v>1385</v>
      </c>
      <c r="L86" s="185"/>
      <c r="M86" s="188">
        <v>45537</v>
      </c>
      <c r="N86" s="71"/>
      <c r="O86" s="71"/>
      <c r="P86" s="71"/>
      <c r="Q86" s="71"/>
      <c r="R86" s="71"/>
      <c r="S86" t="s">
        <v>309</v>
      </c>
      <c r="T86" s="71"/>
    </row>
    <row r="87" spans="1:20" x14ac:dyDescent="0.3">
      <c r="A87" s="72">
        <f>IFERROR(VLOOKUP($G87,Conf!$B:$C,2,0),E87)</f>
        <v>1</v>
      </c>
      <c r="B87" s="72" t="str">
        <f ca="1">IF(D87="Inativo","Inativo",IFERROR(VLOOKUP($G87,Conf!$O:$Q,2,0),VLOOKUP($S87,Conf!$K:$M,2,0)))</f>
        <v>FRIOS</v>
      </c>
      <c r="C87" s="72" t="str">
        <f ca="1">IF(D87="Inativo","Inativo",IFERROR(VLOOKUP($G87,Conf!$O:$Q,3,0),IFERROR(VLOOKUP($G87,Conf!$E:$F,2,0),VLOOKUP($S87,Conf!$K:$M,3,0))))</f>
        <v>REPOSITOR</v>
      </c>
      <c r="D87" s="72" t="str">
        <f ca="1">IFERROR(IF(TODAY()-K87&gt;365,"Inativo",IF(J87=2,"Férias",IF(J87=7,"Demitido","Afastamento"))),VLOOKUP(J87,Conf!$H:$I,2,0))</f>
        <v>Ativos</v>
      </c>
      <c r="E87" s="187">
        <v>1</v>
      </c>
      <c r="F87" s="187">
        <v>20</v>
      </c>
      <c r="G87" t="s">
        <v>310</v>
      </c>
      <c r="H87" s="71"/>
      <c r="I87" t="s">
        <v>220</v>
      </c>
      <c r="J87" s="187">
        <v>1</v>
      </c>
      <c r="K87" t="s">
        <v>1385</v>
      </c>
      <c r="L87" s="185"/>
      <c r="M87" s="188">
        <v>46174</v>
      </c>
      <c r="N87" s="71"/>
      <c r="O87" s="71"/>
      <c r="P87" s="71"/>
      <c r="Q87" s="71"/>
      <c r="R87" s="71"/>
      <c r="S87" t="s">
        <v>311</v>
      </c>
      <c r="T87" s="71"/>
    </row>
    <row r="88" spans="1:20" x14ac:dyDescent="0.3">
      <c r="A88" s="72">
        <f>IFERROR(VLOOKUP($G88,Conf!$B:$C,2,0),E88)</f>
        <v>1</v>
      </c>
      <c r="B88" s="72" t="str">
        <f ca="1">IF(D88="Inativo","Inativo",IFERROR(VLOOKUP($G88,Conf!$O:$Q,2,0),VLOOKUP($S88,Conf!$K:$M,2,0)))</f>
        <v>FRIOS</v>
      </c>
      <c r="C88" s="72" t="str">
        <f ca="1">IF(D88="Inativo","Inativo",IFERROR(VLOOKUP($G88,Conf!$O:$Q,3,0),IFERROR(VLOOKUP($G88,Conf!$E:$F,2,0),VLOOKUP($S88,Conf!$K:$M,3,0))))</f>
        <v>REPOSITOR</v>
      </c>
      <c r="D88" s="72" t="str">
        <f ca="1">IFERROR(IF(TODAY()-K88&gt;365,"Inativo",IF(J88=2,"Férias",IF(J88=7,"Demitido","Afastamento"))),VLOOKUP(J88,Conf!$H:$I,2,0))</f>
        <v>Ativos</v>
      </c>
      <c r="E88" s="187">
        <v>1</v>
      </c>
      <c r="F88" s="187">
        <v>44</v>
      </c>
      <c r="G88" t="s">
        <v>1515</v>
      </c>
      <c r="H88" s="71"/>
      <c r="I88" t="s">
        <v>303</v>
      </c>
      <c r="J88" s="187">
        <v>1</v>
      </c>
      <c r="K88" t="s">
        <v>1385</v>
      </c>
      <c r="L88" s="185"/>
      <c r="M88" s="188">
        <v>46266</v>
      </c>
      <c r="N88" s="71"/>
      <c r="Q88" s="71"/>
      <c r="R88" s="71"/>
      <c r="S88" t="s">
        <v>311</v>
      </c>
      <c r="T88" s="71"/>
    </row>
    <row r="89" spans="1:20" x14ac:dyDescent="0.3">
      <c r="A89" s="72">
        <f>IFERROR(VLOOKUP($G89,Conf!$B:$C,2,0),E89)</f>
        <v>1</v>
      </c>
      <c r="B89" s="72" t="str">
        <f ca="1">IF(D89="Inativo","Inativo",IFERROR(VLOOKUP($G89,Conf!$O:$Q,2,0),VLOOKUP($S89,Conf!$K:$M,2,0)))</f>
        <v>GERÊNCIA</v>
      </c>
      <c r="C89" s="72" t="str">
        <f ca="1">IF(D89="Inativo","Inativo",IFERROR(VLOOKUP($G89,Conf!$O:$Q,3,0),IFERROR(VLOOKUP($G89,Conf!$E:$F,2,0),VLOOKUP($S89,Conf!$K:$M,3,0))))</f>
        <v>GERENTE</v>
      </c>
      <c r="D89" s="72" t="str">
        <f ca="1">IFERROR(IF(TODAY()-K89&gt;365,"Inativo",IF(J89=2,"Férias",IF(J89=7,"Demitido","Afastamento"))),VLOOKUP(J89,Conf!$H:$I,2,0))</f>
        <v>Ativos</v>
      </c>
      <c r="E89" s="187">
        <v>1</v>
      </c>
      <c r="F89" s="187">
        <v>1964</v>
      </c>
      <c r="G89" t="s">
        <v>349</v>
      </c>
      <c r="H89" s="71"/>
      <c r="I89" t="s">
        <v>350</v>
      </c>
      <c r="J89" s="187">
        <v>1</v>
      </c>
      <c r="K89" t="s">
        <v>1385</v>
      </c>
      <c r="L89" s="185"/>
      <c r="M89" s="188">
        <v>45000</v>
      </c>
      <c r="N89" s="71"/>
      <c r="O89" s="71"/>
      <c r="P89" s="71"/>
      <c r="Q89" s="71"/>
      <c r="R89" s="71"/>
      <c r="S89" t="s">
        <v>351</v>
      </c>
      <c r="T89" s="71"/>
    </row>
    <row r="90" spans="1:20" x14ac:dyDescent="0.3">
      <c r="A90" s="72">
        <f>IFERROR(VLOOKUP($G90,Conf!$B:$C,2,0),E90)</f>
        <v>1</v>
      </c>
      <c r="B90" s="72" t="str">
        <f ca="1">IF(D90="Inativo","Inativo",IFERROR(VLOOKUP($G90,Conf!$O:$Q,2,0),VLOOKUP($S90,Conf!$K:$M,2,0)))</f>
        <v>GERÊNCIA</v>
      </c>
      <c r="C90" s="72" t="str">
        <f ca="1">IF(D90="Inativo","Inativo",IFERROR(VLOOKUP($G90,Conf!$O:$Q,3,0),IFERROR(VLOOKUP($G90,Conf!$E:$F,2,0),VLOOKUP($S90,Conf!$K:$M,3,0))))</f>
        <v>SUBGERENTE</v>
      </c>
      <c r="D90" s="72" t="str">
        <f ca="1">IFERROR(IF(TODAY()-K90&gt;365,"Inativo",IF(J90=2,"Férias",IF(J90=7,"Demitido","Afastamento"))),VLOOKUP(J90,Conf!$H:$I,2,0))</f>
        <v>Ativos</v>
      </c>
      <c r="E90" s="187">
        <v>1</v>
      </c>
      <c r="F90" s="187">
        <v>199</v>
      </c>
      <c r="G90" t="s">
        <v>451</v>
      </c>
      <c r="H90" s="71"/>
      <c r="I90" t="s">
        <v>350</v>
      </c>
      <c r="J90" s="187">
        <v>1</v>
      </c>
      <c r="K90" t="s">
        <v>1385</v>
      </c>
      <c r="L90" s="185"/>
      <c r="M90" s="188">
        <v>45756</v>
      </c>
      <c r="N90" s="71"/>
      <c r="O90" s="71"/>
      <c r="P90" s="71"/>
      <c r="Q90" s="71"/>
      <c r="R90" s="71"/>
      <c r="S90" t="s">
        <v>1257</v>
      </c>
      <c r="T90" s="71"/>
    </row>
    <row r="91" spans="1:20" x14ac:dyDescent="0.3">
      <c r="A91" s="72">
        <f>IFERROR(VLOOKUP($G91,Conf!$B:$C,2,0),E91)</f>
        <v>1</v>
      </c>
      <c r="B91" s="72" t="str">
        <f ca="1">IF(D91="Inativo","Inativo",IFERROR(VLOOKUP($G91,Conf!$O:$Q,2,0),VLOOKUP($S91,Conf!$K:$M,2,0)))</f>
        <v>GERÊNCIA</v>
      </c>
      <c r="C91" s="72" t="str">
        <f ca="1">IF(D91="Inativo","Inativo",IFERROR(VLOOKUP($G91,Conf!$O:$Q,3,0),IFERROR(VLOOKUP($G91,Conf!$E:$F,2,0),VLOOKUP($S91,Conf!$K:$M,3,0))))</f>
        <v>SUBGERENTE</v>
      </c>
      <c r="D91" s="72" t="str">
        <f ca="1">IFERROR(IF(TODAY()-K91&gt;365,"Inativo",IF(J91=2,"Férias",IF(J91=7,"Demitido","Afastamento"))),VLOOKUP(J91,Conf!$H:$I,2,0))</f>
        <v>Ativos</v>
      </c>
      <c r="E91" s="187">
        <v>1</v>
      </c>
      <c r="F91" s="187">
        <v>255</v>
      </c>
      <c r="G91" t="s">
        <v>369</v>
      </c>
      <c r="H91" s="71"/>
      <c r="I91" t="s">
        <v>350</v>
      </c>
      <c r="J91" s="187">
        <v>1</v>
      </c>
      <c r="K91" t="s">
        <v>1385</v>
      </c>
      <c r="L91" s="185"/>
      <c r="M91" s="188">
        <v>45966</v>
      </c>
      <c r="N91" s="71"/>
      <c r="Q91" s="71"/>
      <c r="R91" s="71"/>
      <c r="S91" t="s">
        <v>368</v>
      </c>
      <c r="T91" s="71"/>
    </row>
    <row r="92" spans="1:20" x14ac:dyDescent="0.3">
      <c r="A92" s="72">
        <f>IFERROR(VLOOKUP($G92,Conf!$B:$C,2,0),E92)</f>
        <v>1</v>
      </c>
      <c r="B92" s="72" t="str">
        <f ca="1">IF(D92="Inativo","Inativo",IFERROR(VLOOKUP($G92,Conf!$O:$Q,2,0),VLOOKUP($S92,Conf!$K:$M,2,0)))</f>
        <v>HORTIFRUTI</v>
      </c>
      <c r="C92" s="72" t="str">
        <f ca="1">IF(D92="Inativo","Inativo",IFERROR(VLOOKUP($G92,Conf!$O:$Q,3,0),IFERROR(VLOOKUP($G92,Conf!$E:$F,2,0),VLOOKUP($S92,Conf!$K:$M,3,0))))</f>
        <v>ENCARREGADO</v>
      </c>
      <c r="D92" s="72" t="str">
        <f ca="1">IFERROR(IF(TODAY()-K92&gt;365,"Inativo",IF(J92=2,"Férias",IF(J92=7,"Demitido","Afastamento"))),VLOOKUP(J92,Conf!$H:$I,2,0))</f>
        <v>Ativos</v>
      </c>
      <c r="E92" s="187">
        <v>1</v>
      </c>
      <c r="F92" s="187">
        <v>109</v>
      </c>
      <c r="G92" t="s">
        <v>312</v>
      </c>
      <c r="H92" s="71"/>
      <c r="I92" t="s">
        <v>222</v>
      </c>
      <c r="J92" s="187">
        <v>1</v>
      </c>
      <c r="K92" t="s">
        <v>1385</v>
      </c>
      <c r="L92" s="185"/>
      <c r="M92" s="188">
        <v>45455</v>
      </c>
      <c r="N92" s="71"/>
      <c r="Q92" s="71"/>
      <c r="R92" s="71"/>
      <c r="S92" t="s">
        <v>313</v>
      </c>
      <c r="T92" s="71"/>
    </row>
    <row r="93" spans="1:20" x14ac:dyDescent="0.3">
      <c r="A93" s="72">
        <f>IFERROR(VLOOKUP($G93,Conf!$B:$C,2,0),E93)</f>
        <v>1</v>
      </c>
      <c r="B93" s="72" t="str">
        <f ca="1">IF(D93="Inativo","Inativo",IFERROR(VLOOKUP($G93,Conf!$O:$Q,2,0),VLOOKUP($S93,Conf!$K:$M,2,0)))</f>
        <v>HORTIFRUTI</v>
      </c>
      <c r="C93" s="72" t="str">
        <f ca="1">IF(D93="Inativo","Inativo",IFERROR(VLOOKUP($G93,Conf!$O:$Q,3,0),IFERROR(VLOOKUP($G93,Conf!$E:$F,2,0),VLOOKUP($S93,Conf!$K:$M,3,0))))</f>
        <v>REPOSITOR</v>
      </c>
      <c r="D93" s="72" t="str">
        <f ca="1">IFERROR(IF(TODAY()-K93&gt;365,"Inativo",IF(J93=2,"Férias",IF(J93=7,"Demitido","Afastamento"))),VLOOKUP(J93,Conf!$H:$I,2,0))</f>
        <v>Ativos</v>
      </c>
      <c r="E93" s="187">
        <v>1</v>
      </c>
      <c r="F93" s="187">
        <v>4</v>
      </c>
      <c r="G93" t="s">
        <v>314</v>
      </c>
      <c r="H93" s="71"/>
      <c r="I93" t="s">
        <v>220</v>
      </c>
      <c r="J93" s="187">
        <v>1</v>
      </c>
      <c r="K93" t="s">
        <v>1385</v>
      </c>
      <c r="L93" s="185"/>
      <c r="M93" s="188">
        <v>46106</v>
      </c>
      <c r="N93" s="71"/>
      <c r="O93" s="71"/>
      <c r="P93" s="71"/>
      <c r="Q93" s="71"/>
      <c r="R93" s="71"/>
      <c r="S93" t="s">
        <v>315</v>
      </c>
      <c r="T93" s="71"/>
    </row>
    <row r="94" spans="1:20" x14ac:dyDescent="0.3">
      <c r="A94" s="72">
        <f>IFERROR(VLOOKUP($G94,Conf!$B:$C,2,0),E94)</f>
        <v>1</v>
      </c>
      <c r="B94" s="72" t="str">
        <f ca="1">IF(D94="Inativo","Inativo",IFERROR(VLOOKUP($G94,Conf!$O:$Q,2,0),VLOOKUP($S94,Conf!$K:$M,2,0)))</f>
        <v>HORTIFRUTI</v>
      </c>
      <c r="C94" s="72" t="str">
        <f ca="1">IF(D94="Inativo","Inativo",IFERROR(VLOOKUP($G94,Conf!$O:$Q,3,0),IFERROR(VLOOKUP($G94,Conf!$E:$F,2,0),VLOOKUP($S94,Conf!$K:$M,3,0))))</f>
        <v>REPOSITOR</v>
      </c>
      <c r="D94" s="72" t="str">
        <f ca="1">IFERROR(IF(TODAY()-K94&gt;365,"Inativo",IF(J94=2,"Férias",IF(J94=7,"Demitido","Afastamento"))),VLOOKUP(J94,Conf!$H:$I,2,0))</f>
        <v>Ativos</v>
      </c>
      <c r="E94" s="187">
        <v>1</v>
      </c>
      <c r="F94" s="187">
        <v>276</v>
      </c>
      <c r="G94" t="s">
        <v>316</v>
      </c>
      <c r="H94" s="71"/>
      <c r="I94" t="s">
        <v>220</v>
      </c>
      <c r="J94" s="187">
        <v>1</v>
      </c>
      <c r="K94" t="s">
        <v>1385</v>
      </c>
      <c r="L94" s="185"/>
      <c r="M94" s="188">
        <v>46041</v>
      </c>
      <c r="N94" s="71"/>
      <c r="Q94" s="71"/>
      <c r="R94" s="71"/>
      <c r="S94" t="s">
        <v>315</v>
      </c>
      <c r="T94" s="71"/>
    </row>
    <row r="95" spans="1:20" x14ac:dyDescent="0.3">
      <c r="A95" s="72">
        <f>IFERROR(VLOOKUP($G95,Conf!$B:$C,2,0),E95)</f>
        <v>1</v>
      </c>
      <c r="B95" s="72" t="str">
        <f ca="1">IF(D95="Inativo","Inativo",IFERROR(VLOOKUP($G95,Conf!$O:$Q,2,0),VLOOKUP($S95,Conf!$K:$M,2,0)))</f>
        <v>HORTIFRUTI</v>
      </c>
      <c r="C95" s="72" t="str">
        <f ca="1">IF(D95="Inativo","Inativo",IFERROR(VLOOKUP($G95,Conf!$O:$Q,3,0),IFERROR(VLOOKUP($G95,Conf!$E:$F,2,0),VLOOKUP($S95,Conf!$K:$M,3,0))))</f>
        <v>REPOSITOR</v>
      </c>
      <c r="D95" s="72" t="str">
        <f ca="1">IFERROR(IF(TODAY()-K95&gt;365,"Inativo",IF(J95=2,"Férias",IF(J95=7,"Demitido","Afastamento"))),VLOOKUP(J95,Conf!$H:$I,2,0))</f>
        <v>Ativos</v>
      </c>
      <c r="E95" s="187">
        <v>1</v>
      </c>
      <c r="F95" s="187">
        <v>282</v>
      </c>
      <c r="G95" t="s">
        <v>343</v>
      </c>
      <c r="H95" s="71"/>
      <c r="I95" t="s">
        <v>222</v>
      </c>
      <c r="J95" s="187">
        <v>1</v>
      </c>
      <c r="K95" t="s">
        <v>1385</v>
      </c>
      <c r="L95" s="185"/>
      <c r="M95" s="188">
        <v>46055</v>
      </c>
      <c r="N95" s="71"/>
      <c r="O95" s="71"/>
      <c r="P95" s="71"/>
      <c r="Q95" s="71"/>
      <c r="R95" s="71"/>
      <c r="S95" t="s">
        <v>344</v>
      </c>
      <c r="T95" s="71"/>
    </row>
    <row r="96" spans="1:20" x14ac:dyDescent="0.3">
      <c r="A96" s="72">
        <f>IFERROR(VLOOKUP($G96,Conf!$B:$C,2,0),E96)</f>
        <v>1</v>
      </c>
      <c r="B96" s="72" t="str">
        <f ca="1">IF(D96="Inativo","Inativo",IFERROR(VLOOKUP($G96,Conf!$O:$Q,2,0),VLOOKUP($S96,Conf!$K:$M,2,0)))</f>
        <v>HORTIFRUTI</v>
      </c>
      <c r="C96" s="72" t="str">
        <f ca="1">IF(D96="Inativo","Inativo",IFERROR(VLOOKUP($G96,Conf!$O:$Q,3,0),IFERROR(VLOOKUP($G96,Conf!$E:$F,2,0),VLOOKUP($S96,Conf!$K:$M,3,0))))</f>
        <v>REPOSITOR</v>
      </c>
      <c r="D96" s="72" t="str">
        <f ca="1">IFERROR(IF(TODAY()-K96&gt;365,"Inativo",IF(J96=2,"Férias",IF(J96=7,"Demitido","Afastamento"))),VLOOKUP(J96,Conf!$H:$I,2,0))</f>
        <v>Ativos</v>
      </c>
      <c r="E96" s="187">
        <v>1</v>
      </c>
      <c r="F96" s="187">
        <v>112</v>
      </c>
      <c r="G96" t="s">
        <v>318</v>
      </c>
      <c r="H96" s="71"/>
      <c r="I96" t="s">
        <v>319</v>
      </c>
      <c r="J96" s="187">
        <v>1</v>
      </c>
      <c r="K96" t="s">
        <v>1385</v>
      </c>
      <c r="L96" s="185"/>
      <c r="M96" s="188">
        <v>39022</v>
      </c>
      <c r="N96" s="71"/>
      <c r="Q96" s="71"/>
      <c r="R96" s="71"/>
      <c r="S96" t="s">
        <v>320</v>
      </c>
      <c r="T96" s="71"/>
    </row>
    <row r="97" spans="1:20" x14ac:dyDescent="0.3">
      <c r="A97" s="72">
        <f>IFERROR(VLOOKUP($G97,Conf!$B:$C,2,0),E97)</f>
        <v>1</v>
      </c>
      <c r="B97" s="72" t="str">
        <f ca="1">IF(D97="Inativo","Inativo",IFERROR(VLOOKUP($G97,Conf!$O:$Q,2,0),VLOOKUP($S97,Conf!$K:$M,2,0)))</f>
        <v>HORTIFRUTI</v>
      </c>
      <c r="C97" s="72" t="str">
        <f ca="1">IF(D97="Inativo","Inativo",IFERROR(VLOOKUP($G97,Conf!$O:$Q,3,0),IFERROR(VLOOKUP($G97,Conf!$E:$F,2,0),VLOOKUP($S97,Conf!$K:$M,3,0))))</f>
        <v>REPOSITOR</v>
      </c>
      <c r="D97" s="72" t="str">
        <f ca="1">IFERROR(IF(TODAY()-K97&gt;365,"Inativo",IF(J97=2,"Férias",IF(J97=7,"Demitido","Afastamento"))),VLOOKUP(J97,Conf!$H:$I,2,0))</f>
        <v>Ativos</v>
      </c>
      <c r="E97" s="187">
        <v>1</v>
      </c>
      <c r="F97" s="187">
        <v>279</v>
      </c>
      <c r="G97" t="s">
        <v>321</v>
      </c>
      <c r="H97" s="71"/>
      <c r="I97" t="s">
        <v>220</v>
      </c>
      <c r="J97" s="187">
        <v>1</v>
      </c>
      <c r="K97" t="s">
        <v>1385</v>
      </c>
      <c r="L97" s="185"/>
      <c r="M97" s="188">
        <v>46044</v>
      </c>
      <c r="N97" s="71"/>
      <c r="O97" s="71"/>
      <c r="P97" s="71"/>
      <c r="Q97" s="71"/>
      <c r="R97" s="71"/>
      <c r="S97" t="s">
        <v>315</v>
      </c>
      <c r="T97" s="71"/>
    </row>
    <row r="98" spans="1:20" x14ac:dyDescent="0.3">
      <c r="A98" s="72">
        <f>IFERROR(VLOOKUP($G98,Conf!$B:$C,2,0),E98)</f>
        <v>1</v>
      </c>
      <c r="B98" s="72" t="str">
        <f ca="1">IF(D98="Inativo","Inativo",IFERROR(VLOOKUP($G98,Conf!$O:$Q,2,0),VLOOKUP($S98,Conf!$K:$M,2,0)))</f>
        <v>HORTIFRUTI</v>
      </c>
      <c r="C98" s="72" t="str">
        <f ca="1">IF(D98="Inativo","Inativo",IFERROR(VLOOKUP($G98,Conf!$O:$Q,3,0),IFERROR(VLOOKUP($G98,Conf!$E:$F,2,0),VLOOKUP($S98,Conf!$K:$M,3,0))))</f>
        <v>REPOSITOR</v>
      </c>
      <c r="D98" s="72" t="str">
        <f ca="1">IFERROR(IF(TODAY()-K98&gt;365,"Inativo",IF(J98=2,"Férias",IF(J98=7,"Demitido","Afastamento"))),VLOOKUP(J98,Conf!$H:$I,2,0))</f>
        <v>Ativos</v>
      </c>
      <c r="E98" s="187">
        <v>1</v>
      </c>
      <c r="F98" s="187">
        <v>395</v>
      </c>
      <c r="G98" t="s">
        <v>322</v>
      </c>
      <c r="H98" s="71"/>
      <c r="I98" t="s">
        <v>225</v>
      </c>
      <c r="J98" s="187">
        <v>1</v>
      </c>
      <c r="K98" t="s">
        <v>1385</v>
      </c>
      <c r="L98" s="185"/>
      <c r="M98" s="188">
        <v>40311</v>
      </c>
      <c r="N98" s="71"/>
      <c r="O98" s="71"/>
      <c r="P98" s="71"/>
      <c r="Q98" s="71"/>
      <c r="R98" s="71"/>
      <c r="S98" t="s">
        <v>320</v>
      </c>
      <c r="T98" s="71"/>
    </row>
    <row r="99" spans="1:20" x14ac:dyDescent="0.3">
      <c r="A99" s="72">
        <f>IFERROR(VLOOKUP($G99,Conf!$B:$C,2,0),E99)</f>
        <v>1</v>
      </c>
      <c r="B99" s="72" t="str">
        <f ca="1">IF(D99="Inativo","Inativo",IFERROR(VLOOKUP($G99,Conf!$O:$Q,2,0),VLOOKUP($S99,Conf!$K:$M,2,0)))</f>
        <v>HORTIFRUTI</v>
      </c>
      <c r="C99" s="72" t="str">
        <f ca="1">IF(D99="Inativo","Inativo",IFERROR(VLOOKUP($G99,Conf!$O:$Q,3,0),IFERROR(VLOOKUP($G99,Conf!$E:$F,2,0),VLOOKUP($S99,Conf!$K:$M,3,0))))</f>
        <v>REPOSITOR</v>
      </c>
      <c r="D99" s="72" t="str">
        <f ca="1">IFERROR(IF(TODAY()-K99&gt;365,"Inativo",IF(J99=2,"Férias",IF(J99=7,"Demitido","Afastamento"))),VLOOKUP(J99,Conf!$H:$I,2,0))</f>
        <v>Ativos</v>
      </c>
      <c r="E99" s="187">
        <v>1</v>
      </c>
      <c r="F99" s="187">
        <v>128</v>
      </c>
      <c r="G99" t="s">
        <v>323</v>
      </c>
      <c r="H99" s="71"/>
      <c r="I99" t="s">
        <v>220</v>
      </c>
      <c r="J99" s="187">
        <v>1</v>
      </c>
      <c r="K99" t="s">
        <v>1385</v>
      </c>
      <c r="L99" s="185"/>
      <c r="M99" s="188">
        <v>45516</v>
      </c>
      <c r="N99" s="71"/>
      <c r="O99" s="71"/>
      <c r="P99" s="71"/>
      <c r="Q99" s="71"/>
      <c r="R99" s="71"/>
      <c r="S99" t="s">
        <v>315</v>
      </c>
      <c r="T99" s="71"/>
    </row>
    <row r="100" spans="1:20" x14ac:dyDescent="0.3">
      <c r="A100" s="72">
        <f>IFERROR(VLOOKUP($G100,Conf!$B:$C,2,0),E100)</f>
        <v>1</v>
      </c>
      <c r="B100" s="72" t="str">
        <f ca="1">IF(D100="Inativo","Inativo",IFERROR(VLOOKUP($G100,Conf!$O:$Q,2,0),VLOOKUP($S100,Conf!$K:$M,2,0)))</f>
        <v>Inativo</v>
      </c>
      <c r="C100" s="72" t="str">
        <f ca="1">IF(D100="Inativo","Inativo",IFERROR(VLOOKUP($G100,Conf!$O:$Q,3,0),IFERROR(VLOOKUP($G100,Conf!$E:$F,2,0),VLOOKUP($S100,Conf!$K:$M,3,0))))</f>
        <v>Inativo</v>
      </c>
      <c r="D100" s="72" t="str">
        <f ca="1">IFERROR(IF(TODAY()-K100&gt;365,"Inativo",IF(J100=2,"Férias",IF(J100=7,"Demitido","Afastamento"))),VLOOKUP(J100,Conf!$H:$I,2,0))</f>
        <v>Inativo</v>
      </c>
      <c r="E100" s="187">
        <v>1</v>
      </c>
      <c r="F100" s="187">
        <v>767</v>
      </c>
      <c r="G100" t="s">
        <v>324</v>
      </c>
      <c r="H100" s="71"/>
      <c r="I100" t="s">
        <v>296</v>
      </c>
      <c r="J100" s="187">
        <v>3</v>
      </c>
      <c r="K100" t="s">
        <v>325</v>
      </c>
      <c r="L100" s="185"/>
      <c r="M100" s="188">
        <v>41509</v>
      </c>
      <c r="N100" s="71"/>
      <c r="Q100" s="71"/>
      <c r="R100" s="71"/>
      <c r="S100" t="s">
        <v>326</v>
      </c>
      <c r="T100" s="71"/>
    </row>
    <row r="101" spans="1:20" x14ac:dyDescent="0.3">
      <c r="A101" s="72">
        <f>IFERROR(VLOOKUP($G101,Conf!$B:$C,2,0),E101)</f>
        <v>1</v>
      </c>
      <c r="B101" s="72" t="str">
        <f ca="1">IF(D101="Inativo","Inativo",IFERROR(VLOOKUP($G101,Conf!$O:$Q,2,0),VLOOKUP($S101,Conf!$K:$M,2,0)))</f>
        <v>Inativo</v>
      </c>
      <c r="C101" s="72" t="str">
        <f ca="1">IF(D101="Inativo","Inativo",IFERROR(VLOOKUP($G101,Conf!$O:$Q,3,0),IFERROR(VLOOKUP($G101,Conf!$E:$F,2,0),VLOOKUP($S101,Conf!$K:$M,3,0))))</f>
        <v>Inativo</v>
      </c>
      <c r="D101" s="72" t="str">
        <f ca="1">IFERROR(IF(TODAY()-K101&gt;365,"Inativo",IF(J101=2,"Férias",IF(J101=7,"Demitido","Afastamento"))),VLOOKUP(J101,Conf!$H:$I,2,0))</f>
        <v>Inativo</v>
      </c>
      <c r="E101" s="187">
        <v>1</v>
      </c>
      <c r="F101" s="187">
        <v>1932</v>
      </c>
      <c r="G101" t="s">
        <v>327</v>
      </c>
      <c r="H101" s="71"/>
      <c r="I101" t="s">
        <v>220</v>
      </c>
      <c r="J101" s="187">
        <v>3</v>
      </c>
      <c r="K101" t="s">
        <v>328</v>
      </c>
      <c r="L101" s="185"/>
      <c r="M101" s="188">
        <v>44869</v>
      </c>
      <c r="N101" s="71"/>
      <c r="Q101" s="71"/>
      <c r="R101" s="71"/>
      <c r="S101" t="s">
        <v>329</v>
      </c>
      <c r="T101" s="71"/>
    </row>
    <row r="102" spans="1:20" x14ac:dyDescent="0.3">
      <c r="A102" s="72">
        <f>IFERROR(VLOOKUP($G102,Conf!$B:$C,2,0),E102)</f>
        <v>1</v>
      </c>
      <c r="B102" s="72" t="str">
        <f ca="1">IF(D102="Inativo","Inativo",IFERROR(VLOOKUP($G102,Conf!$O:$Q,2,0),VLOOKUP($S102,Conf!$K:$M,2,0)))</f>
        <v>LOJA</v>
      </c>
      <c r="C102" s="72" t="str">
        <f ca="1">IF(D102="Inativo","Inativo",IFERROR(VLOOKUP($G102,Conf!$O:$Q,3,0),IFERROR(VLOOKUP($G102,Conf!$E:$F,2,0),VLOOKUP($S102,Conf!$K:$M,3,0))))</f>
        <v>CARTAZISTA</v>
      </c>
      <c r="D102" s="72" t="str">
        <f ca="1">IFERROR(IF(TODAY()-K102&gt;365,"Inativo",IF(J102=2,"Férias",IF(J102=7,"Demitido","Afastamento"))),VLOOKUP(J102,Conf!$H:$I,2,0))</f>
        <v>Ativos</v>
      </c>
      <c r="E102" s="187">
        <v>1</v>
      </c>
      <c r="F102" s="187">
        <v>244</v>
      </c>
      <c r="G102" t="s">
        <v>360</v>
      </c>
      <c r="H102" s="71"/>
      <c r="I102" t="s">
        <v>222</v>
      </c>
      <c r="J102" s="187">
        <v>1</v>
      </c>
      <c r="K102" t="s">
        <v>1385</v>
      </c>
      <c r="L102" s="185"/>
      <c r="M102" s="188">
        <v>45916</v>
      </c>
      <c r="N102" s="71"/>
      <c r="O102" s="71"/>
      <c r="P102" s="71"/>
      <c r="Q102" s="71"/>
      <c r="R102" s="71"/>
      <c r="S102" t="s">
        <v>1366</v>
      </c>
      <c r="T102" s="71"/>
    </row>
    <row r="103" spans="1:20" x14ac:dyDescent="0.3">
      <c r="A103" s="72">
        <f>IFERROR(VLOOKUP($G103,Conf!$B:$C,2,0),E103)</f>
        <v>1</v>
      </c>
      <c r="B103" s="72" t="str">
        <f ca="1">IF(D103="Inativo","Inativo",IFERROR(VLOOKUP($G103,Conf!$O:$Q,2,0),VLOOKUP($S103,Conf!$K:$M,2,0)))</f>
        <v>LOJA</v>
      </c>
      <c r="C103" s="72" t="str">
        <f ca="1">IF(D103="Inativo","Inativo",IFERROR(VLOOKUP($G103,Conf!$O:$Q,3,0),IFERROR(VLOOKUP($G103,Conf!$E:$F,2,0),VLOOKUP($S103,Conf!$K:$M,3,0))))</f>
        <v>ENCARREGADO</v>
      </c>
      <c r="D103" s="72" t="str">
        <f ca="1">IFERROR(IF(TODAY()-K103&gt;365,"Inativo",IF(J103=2,"Férias",IF(J103=7,"Demitido","Afastamento"))),VLOOKUP(J103,Conf!$H:$I,2,0))</f>
        <v>Ativos</v>
      </c>
      <c r="E103" s="187">
        <v>1</v>
      </c>
      <c r="F103" s="187">
        <v>1714</v>
      </c>
      <c r="G103" t="s">
        <v>347</v>
      </c>
      <c r="H103" s="71"/>
      <c r="I103" t="s">
        <v>220</v>
      </c>
      <c r="J103" s="187">
        <v>1</v>
      </c>
      <c r="K103" t="s">
        <v>1385</v>
      </c>
      <c r="L103" s="185"/>
      <c r="M103" s="188">
        <v>44341</v>
      </c>
      <c r="N103" s="71"/>
      <c r="Q103" s="71"/>
      <c r="R103" s="71"/>
      <c r="S103" t="s">
        <v>348</v>
      </c>
      <c r="T103" s="71"/>
    </row>
    <row r="104" spans="1:20" x14ac:dyDescent="0.3">
      <c r="A104" s="72">
        <f>IFERROR(VLOOKUP($G104,Conf!$B:$C,2,0),E104)</f>
        <v>1</v>
      </c>
      <c r="B104" s="72" t="str">
        <f ca="1">IF(D104="Inativo","Inativo",IFERROR(VLOOKUP($G104,Conf!$O:$Q,2,0),VLOOKUP($S104,Conf!$K:$M,2,0)))</f>
        <v>LOJA</v>
      </c>
      <c r="C104" s="72" t="str">
        <f ca="1">IF(D104="Inativo","Inativo",IFERROR(VLOOKUP($G104,Conf!$O:$Q,3,0),IFERROR(VLOOKUP($G104,Conf!$E:$F,2,0),VLOOKUP($S104,Conf!$K:$M,3,0))))</f>
        <v>REPOSITOR</v>
      </c>
      <c r="D104" s="72" t="str">
        <f ca="1">IFERROR(IF(TODAY()-K104&gt;365,"Inativo",IF(J104=2,"Férias",IF(J104=7,"Demitido","Afastamento"))),VLOOKUP(J104,Conf!$H:$I,2,0))</f>
        <v>Ativos</v>
      </c>
      <c r="E104" s="187">
        <v>1</v>
      </c>
      <c r="F104" s="187">
        <v>95</v>
      </c>
      <c r="G104" t="s">
        <v>352</v>
      </c>
      <c r="H104" s="71"/>
      <c r="I104" t="s">
        <v>220</v>
      </c>
      <c r="J104" s="187">
        <v>1</v>
      </c>
      <c r="K104" t="s">
        <v>1385</v>
      </c>
      <c r="L104" s="185"/>
      <c r="M104" s="188">
        <v>45390</v>
      </c>
      <c r="N104" s="71"/>
      <c r="O104" s="71"/>
      <c r="P104" s="71"/>
      <c r="Q104" s="71"/>
      <c r="R104" s="71"/>
      <c r="S104" t="s">
        <v>353</v>
      </c>
      <c r="T104" s="71"/>
    </row>
    <row r="105" spans="1:20" x14ac:dyDescent="0.3">
      <c r="A105" s="72">
        <f>IFERROR(VLOOKUP($G105,Conf!$B:$C,2,0),E105)</f>
        <v>1</v>
      </c>
      <c r="B105" s="72" t="str">
        <f ca="1">IF(D105="Inativo","Inativo",IFERROR(VLOOKUP($G105,Conf!$O:$Q,2,0),VLOOKUP($S105,Conf!$K:$M,2,0)))</f>
        <v>LOJA</v>
      </c>
      <c r="C105" s="72" t="str">
        <f ca="1">IF(D105="Inativo","Inativo",IFERROR(VLOOKUP($G105,Conf!$O:$Q,3,0),IFERROR(VLOOKUP($G105,Conf!$E:$F,2,0),VLOOKUP($S105,Conf!$K:$M,3,0))))</f>
        <v>REPOSITOR</v>
      </c>
      <c r="D105" s="72" t="str">
        <f ca="1">IFERROR(IF(TODAY()-K105&gt;365,"Inativo",IF(J105=2,"Férias",IF(J105=7,"Demitido","Afastamento"))),VLOOKUP(J105,Conf!$H:$I,2,0))</f>
        <v>Ativos</v>
      </c>
      <c r="E105" s="187">
        <v>1</v>
      </c>
      <c r="F105" s="187">
        <v>67</v>
      </c>
      <c r="G105" t="s">
        <v>354</v>
      </c>
      <c r="H105" s="71"/>
      <c r="I105" t="s">
        <v>225</v>
      </c>
      <c r="J105" s="187">
        <v>1</v>
      </c>
      <c r="K105" t="s">
        <v>1385</v>
      </c>
      <c r="L105" s="185"/>
      <c r="M105" s="188">
        <v>45216</v>
      </c>
      <c r="N105" s="71"/>
      <c r="Q105" s="71"/>
      <c r="R105" s="71"/>
      <c r="S105" t="s">
        <v>353</v>
      </c>
      <c r="T105" s="71"/>
    </row>
    <row r="106" spans="1:20" x14ac:dyDescent="0.3">
      <c r="A106" s="72">
        <f>IFERROR(VLOOKUP($G106,Conf!$B:$C,2,0),E106)</f>
        <v>1</v>
      </c>
      <c r="B106" s="72" t="str">
        <f ca="1">IF(D106="Inativo","Inativo",IFERROR(VLOOKUP($G106,Conf!$O:$Q,2,0),VLOOKUP($S106,Conf!$K:$M,2,0)))</f>
        <v>LOJA</v>
      </c>
      <c r="C106" s="72" t="str">
        <f ca="1">IF(D106="Inativo","Inativo",IFERROR(VLOOKUP($G106,Conf!$O:$Q,3,0),IFERROR(VLOOKUP($G106,Conf!$E:$F,2,0),VLOOKUP($S106,Conf!$K:$M,3,0))))</f>
        <v>REPOSITOR</v>
      </c>
      <c r="D106" s="72" t="str">
        <f ca="1">IFERROR(IF(TODAY()-K106&gt;365,"Inativo",IF(J106=2,"Férias",IF(J106=7,"Demitido","Afastamento"))),VLOOKUP(J106,Conf!$H:$I,2,0))</f>
        <v>Ativos</v>
      </c>
      <c r="E106" s="187">
        <v>1</v>
      </c>
      <c r="F106" s="187">
        <v>296</v>
      </c>
      <c r="G106" t="s">
        <v>355</v>
      </c>
      <c r="H106" s="71"/>
      <c r="I106" t="s">
        <v>220</v>
      </c>
      <c r="J106" s="187">
        <v>1</v>
      </c>
      <c r="K106" t="s">
        <v>1385</v>
      </c>
      <c r="L106" s="185"/>
      <c r="M106" s="188">
        <v>46078</v>
      </c>
      <c r="N106" s="71"/>
      <c r="O106" s="71"/>
      <c r="P106" s="71"/>
      <c r="Q106" s="71"/>
      <c r="R106" s="71"/>
      <c r="S106" t="s">
        <v>353</v>
      </c>
      <c r="T106" s="71"/>
    </row>
    <row r="107" spans="1:20" x14ac:dyDescent="0.3">
      <c r="A107" s="72">
        <f>IFERROR(VLOOKUP($G107,Conf!$B:$C,2,0),E107)</f>
        <v>1</v>
      </c>
      <c r="B107" s="72" t="str">
        <f ca="1">IF(D107="Inativo","Inativo",IFERROR(VLOOKUP($G107,Conf!$O:$Q,2,0),VLOOKUP($S107,Conf!$K:$M,2,0)))</f>
        <v>LOJA</v>
      </c>
      <c r="C107" s="72" t="str">
        <f ca="1">IF(D107="Inativo","Inativo",IFERROR(VLOOKUP($G107,Conf!$O:$Q,3,0),IFERROR(VLOOKUP($G107,Conf!$E:$F,2,0),VLOOKUP($S107,Conf!$K:$M,3,0))))</f>
        <v>REPOSITOR</v>
      </c>
      <c r="D107" s="72" t="str">
        <f ca="1">IFERROR(IF(TODAY()-K107&gt;365,"Inativo",IF(J107=2,"Férias",IF(J107=7,"Demitido","Afastamento"))),VLOOKUP(J107,Conf!$H:$I,2,0))</f>
        <v>Ativos</v>
      </c>
      <c r="E107" s="187">
        <v>1</v>
      </c>
      <c r="F107" s="187">
        <v>960</v>
      </c>
      <c r="G107" t="s">
        <v>356</v>
      </c>
      <c r="H107" s="71"/>
      <c r="I107" t="s">
        <v>357</v>
      </c>
      <c r="J107" s="187">
        <v>1</v>
      </c>
      <c r="K107" t="s">
        <v>1385</v>
      </c>
      <c r="L107" s="185"/>
      <c r="M107" s="188">
        <v>41848</v>
      </c>
      <c r="N107" s="71"/>
      <c r="Q107" s="71"/>
      <c r="R107" s="71"/>
      <c r="S107" t="s">
        <v>358</v>
      </c>
      <c r="T107" s="71"/>
    </row>
    <row r="108" spans="1:20" x14ac:dyDescent="0.3">
      <c r="A108" s="72">
        <f>IFERROR(VLOOKUP($G108,Conf!$B:$C,2,0),E108)</f>
        <v>1</v>
      </c>
      <c r="B108" s="72" t="str">
        <f ca="1">IF(D108="Inativo","Inativo",IFERROR(VLOOKUP($G108,Conf!$O:$Q,2,0),VLOOKUP($S108,Conf!$K:$M,2,0)))</f>
        <v>LOJA</v>
      </c>
      <c r="C108" s="72" t="str">
        <f ca="1">IF(D108="Inativo","Inativo",IFERROR(VLOOKUP($G108,Conf!$O:$Q,3,0),IFERROR(VLOOKUP($G108,Conf!$E:$F,2,0),VLOOKUP($S108,Conf!$K:$M,3,0))))</f>
        <v>REPOSITOR</v>
      </c>
      <c r="D108" s="72" t="str">
        <f ca="1">IFERROR(IF(TODAY()-K108&gt;365,"Inativo",IF(J108=2,"Férias",IF(J108=7,"Demitido","Afastamento"))),VLOOKUP(J108,Conf!$H:$I,2,0))</f>
        <v>Demitido</v>
      </c>
      <c r="E108" s="187">
        <v>1</v>
      </c>
      <c r="F108" s="187">
        <v>77</v>
      </c>
      <c r="G108" t="s">
        <v>359</v>
      </c>
      <c r="H108" s="71"/>
      <c r="I108" t="s">
        <v>220</v>
      </c>
      <c r="J108" s="187">
        <v>7</v>
      </c>
      <c r="K108" t="s">
        <v>1639</v>
      </c>
      <c r="L108" s="185"/>
      <c r="M108" s="188">
        <v>45314</v>
      </c>
      <c r="N108" s="71"/>
      <c r="Q108" s="71"/>
      <c r="R108" s="71"/>
      <c r="S108" t="s">
        <v>353</v>
      </c>
      <c r="T108" s="71"/>
    </row>
    <row r="109" spans="1:20" x14ac:dyDescent="0.3">
      <c r="A109" s="72">
        <f>IFERROR(VLOOKUP($G109,Conf!$B:$C,2,0),E109)</f>
        <v>1</v>
      </c>
      <c r="B109" s="72" t="str">
        <f ca="1">IF(D109="Inativo","Inativo",IFERROR(VLOOKUP($G109,Conf!$O:$Q,2,0),VLOOKUP($S109,Conf!$K:$M,2,0)))</f>
        <v>LOJA</v>
      </c>
      <c r="C109" s="72" t="str">
        <f ca="1">IF(D109="Inativo","Inativo",IFERROR(VLOOKUP($G109,Conf!$O:$Q,3,0),IFERROR(VLOOKUP($G109,Conf!$E:$F,2,0),VLOOKUP($S109,Conf!$K:$M,3,0))))</f>
        <v>REPOSITOR</v>
      </c>
      <c r="D109" s="72" t="str">
        <f ca="1">IFERROR(IF(TODAY()-K109&gt;365,"Inativo",IF(J109=2,"Férias",IF(J109=7,"Demitido","Afastamento"))),VLOOKUP(J109,Conf!$H:$I,2,0))</f>
        <v>Ativos</v>
      </c>
      <c r="E109" s="187">
        <v>1</v>
      </c>
      <c r="F109" s="187">
        <v>30</v>
      </c>
      <c r="G109" t="s">
        <v>1397</v>
      </c>
      <c r="H109" s="71"/>
      <c r="I109" t="s">
        <v>220</v>
      </c>
      <c r="J109" s="187">
        <v>1</v>
      </c>
      <c r="K109" t="s">
        <v>1385</v>
      </c>
      <c r="L109" s="185"/>
      <c r="M109" s="188">
        <v>46205</v>
      </c>
      <c r="N109" s="71"/>
      <c r="Q109" s="71"/>
      <c r="R109" s="71"/>
      <c r="S109" t="s">
        <v>362</v>
      </c>
      <c r="T109" s="71"/>
    </row>
    <row r="110" spans="1:20" x14ac:dyDescent="0.3">
      <c r="A110" s="72">
        <f>IFERROR(VLOOKUP($G110,Conf!$B:$C,2,0),E110)</f>
        <v>1</v>
      </c>
      <c r="B110" s="72" t="str">
        <f ca="1">IF(D110="Inativo","Inativo",IFERROR(VLOOKUP($G110,Conf!$O:$Q,2,0),VLOOKUP($S110,Conf!$K:$M,2,0)))</f>
        <v>LOJA</v>
      </c>
      <c r="C110" s="72" t="str">
        <f ca="1">IF(D110="Inativo","Inativo",IFERROR(VLOOKUP($G110,Conf!$O:$Q,3,0),IFERROR(VLOOKUP($G110,Conf!$E:$F,2,0),VLOOKUP($S110,Conf!$K:$M,3,0))))</f>
        <v>REPOSITOR</v>
      </c>
      <c r="D110" s="72" t="str">
        <f ca="1">IFERROR(IF(TODAY()-K110&gt;365,"Inativo",IF(J110=2,"Férias",IF(J110=7,"Demitido","Afastamento"))),VLOOKUP(J110,Conf!$H:$I,2,0))</f>
        <v>Ativos</v>
      </c>
      <c r="E110" s="187">
        <v>1</v>
      </c>
      <c r="F110" s="187">
        <v>215</v>
      </c>
      <c r="G110" t="s">
        <v>361</v>
      </c>
      <c r="H110" s="71"/>
      <c r="I110" t="s">
        <v>220</v>
      </c>
      <c r="J110" s="187">
        <v>1</v>
      </c>
      <c r="K110" t="s">
        <v>1385</v>
      </c>
      <c r="L110" s="185"/>
      <c r="M110" s="188">
        <v>45818</v>
      </c>
      <c r="N110" s="71"/>
      <c r="Q110" s="71"/>
      <c r="R110" s="71"/>
      <c r="S110" t="s">
        <v>353</v>
      </c>
      <c r="T110" s="71"/>
    </row>
    <row r="111" spans="1:20" x14ac:dyDescent="0.3">
      <c r="A111" s="72">
        <f>IFERROR(VLOOKUP($G111,Conf!$B:$C,2,0),E111)</f>
        <v>1</v>
      </c>
      <c r="B111" s="72" t="str">
        <f ca="1">IF(D111="Inativo","Inativo",IFERROR(VLOOKUP($G111,Conf!$O:$Q,2,0),VLOOKUP($S111,Conf!$K:$M,2,0)))</f>
        <v>LOJA</v>
      </c>
      <c r="C111" s="72" t="str">
        <f ca="1">IF(D111="Inativo","Inativo",IFERROR(VLOOKUP($G111,Conf!$O:$Q,3,0),IFERROR(VLOOKUP($G111,Conf!$E:$F,2,0),VLOOKUP($S111,Conf!$K:$M,3,0))))</f>
        <v>REPOSITOR</v>
      </c>
      <c r="D111" s="72" t="str">
        <f ca="1">IFERROR(IF(TODAY()-K111&gt;365,"Inativo",IF(J111=2,"Férias",IF(J111=7,"Demitido","Afastamento"))),VLOOKUP(J111,Conf!$H:$I,2,0))</f>
        <v>Ativos</v>
      </c>
      <c r="E111" s="187">
        <v>1</v>
      </c>
      <c r="F111" s="187">
        <v>203</v>
      </c>
      <c r="G111" t="s">
        <v>363</v>
      </c>
      <c r="H111" s="71"/>
      <c r="I111" t="s">
        <v>357</v>
      </c>
      <c r="J111" s="187">
        <v>1</v>
      </c>
      <c r="K111" t="s">
        <v>1385</v>
      </c>
      <c r="L111" s="185"/>
      <c r="M111" s="188">
        <v>45769</v>
      </c>
      <c r="N111" s="71"/>
      <c r="Q111" s="71"/>
      <c r="R111" s="71"/>
      <c r="S111" t="s">
        <v>353</v>
      </c>
      <c r="T111" s="71"/>
    </row>
    <row r="112" spans="1:20" x14ac:dyDescent="0.3">
      <c r="A112" s="72">
        <f>IFERROR(VLOOKUP($G112,Conf!$B:$C,2,0),E112)</f>
        <v>1</v>
      </c>
      <c r="B112" s="72" t="str">
        <f ca="1">IF(D112="Inativo","Inativo",IFERROR(VLOOKUP($G112,Conf!$O:$Q,2,0),VLOOKUP($S112,Conf!$K:$M,2,0)))</f>
        <v>LOJA</v>
      </c>
      <c r="C112" s="72" t="str">
        <f ca="1">IF(D112="Inativo","Inativo",IFERROR(VLOOKUP($G112,Conf!$O:$Q,3,0),IFERROR(VLOOKUP($G112,Conf!$E:$F,2,0),VLOOKUP($S112,Conf!$K:$M,3,0))))</f>
        <v>REPOSITOR</v>
      </c>
      <c r="D112" s="72" t="str">
        <f ca="1">IFERROR(IF(TODAY()-K112&gt;365,"Inativo",IF(J112=2,"Férias",IF(J112=7,"Demitido","Afastamento"))),VLOOKUP(J112,Conf!$H:$I,2,0))</f>
        <v>Ativos</v>
      </c>
      <c r="E112" s="187">
        <v>1</v>
      </c>
      <c r="F112" s="187">
        <v>24</v>
      </c>
      <c r="G112" t="s">
        <v>1319</v>
      </c>
      <c r="H112" s="71"/>
      <c r="I112" t="s">
        <v>220</v>
      </c>
      <c r="J112" s="187">
        <v>1</v>
      </c>
      <c r="K112" t="s">
        <v>1385</v>
      </c>
      <c r="L112" s="185"/>
      <c r="M112" s="188">
        <v>46184</v>
      </c>
      <c r="N112" s="71"/>
      <c r="Q112" s="71"/>
      <c r="R112" s="71"/>
      <c r="S112" t="s">
        <v>362</v>
      </c>
      <c r="T112" s="71"/>
    </row>
    <row r="113" spans="1:20" x14ac:dyDescent="0.3">
      <c r="A113" s="72">
        <f>IFERROR(VLOOKUP($G113,Conf!$B:$C,2,0),E113)</f>
        <v>1</v>
      </c>
      <c r="B113" s="72" t="str">
        <f ca="1">IF(D113="Inativo","Inativo",IFERROR(VLOOKUP($G113,Conf!$O:$Q,2,0),VLOOKUP($S113,Conf!$K:$M,2,0)))</f>
        <v>LOJA</v>
      </c>
      <c r="C113" s="72" t="str">
        <f ca="1">IF(D113="Inativo","Inativo",IFERROR(VLOOKUP($G113,Conf!$O:$Q,3,0),IFERROR(VLOOKUP($G113,Conf!$E:$F,2,0),VLOOKUP($S113,Conf!$K:$M,3,0))))</f>
        <v>REPOSITOR</v>
      </c>
      <c r="D113" s="72" t="str">
        <f ca="1">IFERROR(IF(TODAY()-K113&gt;365,"Inativo",IF(J113=2,"Férias",IF(J113=7,"Demitido","Afastamento"))),VLOOKUP(J113,Conf!$H:$I,2,0))</f>
        <v>Ativos</v>
      </c>
      <c r="E113" s="187">
        <v>1</v>
      </c>
      <c r="F113" s="187">
        <v>248</v>
      </c>
      <c r="G113" t="s">
        <v>364</v>
      </c>
      <c r="H113" s="71"/>
      <c r="I113" t="s">
        <v>220</v>
      </c>
      <c r="J113" s="187">
        <v>1</v>
      </c>
      <c r="K113" t="s">
        <v>1385</v>
      </c>
      <c r="L113" s="185"/>
      <c r="M113" s="188">
        <v>45938</v>
      </c>
      <c r="N113" s="71"/>
      <c r="O113" s="71"/>
      <c r="P113" s="71"/>
      <c r="Q113" s="71"/>
      <c r="R113" s="71"/>
      <c r="S113" t="s">
        <v>353</v>
      </c>
      <c r="T113" s="71"/>
    </row>
    <row r="114" spans="1:20" x14ac:dyDescent="0.3">
      <c r="A114" s="72">
        <f>IFERROR(VLOOKUP($G114,Conf!$B:$C,2,0),E114)</f>
        <v>1</v>
      </c>
      <c r="B114" s="72" t="str">
        <f ca="1">IF(D114="Inativo","Inativo",IFERROR(VLOOKUP($G114,Conf!$O:$Q,2,0),VLOOKUP($S114,Conf!$K:$M,2,0)))</f>
        <v>LOJA</v>
      </c>
      <c r="C114" s="72" t="str">
        <f ca="1">IF(D114="Inativo","Inativo",IFERROR(VLOOKUP($G114,Conf!$O:$Q,3,0),IFERROR(VLOOKUP($G114,Conf!$E:$F,2,0),VLOOKUP($S114,Conf!$K:$M,3,0))))</f>
        <v>REPOSITOR</v>
      </c>
      <c r="D114" s="72" t="str">
        <f ca="1">IFERROR(IF(TODAY()-K114&gt;365,"Inativo",IF(J114=2,"Férias",IF(J114=7,"Demitido","Afastamento"))),VLOOKUP(J114,Conf!$H:$I,2,0))</f>
        <v>Ativos</v>
      </c>
      <c r="E114" s="187">
        <v>1</v>
      </c>
      <c r="F114" s="187">
        <v>1220</v>
      </c>
      <c r="G114" t="s">
        <v>365</v>
      </c>
      <c r="H114" s="71"/>
      <c r="I114" t="s">
        <v>222</v>
      </c>
      <c r="J114" s="187">
        <v>1</v>
      </c>
      <c r="K114" t="s">
        <v>1385</v>
      </c>
      <c r="L114" s="185"/>
      <c r="M114" s="188">
        <v>42446</v>
      </c>
      <c r="N114" s="71"/>
      <c r="Q114" s="71"/>
      <c r="R114" s="71"/>
      <c r="S114" t="s">
        <v>358</v>
      </c>
      <c r="T114" s="71"/>
    </row>
    <row r="115" spans="1:20" x14ac:dyDescent="0.3">
      <c r="A115" s="72">
        <f>IFERROR(VLOOKUP($G115,Conf!$B:$C,2,0),E115)</f>
        <v>1</v>
      </c>
      <c r="B115" s="72" t="str">
        <f ca="1">IF(D115="Inativo","Inativo",IFERROR(VLOOKUP($G115,Conf!$O:$Q,2,0),VLOOKUP($S115,Conf!$K:$M,2,0)))</f>
        <v>LOJA</v>
      </c>
      <c r="C115" s="72" t="str">
        <f ca="1">IF(D115="Inativo","Inativo",IFERROR(VLOOKUP($G115,Conf!$O:$Q,3,0),IFERROR(VLOOKUP($G115,Conf!$E:$F,2,0),VLOOKUP($S115,Conf!$K:$M,3,0))))</f>
        <v>REPOSITOR</v>
      </c>
      <c r="D115" s="72" t="str">
        <f ca="1">IFERROR(IF(TODAY()-K115&gt;365,"Inativo",IF(J115=2,"Férias",IF(J115=7,"Demitido","Afastamento"))),VLOOKUP(J115,Conf!$H:$I,2,0))</f>
        <v>Ativos</v>
      </c>
      <c r="E115" s="187">
        <v>1</v>
      </c>
      <c r="F115" s="187">
        <v>290</v>
      </c>
      <c r="G115" t="s">
        <v>366</v>
      </c>
      <c r="H115" s="71"/>
      <c r="I115" t="s">
        <v>220</v>
      </c>
      <c r="J115" s="187">
        <v>1</v>
      </c>
      <c r="K115" t="s">
        <v>1385</v>
      </c>
      <c r="L115" s="185"/>
      <c r="M115" s="188">
        <v>46073</v>
      </c>
      <c r="N115" s="71"/>
      <c r="Q115" s="71"/>
      <c r="R115" s="71"/>
      <c r="S115" t="s">
        <v>353</v>
      </c>
      <c r="T115" s="71"/>
    </row>
    <row r="116" spans="1:20" x14ac:dyDescent="0.3">
      <c r="A116" s="72">
        <f>IFERROR(VLOOKUP($G116,Conf!$B:$C,2,0),E116)</f>
        <v>1</v>
      </c>
      <c r="B116" s="72" t="str">
        <f ca="1">IF(D116="Inativo","Inativo",IFERROR(VLOOKUP($G116,Conf!$O:$Q,2,0),VLOOKUP($S116,Conf!$K:$M,2,0)))</f>
        <v>PADARIA</v>
      </c>
      <c r="C116" s="72" t="str">
        <f ca="1">IF(D116="Inativo","Inativo",IFERROR(VLOOKUP($G116,Conf!$O:$Q,3,0),IFERROR(VLOOKUP($G116,Conf!$E:$F,2,0),VLOOKUP($S116,Conf!$K:$M,3,0))))</f>
        <v>ATENDENTE</v>
      </c>
      <c r="D116" s="72" t="str">
        <f ca="1">IFERROR(IF(TODAY()-K116&gt;365,"Inativo",IF(J116=2,"Férias",IF(J116=7,"Demitido","Afastamento"))),VLOOKUP(J116,Conf!$H:$I,2,0))</f>
        <v>Ativos</v>
      </c>
      <c r="E116" s="187">
        <v>1</v>
      </c>
      <c r="F116" s="187">
        <v>25</v>
      </c>
      <c r="G116" t="s">
        <v>1336</v>
      </c>
      <c r="H116" s="71"/>
      <c r="I116" t="s">
        <v>303</v>
      </c>
      <c r="J116" s="187">
        <v>1</v>
      </c>
      <c r="K116" t="s">
        <v>1385</v>
      </c>
      <c r="L116" s="185"/>
      <c r="M116" s="188">
        <v>46190</v>
      </c>
      <c r="N116" s="71"/>
      <c r="O116" s="71"/>
      <c r="P116" s="71"/>
      <c r="Q116" s="71"/>
      <c r="R116" s="71"/>
      <c r="S116" t="s">
        <v>376</v>
      </c>
      <c r="T116" s="71"/>
    </row>
    <row r="117" spans="1:20" x14ac:dyDescent="0.3">
      <c r="A117" s="72">
        <f>IFERROR(VLOOKUP($G117,Conf!$B:$C,2,0),E117)</f>
        <v>1</v>
      </c>
      <c r="B117" s="72" t="str">
        <f ca="1">IF(D117="Inativo","Inativo",IFERROR(VLOOKUP($G117,Conf!$O:$Q,2,0),VLOOKUP($S117,Conf!$K:$M,2,0)))</f>
        <v>PADARIA</v>
      </c>
      <c r="C117" s="72" t="str">
        <f ca="1">IF(D117="Inativo","Inativo",IFERROR(VLOOKUP($G117,Conf!$O:$Q,3,0),IFERROR(VLOOKUP($G117,Conf!$E:$F,2,0),VLOOKUP($S117,Conf!$K:$M,3,0))))</f>
        <v>ATENDENTE</v>
      </c>
      <c r="D117" s="72" t="str">
        <f ca="1">IFERROR(IF(TODAY()-K117&gt;365,"Inativo",IF(J117=2,"Férias",IF(J117=7,"Demitido","Afastamento"))),VLOOKUP(J117,Conf!$H:$I,2,0))</f>
        <v>Ativos</v>
      </c>
      <c r="E117" s="187">
        <v>1</v>
      </c>
      <c r="F117" s="187">
        <v>39</v>
      </c>
      <c r="G117" t="s">
        <v>1479</v>
      </c>
      <c r="H117" s="71"/>
      <c r="I117" t="s">
        <v>220</v>
      </c>
      <c r="J117" s="187">
        <v>1</v>
      </c>
      <c r="K117" t="s">
        <v>1385</v>
      </c>
      <c r="L117" s="185"/>
      <c r="M117" s="188">
        <v>46252</v>
      </c>
      <c r="N117" s="71"/>
      <c r="Q117" s="71"/>
      <c r="R117" s="71"/>
      <c r="S117" t="s">
        <v>376</v>
      </c>
      <c r="T117" s="71"/>
    </row>
    <row r="118" spans="1:20" x14ac:dyDescent="0.3">
      <c r="A118" s="72">
        <f>IFERROR(VLOOKUP($G118,Conf!$B:$C,2,0),E118)</f>
        <v>1</v>
      </c>
      <c r="B118" s="72" t="str">
        <f ca="1">IF(D118="Inativo","Inativo",IFERROR(VLOOKUP($G118,Conf!$O:$Q,2,0),VLOOKUP($S118,Conf!$K:$M,2,0)))</f>
        <v>PADARIA</v>
      </c>
      <c r="C118" s="72" t="str">
        <f ca="1">IF(D118="Inativo","Inativo",IFERROR(VLOOKUP($G118,Conf!$O:$Q,3,0),IFERROR(VLOOKUP($G118,Conf!$E:$F,2,0),VLOOKUP($S118,Conf!$K:$M,3,0))))</f>
        <v>ATENDENTE</v>
      </c>
      <c r="D118" s="72" t="str">
        <f ca="1">IFERROR(IF(TODAY()-K118&gt;365,"Inativo",IF(J118=2,"Férias",IF(J118=7,"Demitido","Afastamento"))),VLOOKUP(J118,Conf!$H:$I,2,0))</f>
        <v>Ativos</v>
      </c>
      <c r="E118" s="187">
        <v>1</v>
      </c>
      <c r="F118" s="187">
        <v>50</v>
      </c>
      <c r="G118" t="s">
        <v>1579</v>
      </c>
      <c r="H118" s="71"/>
      <c r="I118" t="s">
        <v>303</v>
      </c>
      <c r="J118" s="187">
        <v>1</v>
      </c>
      <c r="K118" t="s">
        <v>1385</v>
      </c>
      <c r="L118" s="185"/>
      <c r="M118" s="188">
        <v>46287</v>
      </c>
      <c r="N118" s="71"/>
      <c r="O118" s="71"/>
      <c r="P118" s="71"/>
      <c r="Q118" s="71"/>
      <c r="R118" s="71"/>
      <c r="S118" t="s">
        <v>376</v>
      </c>
      <c r="T118" s="71"/>
    </row>
    <row r="119" spans="1:20" x14ac:dyDescent="0.3">
      <c r="A119" s="72">
        <f>IFERROR(VLOOKUP($G119,Conf!$B:$C,2,0),E119)</f>
        <v>1</v>
      </c>
      <c r="B119" s="72" t="str">
        <f ca="1">IF(D119="Inativo","Inativo",IFERROR(VLOOKUP($G119,Conf!$O:$Q,2,0),VLOOKUP($S119,Conf!$K:$M,2,0)))</f>
        <v>PADARIA</v>
      </c>
      <c r="C119" s="72" t="str">
        <f ca="1">IF(D119="Inativo","Inativo",IFERROR(VLOOKUP($G119,Conf!$O:$Q,3,0),IFERROR(VLOOKUP($G119,Conf!$E:$F,2,0),VLOOKUP($S119,Conf!$K:$M,3,0))))</f>
        <v>ATENDENTE</v>
      </c>
      <c r="D119" s="72" t="str">
        <f ca="1">IFERROR(IF(TODAY()-K119&gt;365,"Inativo",IF(J119=2,"Férias",IF(J119=7,"Demitido","Afastamento"))),VLOOKUP(J119,Conf!$H:$I,2,0))</f>
        <v>Ativos</v>
      </c>
      <c r="E119" s="187">
        <v>1</v>
      </c>
      <c r="F119" s="187">
        <v>49</v>
      </c>
      <c r="G119" t="s">
        <v>1578</v>
      </c>
      <c r="H119" s="71"/>
      <c r="I119" t="s">
        <v>303</v>
      </c>
      <c r="J119" s="187">
        <v>1</v>
      </c>
      <c r="K119" t="s">
        <v>1385</v>
      </c>
      <c r="L119" s="185"/>
      <c r="M119" s="188">
        <v>46287</v>
      </c>
      <c r="N119" s="71"/>
      <c r="Q119" s="71"/>
      <c r="R119" s="71"/>
      <c r="S119" t="s">
        <v>376</v>
      </c>
      <c r="T119" s="71"/>
    </row>
    <row r="120" spans="1:20" x14ac:dyDescent="0.3">
      <c r="A120" s="72">
        <f>IFERROR(VLOOKUP($G120,Conf!$B:$C,2,0),E120)</f>
        <v>1</v>
      </c>
      <c r="B120" s="72" t="str">
        <f ca="1">IF(D120="Inativo","Inativo",IFERROR(VLOOKUP($G120,Conf!$O:$Q,2,0),VLOOKUP($S120,Conf!$K:$M,2,0)))</f>
        <v>PADARIA</v>
      </c>
      <c r="C120" s="72" t="str">
        <f ca="1">IF(D120="Inativo","Inativo",IFERROR(VLOOKUP($G120,Conf!$O:$Q,3,0),IFERROR(VLOOKUP($G120,Conf!$E:$F,2,0),VLOOKUP($S120,Conf!$K:$M,3,0))))</f>
        <v>ATENDENTE</v>
      </c>
      <c r="D120" s="72" t="str">
        <f ca="1">IFERROR(IF(TODAY()-K120&gt;365,"Inativo",IF(J120=2,"Férias",IF(J120=7,"Demitido","Afastamento"))),VLOOKUP(J120,Conf!$H:$I,2,0))</f>
        <v>Ativos</v>
      </c>
      <c r="E120" s="187">
        <v>1</v>
      </c>
      <c r="F120" s="187">
        <v>14</v>
      </c>
      <c r="G120" t="s">
        <v>375</v>
      </c>
      <c r="H120" s="71"/>
      <c r="I120" t="s">
        <v>220</v>
      </c>
      <c r="J120" s="187">
        <v>1</v>
      </c>
      <c r="K120" t="s">
        <v>1385</v>
      </c>
      <c r="L120" s="185"/>
      <c r="M120" s="188">
        <v>46146</v>
      </c>
      <c r="N120" s="71"/>
      <c r="O120" s="71"/>
      <c r="P120" s="71"/>
      <c r="Q120" s="71"/>
      <c r="R120" s="71"/>
      <c r="S120" t="s">
        <v>376</v>
      </c>
      <c r="T120" s="71"/>
    </row>
    <row r="121" spans="1:20" x14ac:dyDescent="0.3">
      <c r="A121" s="72">
        <f>IFERROR(VLOOKUP($G121,Conf!$B:$C,2,0),E121)</f>
        <v>1</v>
      </c>
      <c r="B121" s="72" t="str">
        <f ca="1">IF(D121="Inativo","Inativo",IFERROR(VLOOKUP($G121,Conf!$O:$Q,2,0),VLOOKUP($S121,Conf!$K:$M,2,0)))</f>
        <v>PADARIA</v>
      </c>
      <c r="C121" s="72" t="str">
        <f ca="1">IF(D121="Inativo","Inativo",IFERROR(VLOOKUP($G121,Conf!$O:$Q,3,0),IFERROR(VLOOKUP($G121,Conf!$E:$F,2,0),VLOOKUP($S121,Conf!$K:$M,3,0))))</f>
        <v>AUXILIAR</v>
      </c>
      <c r="D121" s="72" t="str">
        <f ca="1">IFERROR(IF(TODAY()-K121&gt;365,"Inativo",IF(J121=2,"Férias",IF(J121=7,"Demitido","Afastamento"))),VLOOKUP(J121,Conf!$H:$I,2,0))</f>
        <v>Ativos</v>
      </c>
      <c r="E121" s="187">
        <v>1</v>
      </c>
      <c r="F121" s="187">
        <v>41</v>
      </c>
      <c r="G121" t="s">
        <v>371</v>
      </c>
      <c r="H121" s="71"/>
      <c r="I121" t="s">
        <v>319</v>
      </c>
      <c r="J121" s="187">
        <v>1</v>
      </c>
      <c r="K121" t="s">
        <v>1385</v>
      </c>
      <c r="L121" s="185"/>
      <c r="M121" s="188">
        <v>45124</v>
      </c>
      <c r="N121" s="71"/>
      <c r="Q121" s="71"/>
      <c r="R121" s="71"/>
      <c r="S121" t="s">
        <v>370</v>
      </c>
      <c r="T121" s="71"/>
    </row>
    <row r="122" spans="1:20" x14ac:dyDescent="0.3">
      <c r="A122" s="72">
        <f>IFERROR(VLOOKUP($G122,Conf!$B:$C,2,0),E122)</f>
        <v>1</v>
      </c>
      <c r="B122" s="72" t="str">
        <f ca="1">IF(D122="Inativo","Inativo",IFERROR(VLOOKUP($G122,Conf!$O:$Q,2,0),VLOOKUP($S122,Conf!$K:$M,2,0)))</f>
        <v>PADARIA</v>
      </c>
      <c r="C122" s="72" t="str">
        <f ca="1">IF(D122="Inativo","Inativo",IFERROR(VLOOKUP($G122,Conf!$O:$Q,3,0),IFERROR(VLOOKUP($G122,Conf!$E:$F,2,0),VLOOKUP($S122,Conf!$K:$M,3,0))))</f>
        <v>AUXILIAR</v>
      </c>
      <c r="D122" s="72" t="str">
        <f ca="1">IFERROR(IF(TODAY()-K122&gt;365,"Inativo",IF(J122=2,"Férias",IF(J122=7,"Demitido","Afastamento"))),VLOOKUP(J122,Conf!$H:$I,2,0))</f>
        <v>Ativos</v>
      </c>
      <c r="E122" s="187">
        <v>1</v>
      </c>
      <c r="F122" s="187">
        <v>52</v>
      </c>
      <c r="G122" t="s">
        <v>1591</v>
      </c>
      <c r="H122" s="71"/>
      <c r="I122" t="s">
        <v>222</v>
      </c>
      <c r="J122" s="187">
        <v>1</v>
      </c>
      <c r="K122" t="s">
        <v>1385</v>
      </c>
      <c r="L122" s="185"/>
      <c r="M122" s="188">
        <v>46288</v>
      </c>
      <c r="N122" s="71"/>
      <c r="O122" s="71"/>
      <c r="P122" s="71"/>
      <c r="Q122" s="71"/>
      <c r="R122" s="71"/>
      <c r="S122" t="s">
        <v>370</v>
      </c>
      <c r="T122" s="71"/>
    </row>
    <row r="123" spans="1:20" x14ac:dyDescent="0.3">
      <c r="A123" s="72">
        <f>IFERROR(VLOOKUP($G123,Conf!$B:$C,2,0),E123)</f>
        <v>1</v>
      </c>
      <c r="B123" s="72" t="str">
        <f ca="1">IF(D123="Inativo","Inativo",IFERROR(VLOOKUP($G123,Conf!$O:$Q,2,0),VLOOKUP($S123,Conf!$K:$M,2,0)))</f>
        <v>PADARIA</v>
      </c>
      <c r="C123" s="72" t="str">
        <f ca="1">IF(D123="Inativo","Inativo",IFERROR(VLOOKUP($G123,Conf!$O:$Q,3,0),IFERROR(VLOOKUP($G123,Conf!$E:$F,2,0),VLOOKUP($S123,Conf!$K:$M,3,0))))</f>
        <v>AUXILIAR</v>
      </c>
      <c r="D123" s="72" t="str">
        <f ca="1">IFERROR(IF(TODAY()-K123&gt;365,"Inativo",IF(J123=2,"Férias",IF(J123=7,"Demitido","Afastamento"))),VLOOKUP(J123,Conf!$H:$I,2,0))</f>
        <v>Ativos</v>
      </c>
      <c r="E123" s="187">
        <v>1</v>
      </c>
      <c r="F123" s="187">
        <v>57</v>
      </c>
      <c r="G123" t="s">
        <v>1643</v>
      </c>
      <c r="H123" s="71"/>
      <c r="I123" t="s">
        <v>319</v>
      </c>
      <c r="J123" s="187">
        <v>1</v>
      </c>
      <c r="K123" t="s">
        <v>1385</v>
      </c>
      <c r="L123" s="185"/>
      <c r="M123" s="188">
        <v>46302</v>
      </c>
      <c r="N123" s="71"/>
      <c r="Q123" s="71"/>
      <c r="R123" s="71"/>
      <c r="S123" t="s">
        <v>370</v>
      </c>
      <c r="T123" s="71"/>
    </row>
    <row r="124" spans="1:20" x14ac:dyDescent="0.3">
      <c r="A124" s="72">
        <f>IFERROR(VLOOKUP($G124,Conf!$B:$C,2,0),E124)</f>
        <v>1</v>
      </c>
      <c r="B124" s="72" t="str">
        <f ca="1">IF(D124="Inativo","Inativo",IFERROR(VLOOKUP($G124,Conf!$O:$Q,2,0),VLOOKUP($S124,Conf!$K:$M,2,0)))</f>
        <v>PADARIA</v>
      </c>
      <c r="C124" s="72" t="str">
        <f ca="1">IF(D124="Inativo","Inativo",IFERROR(VLOOKUP($G124,Conf!$O:$Q,3,0),IFERROR(VLOOKUP($G124,Conf!$E:$F,2,0),VLOOKUP($S124,Conf!$K:$M,3,0))))</f>
        <v>AUXILIAR</v>
      </c>
      <c r="D124" s="72" t="str">
        <f ca="1">IFERROR(IF(TODAY()-K124&gt;365,"Inativo",IF(J124=2,"Férias",IF(J124=7,"Demitido","Afastamento"))),VLOOKUP(J124,Conf!$H:$I,2,0))</f>
        <v>Demitido</v>
      </c>
      <c r="E124" s="187">
        <v>1</v>
      </c>
      <c r="F124" s="187">
        <v>57</v>
      </c>
      <c r="G124" t="s">
        <v>374</v>
      </c>
      <c r="H124" s="71"/>
      <c r="I124" t="s">
        <v>220</v>
      </c>
      <c r="J124" s="187">
        <v>7</v>
      </c>
      <c r="K124" t="s">
        <v>1638</v>
      </c>
      <c r="L124" s="185"/>
      <c r="M124" s="188">
        <v>45180</v>
      </c>
      <c r="N124" s="71"/>
      <c r="O124" s="71"/>
      <c r="P124" s="71"/>
      <c r="Q124" s="71"/>
      <c r="R124" s="71"/>
      <c r="S124" t="s">
        <v>370</v>
      </c>
      <c r="T124" s="71"/>
    </row>
    <row r="125" spans="1:20" x14ac:dyDescent="0.3">
      <c r="A125" s="72">
        <f>IFERROR(VLOOKUP($G125,Conf!$B:$C,2,0),E125)</f>
        <v>1</v>
      </c>
      <c r="B125" s="72" t="str">
        <f ca="1">IF(D125="Inativo","Inativo",IFERROR(VLOOKUP($G125,Conf!$O:$Q,2,0),VLOOKUP($S125,Conf!$K:$M,2,0)))</f>
        <v>PADARIA</v>
      </c>
      <c r="C125" s="72" t="str">
        <f ca="1">IF(D125="Inativo","Inativo",IFERROR(VLOOKUP($G125,Conf!$O:$Q,3,0),IFERROR(VLOOKUP($G125,Conf!$E:$F,2,0),VLOOKUP($S125,Conf!$K:$M,3,0))))</f>
        <v>AUXILIAR</v>
      </c>
      <c r="D125" s="72" t="str">
        <f ca="1">IFERROR(IF(TODAY()-K125&gt;365,"Inativo",IF(J125=2,"Férias",IF(J125=7,"Demitido","Afastamento"))),VLOOKUP(J125,Conf!$H:$I,2,0))</f>
        <v>Ativos</v>
      </c>
      <c r="E125" s="187">
        <v>1</v>
      </c>
      <c r="F125" s="187">
        <v>254</v>
      </c>
      <c r="G125" t="s">
        <v>377</v>
      </c>
      <c r="H125" s="71"/>
      <c r="I125" t="s">
        <v>247</v>
      </c>
      <c r="J125" s="187">
        <v>1</v>
      </c>
      <c r="K125" t="s">
        <v>1385</v>
      </c>
      <c r="L125" s="185"/>
      <c r="M125" s="188">
        <v>45966</v>
      </c>
      <c r="N125" s="71"/>
      <c r="Q125" s="71"/>
      <c r="R125" s="71"/>
      <c r="S125" t="s">
        <v>370</v>
      </c>
      <c r="T125" s="71"/>
    </row>
    <row r="126" spans="1:20" x14ac:dyDescent="0.3">
      <c r="A126" s="72">
        <f>IFERROR(VLOOKUP($G126,Conf!$B:$C,2,0),E126)</f>
        <v>1</v>
      </c>
      <c r="B126" s="72" t="str">
        <f ca="1">IF(D126="Inativo","Inativo",IFERROR(VLOOKUP($G126,Conf!$O:$Q,2,0),VLOOKUP($S126,Conf!$K:$M,2,0)))</f>
        <v>PADARIA</v>
      </c>
      <c r="C126" s="72" t="str">
        <f ca="1">IF(D126="Inativo","Inativo",IFERROR(VLOOKUP($G126,Conf!$O:$Q,3,0),IFERROR(VLOOKUP($G126,Conf!$E:$F,2,0),VLOOKUP($S126,Conf!$K:$M,3,0))))</f>
        <v>AUXILIAR</v>
      </c>
      <c r="D126" s="72" t="str">
        <f ca="1">IFERROR(IF(TODAY()-K126&gt;365,"Inativo",IF(J126=2,"Férias",IF(J126=7,"Demitido","Afastamento"))),VLOOKUP(J126,Conf!$H:$I,2,0))</f>
        <v>Ativos</v>
      </c>
      <c r="E126" s="187">
        <v>1</v>
      </c>
      <c r="F126" s="187">
        <v>27</v>
      </c>
      <c r="G126" t="s">
        <v>1337</v>
      </c>
      <c r="H126" s="71"/>
      <c r="I126" t="s">
        <v>319</v>
      </c>
      <c r="J126" s="187">
        <v>1</v>
      </c>
      <c r="K126" t="s">
        <v>1385</v>
      </c>
      <c r="L126" s="185"/>
      <c r="M126" s="188">
        <v>46195</v>
      </c>
      <c r="N126" s="71"/>
      <c r="Q126" s="71"/>
      <c r="R126" s="71"/>
      <c r="S126" t="s">
        <v>370</v>
      </c>
      <c r="T126" s="71"/>
    </row>
    <row r="127" spans="1:20" x14ac:dyDescent="0.3">
      <c r="A127" s="72">
        <f>IFERROR(VLOOKUP($G127,Conf!$B:$C,2,0),E127)</f>
        <v>1</v>
      </c>
      <c r="B127" s="72" t="str">
        <f ca="1">IF(D127="Inativo","Inativo",IFERROR(VLOOKUP($G127,Conf!$O:$Q,2,0),VLOOKUP($S127,Conf!$K:$M,2,0)))</f>
        <v>PADARIA</v>
      </c>
      <c r="C127" s="72" t="str">
        <f ca="1">IF(D127="Inativo","Inativo",IFERROR(VLOOKUP($G127,Conf!$O:$Q,3,0),IFERROR(VLOOKUP($G127,Conf!$E:$F,2,0),VLOOKUP($S127,Conf!$K:$M,3,0))))</f>
        <v>AUXILIAR</v>
      </c>
      <c r="D127" s="72" t="str">
        <f ca="1">IFERROR(IF(TODAY()-K127&gt;365,"Inativo",IF(J127=2,"Férias",IF(J127=7,"Demitido","Afastamento"))),VLOOKUP(J127,Conf!$H:$I,2,0))</f>
        <v>Ativos</v>
      </c>
      <c r="E127" s="187">
        <v>1</v>
      </c>
      <c r="F127" s="187">
        <v>278</v>
      </c>
      <c r="G127" t="s">
        <v>379</v>
      </c>
      <c r="H127" s="71"/>
      <c r="I127" t="s">
        <v>220</v>
      </c>
      <c r="J127" s="187">
        <v>1</v>
      </c>
      <c r="K127" t="s">
        <v>1385</v>
      </c>
      <c r="L127" s="185"/>
      <c r="M127" s="188">
        <v>46043</v>
      </c>
      <c r="N127" s="71"/>
      <c r="O127" s="71"/>
      <c r="P127" s="71"/>
      <c r="Q127" s="71"/>
      <c r="R127" s="71"/>
      <c r="S127" t="s">
        <v>370</v>
      </c>
      <c r="T127" s="71"/>
    </row>
    <row r="128" spans="1:20" x14ac:dyDescent="0.3">
      <c r="A128" s="72">
        <f>IFERROR(VLOOKUP($G128,Conf!$B:$C,2,0),E128)</f>
        <v>1</v>
      </c>
      <c r="B128" s="72" t="str">
        <f ca="1">IF(D128="Inativo","Inativo",IFERROR(VLOOKUP($G128,Conf!$O:$Q,2,0),VLOOKUP($S128,Conf!$K:$M,2,0)))</f>
        <v>PADARIA</v>
      </c>
      <c r="C128" s="72" t="str">
        <f ca="1">IF(D128="Inativo","Inativo",IFERROR(VLOOKUP($G128,Conf!$O:$Q,3,0),IFERROR(VLOOKUP($G128,Conf!$E:$F,2,0),VLOOKUP($S128,Conf!$K:$M,3,0))))</f>
        <v>ENCARREGADO</v>
      </c>
      <c r="D128" s="72" t="str">
        <f ca="1">IFERROR(IF(TODAY()-K128&gt;365,"Inativo",IF(J128=2,"Férias",IF(J128=7,"Demitido","Afastamento"))),VLOOKUP(J128,Conf!$H:$I,2,0))</f>
        <v>Ativos</v>
      </c>
      <c r="E128" s="187">
        <v>1</v>
      </c>
      <c r="F128" s="187">
        <v>54</v>
      </c>
      <c r="G128" t="s">
        <v>381</v>
      </c>
      <c r="H128" s="71"/>
      <c r="I128" t="s">
        <v>236</v>
      </c>
      <c r="J128" s="187">
        <v>1</v>
      </c>
      <c r="K128" t="s">
        <v>1385</v>
      </c>
      <c r="L128" s="185"/>
      <c r="M128" s="188">
        <v>45170</v>
      </c>
      <c r="N128" s="71"/>
      <c r="O128" s="71"/>
      <c r="P128" s="71"/>
      <c r="Q128" s="71"/>
      <c r="R128" s="71"/>
      <c r="S128" t="s">
        <v>382</v>
      </c>
      <c r="T128" s="71"/>
    </row>
    <row r="129" spans="1:20" x14ac:dyDescent="0.3">
      <c r="A129" s="72">
        <f>IFERROR(VLOOKUP($G129,Conf!$B:$C,2,0),E129)</f>
        <v>1</v>
      </c>
      <c r="B129" s="72" t="str">
        <f ca="1">IF(D129="Inativo","Inativo",IFERROR(VLOOKUP($G129,Conf!$O:$Q,2,0),VLOOKUP($S129,Conf!$K:$M,2,0)))</f>
        <v>PADARIA</v>
      </c>
      <c r="C129" s="72" t="str">
        <f ca="1">IF(D129="Inativo","Inativo",IFERROR(VLOOKUP($G129,Conf!$O:$Q,3,0),IFERROR(VLOOKUP($G129,Conf!$E:$F,2,0),VLOOKUP($S129,Conf!$K:$M,3,0))))</f>
        <v>PADEIRO(A)</v>
      </c>
      <c r="D129" s="72" t="str">
        <f ca="1">IFERROR(IF(TODAY()-K129&gt;365,"Inativo",IF(J129=2,"Férias",IF(J129=7,"Demitido","Afastamento"))),VLOOKUP(J129,Conf!$H:$I,2,0))</f>
        <v>Ativos</v>
      </c>
      <c r="E129" s="187">
        <v>1</v>
      </c>
      <c r="F129" s="187">
        <v>1677</v>
      </c>
      <c r="G129" t="s">
        <v>383</v>
      </c>
      <c r="H129" s="71"/>
      <c r="I129" t="s">
        <v>236</v>
      </c>
      <c r="J129" s="187">
        <v>1</v>
      </c>
      <c r="K129" t="s">
        <v>1385</v>
      </c>
      <c r="L129" s="185"/>
      <c r="M129" s="188">
        <v>44242</v>
      </c>
      <c r="N129" s="71"/>
      <c r="Q129" s="71"/>
      <c r="R129" s="71"/>
      <c r="S129" t="s">
        <v>384</v>
      </c>
      <c r="T129" s="71"/>
    </row>
    <row r="130" spans="1:20" x14ac:dyDescent="0.3">
      <c r="A130" s="72">
        <f>IFERROR(VLOOKUP($G130,Conf!$B:$C,2,0),E130)</f>
        <v>1</v>
      </c>
      <c r="B130" s="72" t="str">
        <f ca="1">IF(D130="Inativo","Inativo",IFERROR(VLOOKUP($G130,Conf!$O:$Q,2,0),VLOOKUP($S130,Conf!$K:$M,2,0)))</f>
        <v>PADARIA</v>
      </c>
      <c r="C130" s="72" t="str">
        <f ca="1">IF(D130="Inativo","Inativo",IFERROR(VLOOKUP($G130,Conf!$O:$Q,3,0),IFERROR(VLOOKUP($G130,Conf!$E:$F,2,0),VLOOKUP($S130,Conf!$K:$M,3,0))))</f>
        <v>PADEIRO(A)</v>
      </c>
      <c r="D130" s="72" t="str">
        <f ca="1">IFERROR(IF(TODAY()-K130&gt;365,"Inativo",IF(J130=2,"Férias",IF(J130=7,"Demitido","Afastamento"))),VLOOKUP(J130,Conf!$H:$I,2,0))</f>
        <v>Ativos</v>
      </c>
      <c r="E130" s="187">
        <v>1</v>
      </c>
      <c r="F130" s="187">
        <v>467</v>
      </c>
      <c r="G130" t="s">
        <v>385</v>
      </c>
      <c r="H130" s="71"/>
      <c r="I130" t="s">
        <v>244</v>
      </c>
      <c r="J130" s="187">
        <v>1</v>
      </c>
      <c r="K130" t="s">
        <v>1385</v>
      </c>
      <c r="L130" s="185"/>
      <c r="M130" s="188">
        <v>40546</v>
      </c>
      <c r="N130" s="71"/>
      <c r="Q130" s="71"/>
      <c r="R130" s="71"/>
      <c r="S130" t="s">
        <v>384</v>
      </c>
      <c r="T130" s="71"/>
    </row>
    <row r="131" spans="1:20" x14ac:dyDescent="0.3">
      <c r="A131" s="72">
        <f>IFERROR(VLOOKUP($G131,Conf!$B:$C,2,0),E131)</f>
        <v>1</v>
      </c>
      <c r="B131" s="72" t="str">
        <f ca="1">IF(D131="Inativo","Inativo",IFERROR(VLOOKUP($G131,Conf!$O:$Q,2,0),VLOOKUP($S131,Conf!$K:$M,2,0)))</f>
        <v>ROTISSERIA</v>
      </c>
      <c r="C131" s="72" t="str">
        <f ca="1">IF(D131="Inativo","Inativo",IFERROR(VLOOKUP($G131,Conf!$O:$Q,3,0),IFERROR(VLOOKUP($G131,Conf!$E:$F,2,0),VLOOKUP($S131,Conf!$K:$M,3,0))))</f>
        <v>AUXILIAR</v>
      </c>
      <c r="D131" s="72" t="str">
        <f ca="1">IFERROR(IF(TODAY()-K131&gt;365,"Inativo",IF(J131=2,"Férias",IF(J131=7,"Demitido","Afastamento"))),VLOOKUP(J131,Conf!$H:$I,2,0))</f>
        <v>Ativos</v>
      </c>
      <c r="E131" s="187">
        <v>1</v>
      </c>
      <c r="F131" s="187">
        <v>56</v>
      </c>
      <c r="G131" t="s">
        <v>1615</v>
      </c>
      <c r="H131" s="71"/>
      <c r="I131" t="s">
        <v>277</v>
      </c>
      <c r="J131" s="187">
        <v>1</v>
      </c>
      <c r="K131" t="s">
        <v>1385</v>
      </c>
      <c r="L131" s="185"/>
      <c r="M131" s="188">
        <v>46296</v>
      </c>
      <c r="N131" s="71"/>
      <c r="O131" s="71"/>
      <c r="P131" s="71"/>
      <c r="Q131" s="71"/>
      <c r="R131" s="71"/>
      <c r="S131" t="s">
        <v>370</v>
      </c>
      <c r="T131" s="71"/>
    </row>
    <row r="132" spans="1:20" x14ac:dyDescent="0.3">
      <c r="A132" s="72">
        <f>IFERROR(VLOOKUP($G132,Conf!$B:$C,2,0),E132)</f>
        <v>1</v>
      </c>
      <c r="B132" s="72" t="str">
        <f ca="1">IF(D132="Inativo","Inativo",IFERROR(VLOOKUP($G132,Conf!$O:$Q,2,0),VLOOKUP($S132,Conf!$K:$M,2,0)))</f>
        <v>ROTISSERIA</v>
      </c>
      <c r="C132" s="72" t="str">
        <f ca="1">IF(D132="Inativo","Inativo",IFERROR(VLOOKUP($G132,Conf!$O:$Q,3,0),IFERROR(VLOOKUP($G132,Conf!$E:$F,2,0),VLOOKUP($S132,Conf!$K:$M,3,0))))</f>
        <v>AUXILIAR</v>
      </c>
      <c r="D132" s="72" t="str">
        <f ca="1">IFERROR(IF(TODAY()-K132&gt;365,"Inativo",IF(J132=2,"Férias",IF(J132=7,"Demitido","Afastamento"))),VLOOKUP(J132,Conf!$H:$I,2,0))</f>
        <v>Ativos</v>
      </c>
      <c r="E132" s="187">
        <v>1</v>
      </c>
      <c r="F132" s="187">
        <v>33</v>
      </c>
      <c r="G132" t="s">
        <v>1449</v>
      </c>
      <c r="H132" s="71"/>
      <c r="I132" t="s">
        <v>222</v>
      </c>
      <c r="J132" s="187">
        <v>1</v>
      </c>
      <c r="K132" t="s">
        <v>1385</v>
      </c>
      <c r="L132" s="185"/>
      <c r="M132" s="188">
        <v>46238</v>
      </c>
      <c r="N132" s="71"/>
      <c r="Q132" s="71"/>
      <c r="R132" s="71"/>
      <c r="S132" t="s">
        <v>370</v>
      </c>
      <c r="T132" s="71"/>
    </row>
    <row r="133" spans="1:20" x14ac:dyDescent="0.3">
      <c r="A133" s="72">
        <f>IFERROR(VLOOKUP($G133,Conf!$B:$C,2,0),E133)</f>
        <v>1</v>
      </c>
      <c r="B133" s="72" t="str">
        <f ca="1">IF(D133="Inativo","Inativo",IFERROR(VLOOKUP($G133,Conf!$O:$Q,2,0),VLOOKUP($S133,Conf!$K:$M,2,0)))</f>
        <v>ROTISSERIA</v>
      </c>
      <c r="C133" s="72" t="str">
        <f ca="1">IF(D133="Inativo","Inativo",IFERROR(VLOOKUP($G133,Conf!$O:$Q,3,0),IFERROR(VLOOKUP($G133,Conf!$E:$F,2,0),VLOOKUP($S133,Conf!$K:$M,3,0))))</f>
        <v>COZINHEIRO</v>
      </c>
      <c r="D133" s="72" t="str">
        <f ca="1">IFERROR(IF(TODAY()-K133&gt;365,"Inativo",IF(J133=2,"Férias",IF(J133=7,"Demitido","Afastamento"))),VLOOKUP(J133,Conf!$H:$I,2,0))</f>
        <v>Ativos</v>
      </c>
      <c r="E133" s="187">
        <v>1</v>
      </c>
      <c r="F133" s="187">
        <v>1632</v>
      </c>
      <c r="G133" t="s">
        <v>389</v>
      </c>
      <c r="H133" s="71"/>
      <c r="I133" t="s">
        <v>390</v>
      </c>
      <c r="J133" s="187">
        <v>1</v>
      </c>
      <c r="K133" t="s">
        <v>1385</v>
      </c>
      <c r="L133" s="185"/>
      <c r="M133" s="188">
        <v>44153</v>
      </c>
      <c r="N133" s="71"/>
      <c r="O133" s="71"/>
      <c r="P133" s="71"/>
      <c r="Q133" s="71"/>
      <c r="R133" s="71"/>
      <c r="S133" t="s">
        <v>391</v>
      </c>
      <c r="T133" s="71"/>
    </row>
    <row r="134" spans="1:20" x14ac:dyDescent="0.3">
      <c r="A134" s="72">
        <f>IFERROR(VLOOKUP($G134,Conf!$B:$C,2,0),E134)</f>
        <v>1</v>
      </c>
      <c r="B134" s="72" t="str">
        <f ca="1">IF(D134="Inativo","Inativo",IFERROR(VLOOKUP($G134,Conf!$O:$Q,2,0),VLOOKUP($S134,Conf!$K:$M,2,0)))</f>
        <v>ROTISSERIA</v>
      </c>
      <c r="C134" s="72" t="str">
        <f ca="1">IF(D134="Inativo","Inativo",IFERROR(VLOOKUP($G134,Conf!$O:$Q,3,0),IFERROR(VLOOKUP($G134,Conf!$E:$F,2,0),VLOOKUP($S134,Conf!$K:$M,3,0))))</f>
        <v>COZINHEIRO</v>
      </c>
      <c r="D134" s="72" t="str">
        <f ca="1">IFERROR(IF(TODAY()-K134&gt;365,"Inativo",IF(J134=2,"Férias",IF(J134=7,"Demitido","Afastamento"))),VLOOKUP(J134,Conf!$H:$I,2,0))</f>
        <v>Ativos</v>
      </c>
      <c r="E134" s="187">
        <v>1</v>
      </c>
      <c r="F134" s="187">
        <v>47</v>
      </c>
      <c r="G134" t="s">
        <v>1545</v>
      </c>
      <c r="H134" s="71"/>
      <c r="I134" t="s">
        <v>319</v>
      </c>
      <c r="J134" s="187">
        <v>1</v>
      </c>
      <c r="K134" t="s">
        <v>1385</v>
      </c>
      <c r="L134" s="185"/>
      <c r="M134" s="188">
        <v>46274</v>
      </c>
      <c r="N134" s="71"/>
      <c r="Q134" s="71"/>
      <c r="R134" s="71"/>
      <c r="S134" t="s">
        <v>388</v>
      </c>
      <c r="T134" s="71"/>
    </row>
    <row r="135" spans="1:20" x14ac:dyDescent="0.3">
      <c r="A135" s="72">
        <f>IFERROR(VLOOKUP($G135,Conf!$B:$C,2,0),E135)</f>
        <v>2</v>
      </c>
      <c r="B135" s="72" t="str">
        <f ca="1">IF(D135="Inativo","Inativo",IFERROR(VLOOKUP($G135,Conf!$O:$Q,2,0),VLOOKUP($S135,Conf!$K:$M,2,0)))</f>
        <v>AÇOUGUE</v>
      </c>
      <c r="C135" s="72" t="str">
        <f ca="1">IF(D135="Inativo","Inativo",IFERROR(VLOOKUP($G135,Conf!$O:$Q,3,0),IFERROR(VLOOKUP($G135,Conf!$E:$F,2,0),VLOOKUP($S135,Conf!$K:$M,3,0))))</f>
        <v>AÇOUGUEIRO</v>
      </c>
      <c r="D135" s="72" t="str">
        <f ca="1">IFERROR(IF(TODAY()-K135&gt;365,"Inativo",IF(J135=2,"Férias",IF(J135=7,"Demitido","Afastamento"))),VLOOKUP(J135,Conf!$H:$I,2,0))</f>
        <v>Ativos</v>
      </c>
      <c r="E135" s="187">
        <v>2</v>
      </c>
      <c r="F135" s="187">
        <v>1385</v>
      </c>
      <c r="G135" t="s">
        <v>393</v>
      </c>
      <c r="H135" s="71"/>
      <c r="I135" t="s">
        <v>277</v>
      </c>
      <c r="J135" s="187">
        <v>1</v>
      </c>
      <c r="K135" t="s">
        <v>1385</v>
      </c>
      <c r="L135" s="185"/>
      <c r="M135" s="188">
        <v>45203</v>
      </c>
      <c r="N135" s="71"/>
      <c r="O135" s="71"/>
      <c r="P135" s="71"/>
      <c r="Q135" s="71"/>
      <c r="R135" s="71"/>
      <c r="S135" t="s">
        <v>394</v>
      </c>
      <c r="T135" s="71"/>
    </row>
    <row r="136" spans="1:20" x14ac:dyDescent="0.3">
      <c r="A136" s="72">
        <f>IFERROR(VLOOKUP($G136,Conf!$B:$C,2,0),E136)</f>
        <v>2</v>
      </c>
      <c r="B136" s="72" t="str">
        <f ca="1">IF(D136="Inativo","Inativo",IFERROR(VLOOKUP($G136,Conf!$O:$Q,2,0),VLOOKUP($S136,Conf!$K:$M,2,0)))</f>
        <v>AÇOUGUE</v>
      </c>
      <c r="C136" s="72" t="str">
        <f ca="1">IF(D136="Inativo","Inativo",IFERROR(VLOOKUP($G136,Conf!$O:$Q,3,0),IFERROR(VLOOKUP($G136,Conf!$E:$F,2,0),VLOOKUP($S136,Conf!$K:$M,3,0))))</f>
        <v>AÇOUGUEIRO</v>
      </c>
      <c r="D136" s="72" t="str">
        <f ca="1">IFERROR(IF(TODAY()-K136&gt;365,"Inativo",IF(J136=2,"Férias",IF(J136=7,"Demitido","Afastamento"))),VLOOKUP(J136,Conf!$H:$I,2,0))</f>
        <v>Ativos</v>
      </c>
      <c r="E136" s="187">
        <v>2</v>
      </c>
      <c r="F136" s="187">
        <v>206</v>
      </c>
      <c r="G136" t="s">
        <v>1352</v>
      </c>
      <c r="H136" s="71"/>
      <c r="I136" t="s">
        <v>220</v>
      </c>
      <c r="J136" s="187">
        <v>1</v>
      </c>
      <c r="K136" t="s">
        <v>1385</v>
      </c>
      <c r="L136" s="185"/>
      <c r="M136" s="188">
        <v>46129</v>
      </c>
      <c r="N136" s="71"/>
      <c r="O136" s="71"/>
      <c r="P136" s="71"/>
      <c r="Q136" s="71"/>
      <c r="R136" s="71"/>
      <c r="S136" t="s">
        <v>392</v>
      </c>
      <c r="T136" s="71"/>
    </row>
    <row r="137" spans="1:20" x14ac:dyDescent="0.3">
      <c r="A137" s="72">
        <f>IFERROR(VLOOKUP($G137,Conf!$B:$C,2,0),E137)</f>
        <v>2</v>
      </c>
      <c r="B137" s="72" t="str">
        <f ca="1">IF(D137="Inativo","Inativo",IFERROR(VLOOKUP($G137,Conf!$O:$Q,2,0),VLOOKUP($S137,Conf!$K:$M,2,0)))</f>
        <v>AÇOUGUE</v>
      </c>
      <c r="C137" s="72" t="str">
        <f ca="1">IF(D137="Inativo","Inativo",IFERROR(VLOOKUP($G137,Conf!$O:$Q,3,0),IFERROR(VLOOKUP($G137,Conf!$E:$F,2,0),VLOOKUP($S137,Conf!$K:$M,3,0))))</f>
        <v>BALCONISTA</v>
      </c>
      <c r="D137" s="72" t="str">
        <f ca="1">IFERROR(IF(TODAY()-K137&gt;365,"Inativo",IF(J137=2,"Férias",IF(J137=7,"Demitido","Afastamento"))),VLOOKUP(J137,Conf!$H:$I,2,0))</f>
        <v>Afastamento</v>
      </c>
      <c r="E137" s="187">
        <v>2</v>
      </c>
      <c r="F137" s="187">
        <v>141</v>
      </c>
      <c r="G137" t="s">
        <v>1356</v>
      </c>
      <c r="H137" s="71"/>
      <c r="I137" t="s">
        <v>220</v>
      </c>
      <c r="J137" s="187">
        <v>5</v>
      </c>
      <c r="K137" t="s">
        <v>1357</v>
      </c>
      <c r="L137" s="185"/>
      <c r="M137" s="188">
        <v>45909</v>
      </c>
      <c r="N137" s="71"/>
      <c r="O137" s="71"/>
      <c r="P137" s="71"/>
      <c r="Q137" s="71"/>
      <c r="R137" s="71"/>
      <c r="S137" t="s">
        <v>395</v>
      </c>
      <c r="T137" s="71"/>
    </row>
    <row r="138" spans="1:20" x14ac:dyDescent="0.3">
      <c r="A138" s="72">
        <f>IFERROR(VLOOKUP($G138,Conf!$B:$C,2,0),E138)</f>
        <v>2</v>
      </c>
      <c r="B138" s="72" t="str">
        <f ca="1">IF(D138="Inativo","Inativo",IFERROR(VLOOKUP($G138,Conf!$O:$Q,2,0),VLOOKUP($S138,Conf!$K:$M,2,0)))</f>
        <v>AÇOUGUE</v>
      </c>
      <c r="C138" s="72" t="str">
        <f ca="1">IF(D138="Inativo","Inativo",IFERROR(VLOOKUP($G138,Conf!$O:$Q,3,0),IFERROR(VLOOKUP($G138,Conf!$E:$F,2,0),VLOOKUP($S138,Conf!$K:$M,3,0))))</f>
        <v>BALCONISTA</v>
      </c>
      <c r="D138" s="72" t="str">
        <f ca="1">IFERROR(IF(TODAY()-K138&gt;365,"Inativo",IF(J138=2,"Férias",IF(J138=7,"Demitido","Afastamento"))),VLOOKUP(J138,Conf!$H:$I,2,0))</f>
        <v>Ativos</v>
      </c>
      <c r="E138" s="187">
        <v>2</v>
      </c>
      <c r="F138" s="187">
        <v>227</v>
      </c>
      <c r="G138" t="s">
        <v>1394</v>
      </c>
      <c r="H138" s="71"/>
      <c r="I138" t="s">
        <v>656</v>
      </c>
      <c r="J138" s="187">
        <v>1</v>
      </c>
      <c r="K138" t="s">
        <v>1385</v>
      </c>
      <c r="L138" s="185"/>
      <c r="M138" s="188">
        <v>46204</v>
      </c>
      <c r="N138" s="71"/>
      <c r="O138" s="71"/>
      <c r="P138" s="71"/>
      <c r="Q138" s="71"/>
      <c r="R138" s="71"/>
      <c r="S138" t="s">
        <v>395</v>
      </c>
      <c r="T138" s="71"/>
    </row>
    <row r="139" spans="1:20" x14ac:dyDescent="0.3">
      <c r="A139" s="72">
        <f>IFERROR(VLOOKUP($G139,Conf!$B:$C,2,0),E139)</f>
        <v>2</v>
      </c>
      <c r="B139" s="72" t="str">
        <f ca="1">IF(D139="Inativo","Inativo",IFERROR(VLOOKUP($G139,Conf!$O:$Q,2,0),VLOOKUP($S139,Conf!$K:$M,2,0)))</f>
        <v>AÇOUGUE</v>
      </c>
      <c r="C139" s="72" t="str">
        <f ca="1">IF(D139="Inativo","Inativo",IFERROR(VLOOKUP($G139,Conf!$O:$Q,3,0),IFERROR(VLOOKUP($G139,Conf!$E:$F,2,0),VLOOKUP($S139,Conf!$K:$M,3,0))))</f>
        <v>DESOSSADOR</v>
      </c>
      <c r="D139" s="72" t="str">
        <f ca="1">IFERROR(IF(TODAY()-K139&gt;365,"Inativo",IF(J139=2,"Férias",IF(J139=7,"Demitido","Afastamento"))),VLOOKUP(J139,Conf!$H:$I,2,0))</f>
        <v>Ativos</v>
      </c>
      <c r="E139" s="187">
        <v>2</v>
      </c>
      <c r="F139" s="187">
        <v>212</v>
      </c>
      <c r="G139" t="s">
        <v>1355</v>
      </c>
      <c r="H139" s="71"/>
      <c r="I139" t="s">
        <v>396</v>
      </c>
      <c r="J139" s="187">
        <v>1</v>
      </c>
      <c r="K139" t="s">
        <v>1385</v>
      </c>
      <c r="L139" s="185"/>
      <c r="M139" s="188">
        <v>46151</v>
      </c>
      <c r="N139" s="71"/>
      <c r="Q139" s="71"/>
      <c r="R139" s="71"/>
      <c r="S139" t="s">
        <v>397</v>
      </c>
      <c r="T139" s="71"/>
    </row>
    <row r="140" spans="1:20" x14ac:dyDescent="0.3">
      <c r="A140" s="72">
        <f>IFERROR(VLOOKUP($G140,Conf!$B:$C,2,0),E140)</f>
        <v>2</v>
      </c>
      <c r="B140" s="72" t="str">
        <f ca="1">IF(D140="Inativo","Inativo",IFERROR(VLOOKUP($G140,Conf!$O:$Q,2,0),VLOOKUP($S140,Conf!$K:$M,2,0)))</f>
        <v>AÇOUGUE</v>
      </c>
      <c r="C140" s="72" t="str">
        <f ca="1">IF(D140="Inativo","Inativo",IFERROR(VLOOKUP($G140,Conf!$O:$Q,3,0),IFERROR(VLOOKUP($G140,Conf!$E:$F,2,0),VLOOKUP($S140,Conf!$K:$M,3,0))))</f>
        <v>DESOSSADOR</v>
      </c>
      <c r="D140" s="72" t="str">
        <f ca="1">IFERROR(IF(TODAY()-K140&gt;365,"Inativo",IF(J140=2,"Férias",IF(J140=7,"Demitido","Afastamento"))),VLOOKUP(J140,Conf!$H:$I,2,0))</f>
        <v>Ativos</v>
      </c>
      <c r="E140" s="187">
        <v>2</v>
      </c>
      <c r="F140" s="187">
        <v>89</v>
      </c>
      <c r="G140" t="s">
        <v>1353</v>
      </c>
      <c r="H140" s="71"/>
      <c r="I140" t="s">
        <v>244</v>
      </c>
      <c r="J140" s="187">
        <v>1</v>
      </c>
      <c r="K140" t="s">
        <v>1385</v>
      </c>
      <c r="L140" s="185"/>
      <c r="M140" s="188">
        <v>45754</v>
      </c>
      <c r="N140" s="71"/>
      <c r="O140" s="71"/>
      <c r="P140" s="71"/>
      <c r="Q140" s="71"/>
      <c r="R140" s="71"/>
      <c r="S140" t="s">
        <v>397</v>
      </c>
      <c r="T140" s="71"/>
    </row>
    <row r="141" spans="1:20" x14ac:dyDescent="0.3">
      <c r="A141" s="72">
        <f>IFERROR(VLOOKUP($G141,Conf!$B:$C,2,0),E141)</f>
        <v>2</v>
      </c>
      <c r="B141" s="72" t="str">
        <f ca="1">IF(D141="Inativo","Inativo",IFERROR(VLOOKUP($G141,Conf!$O:$Q,2,0),VLOOKUP($S141,Conf!$K:$M,2,0)))</f>
        <v>AÇOUGUE</v>
      </c>
      <c r="C141" s="72" t="str">
        <f ca="1">IF(D141="Inativo","Inativo",IFERROR(VLOOKUP($G141,Conf!$O:$Q,3,0),IFERROR(VLOOKUP($G141,Conf!$E:$F,2,0),VLOOKUP($S141,Conf!$K:$M,3,0))))</f>
        <v>DESOSSADOR</v>
      </c>
      <c r="D141" s="72" t="str">
        <f ca="1">IFERROR(IF(TODAY()-K141&gt;365,"Inativo",IF(J141=2,"Férias",IF(J141=7,"Demitido","Afastamento"))),VLOOKUP(J141,Conf!$H:$I,2,0))</f>
        <v>Ativos</v>
      </c>
      <c r="E141" s="187">
        <v>2</v>
      </c>
      <c r="F141" s="187">
        <v>173</v>
      </c>
      <c r="G141" t="s">
        <v>1354</v>
      </c>
      <c r="H141" s="71"/>
      <c r="I141" t="s">
        <v>244</v>
      </c>
      <c r="J141" s="187">
        <v>1</v>
      </c>
      <c r="K141" t="s">
        <v>1385</v>
      </c>
      <c r="L141" s="185"/>
      <c r="M141" s="188">
        <v>45996</v>
      </c>
      <c r="N141" s="71"/>
      <c r="O141" s="71"/>
      <c r="P141" s="71"/>
      <c r="Q141" s="71"/>
      <c r="R141" s="71"/>
      <c r="S141" t="s">
        <v>397</v>
      </c>
      <c r="T141" s="71"/>
    </row>
    <row r="142" spans="1:20" x14ac:dyDescent="0.3">
      <c r="A142" s="72">
        <f>IFERROR(VLOOKUP($G142,Conf!$B:$C,2,0),E142)</f>
        <v>2</v>
      </c>
      <c r="B142" s="72" t="str">
        <f ca="1">IF(D142="Inativo","Inativo",IFERROR(VLOOKUP($G142,Conf!$O:$Q,2,0),VLOOKUP($S142,Conf!$K:$M,2,0)))</f>
        <v>AÇOUGUE</v>
      </c>
      <c r="C142" s="72" t="str">
        <f ca="1">IF(D142="Inativo","Inativo",IFERROR(VLOOKUP($G142,Conf!$O:$Q,3,0),IFERROR(VLOOKUP($G142,Conf!$E:$F,2,0),VLOOKUP($S142,Conf!$K:$M,3,0))))</f>
        <v>ENCARREGADO</v>
      </c>
      <c r="D142" s="72" t="str">
        <f ca="1">IFERROR(IF(TODAY()-K142&gt;365,"Inativo",IF(J142=2,"Férias",IF(J142=7,"Demitido","Afastamento"))),VLOOKUP(J142,Conf!$H:$I,2,0))</f>
        <v>Ativos</v>
      </c>
      <c r="E142" s="187">
        <v>2</v>
      </c>
      <c r="F142" s="187">
        <v>192</v>
      </c>
      <c r="G142" t="s">
        <v>1351</v>
      </c>
      <c r="H142" s="71"/>
      <c r="I142" t="s">
        <v>277</v>
      </c>
      <c r="J142" s="187">
        <v>1</v>
      </c>
      <c r="K142" t="s">
        <v>1385</v>
      </c>
      <c r="L142" s="185"/>
      <c r="M142" s="188">
        <v>46069</v>
      </c>
      <c r="N142" s="71"/>
      <c r="O142" s="71"/>
      <c r="P142" s="71"/>
      <c r="Q142" s="71"/>
      <c r="R142" s="71"/>
      <c r="S142" t="s">
        <v>398</v>
      </c>
      <c r="T142" s="71"/>
    </row>
    <row r="143" spans="1:20" x14ac:dyDescent="0.3">
      <c r="A143" s="72">
        <f>IFERROR(VLOOKUP($G143,Conf!$B:$C,2,0),E143)</f>
        <v>2</v>
      </c>
      <c r="B143" s="72" t="str">
        <f ca="1">IF(D143="Inativo","Inativo",IFERROR(VLOOKUP($G143,Conf!$O:$Q,2,0),VLOOKUP($S143,Conf!$K:$M,2,0)))</f>
        <v>ADMINISTRATIVO</v>
      </c>
      <c r="C143" s="72" t="str">
        <f ca="1">IF(D143="Inativo","Inativo",IFERROR(VLOOKUP($G143,Conf!$O:$Q,3,0),IFERROR(VLOOKUP($G143,Conf!$E:$F,2,0),VLOOKUP($S143,Conf!$K:$M,3,0))))</f>
        <v>APRENDIZ</v>
      </c>
      <c r="D143" s="72" t="str">
        <f ca="1">IFERROR(IF(TODAY()-K143&gt;365,"Inativo",IF(J143=2,"Férias",IF(J143=7,"Demitido","Afastamento"))),VLOOKUP(J143,Conf!$H:$I,2,0))</f>
        <v>Demitido</v>
      </c>
      <c r="E143" s="187">
        <v>2</v>
      </c>
      <c r="F143" s="187">
        <v>1710</v>
      </c>
      <c r="G143" t="s">
        <v>442</v>
      </c>
      <c r="H143" s="71"/>
      <c r="I143" t="s">
        <v>336</v>
      </c>
      <c r="J143" s="187">
        <v>7</v>
      </c>
      <c r="K143" t="s">
        <v>1630</v>
      </c>
      <c r="L143" s="185"/>
      <c r="M143" s="188">
        <v>46077</v>
      </c>
      <c r="N143" s="71"/>
      <c r="Q143" s="71"/>
      <c r="R143" s="71"/>
      <c r="S143" t="s">
        <v>337</v>
      </c>
      <c r="T143" s="71"/>
    </row>
    <row r="144" spans="1:20" x14ac:dyDescent="0.3">
      <c r="A144" s="72">
        <f>IFERROR(VLOOKUP($G144,Conf!$B:$C,2,0),E144)</f>
        <v>2</v>
      </c>
      <c r="B144" s="72" t="str">
        <f ca="1">IF(D144="Inativo","Inativo",IFERROR(VLOOKUP($G144,Conf!$O:$Q,2,0),VLOOKUP($S144,Conf!$K:$M,2,0)))</f>
        <v>ADMINISTRATIVO</v>
      </c>
      <c r="C144" s="72" t="str">
        <f ca="1">IF(D144="Inativo","Inativo",IFERROR(VLOOKUP($G144,Conf!$O:$Q,3,0),IFERROR(VLOOKUP($G144,Conf!$E:$F,2,0),VLOOKUP($S144,Conf!$K:$M,3,0))))</f>
        <v>APRENDIZ</v>
      </c>
      <c r="D144" s="72" t="str">
        <f ca="1">IFERROR(IF(TODAY()-K144&gt;365,"Inativo",IF(J144=2,"Férias",IF(J144=7,"Demitido","Afastamento"))),VLOOKUP(J144,Conf!$H:$I,2,0))</f>
        <v>Demitido</v>
      </c>
      <c r="E144" s="187">
        <v>2</v>
      </c>
      <c r="F144" s="187">
        <v>1708</v>
      </c>
      <c r="G144" t="s">
        <v>443</v>
      </c>
      <c r="H144" s="71"/>
      <c r="I144" t="s">
        <v>336</v>
      </c>
      <c r="J144" s="187">
        <v>7</v>
      </c>
      <c r="K144" t="s">
        <v>1550</v>
      </c>
      <c r="L144" s="185"/>
      <c r="M144" s="188">
        <v>46077</v>
      </c>
      <c r="N144" s="71"/>
      <c r="O144" s="71"/>
      <c r="P144" s="71"/>
      <c r="Q144" s="71"/>
      <c r="R144" s="71"/>
      <c r="S144" t="s">
        <v>337</v>
      </c>
      <c r="T144" s="71"/>
    </row>
    <row r="145" spans="1:20" x14ac:dyDescent="0.3">
      <c r="A145" s="72">
        <f>IFERROR(VLOOKUP($G145,Conf!$B:$C,2,0),E145)</f>
        <v>2</v>
      </c>
      <c r="B145" s="72" t="str">
        <f ca="1">IF(D145="Inativo","Inativo",IFERROR(VLOOKUP($G145,Conf!$O:$Q,2,0),VLOOKUP($S145,Conf!$K:$M,2,0)))</f>
        <v>ADMINISTRATIVO</v>
      </c>
      <c r="C145" s="72" t="str">
        <f ca="1">IF(D145="Inativo","Inativo",IFERROR(VLOOKUP($G145,Conf!$O:$Q,3,0),IFERROR(VLOOKUP($G145,Conf!$E:$F,2,0),VLOOKUP($S145,Conf!$K:$M,3,0))))</f>
        <v>APRENDIZ</v>
      </c>
      <c r="D145" s="72" t="str">
        <f ca="1">IFERROR(IF(TODAY()-K145&gt;365,"Inativo",IF(J145=2,"Férias",IF(J145=7,"Demitido","Afastamento"))),VLOOKUP(J145,Conf!$H:$I,2,0))</f>
        <v>Ativos</v>
      </c>
      <c r="E145" s="187">
        <v>2</v>
      </c>
      <c r="F145" s="187">
        <v>193</v>
      </c>
      <c r="G145" t="s">
        <v>1341</v>
      </c>
      <c r="H145" s="71"/>
      <c r="I145" t="s">
        <v>336</v>
      </c>
      <c r="J145" s="187">
        <v>1</v>
      </c>
      <c r="K145" t="s">
        <v>1385</v>
      </c>
      <c r="L145" s="185"/>
      <c r="M145" s="188">
        <v>46077</v>
      </c>
      <c r="N145" s="71"/>
      <c r="O145" s="71"/>
      <c r="P145" s="71"/>
      <c r="Q145" s="71"/>
      <c r="R145" s="71"/>
      <c r="S145" t="s">
        <v>444</v>
      </c>
      <c r="T145" s="71"/>
    </row>
    <row r="146" spans="1:20" x14ac:dyDescent="0.3">
      <c r="A146" s="72">
        <f>IFERROR(VLOOKUP($G146,Conf!$B:$C,2,0),E146)</f>
        <v>2</v>
      </c>
      <c r="B146" s="72" t="str">
        <f ca="1">IF(D146="Inativo","Inativo",IFERROR(VLOOKUP($G146,Conf!$O:$Q,2,0),VLOOKUP($S146,Conf!$K:$M,2,0)))</f>
        <v>ADMINISTRATIVO</v>
      </c>
      <c r="C146" s="72" t="str">
        <f ca="1">IF(D146="Inativo","Inativo",IFERROR(VLOOKUP($G146,Conf!$O:$Q,3,0),IFERROR(VLOOKUP($G146,Conf!$E:$F,2,0),VLOOKUP($S146,Conf!$K:$M,3,0))))</f>
        <v>APRENDIZ</v>
      </c>
      <c r="D146" s="72" t="str">
        <f ca="1">IFERROR(IF(TODAY()-K146&gt;365,"Inativo",IF(J146=2,"Férias",IF(J146=7,"Demitido","Afastamento"))),VLOOKUP(J146,Conf!$H:$I,2,0))</f>
        <v>Ativos</v>
      </c>
      <c r="E146" s="187">
        <v>2</v>
      </c>
      <c r="F146" s="187">
        <v>1713</v>
      </c>
      <c r="G146" t="s">
        <v>445</v>
      </c>
      <c r="H146" s="71"/>
      <c r="I146" t="s">
        <v>336</v>
      </c>
      <c r="J146" s="187">
        <v>1</v>
      </c>
      <c r="K146" t="s">
        <v>1385</v>
      </c>
      <c r="L146" s="185"/>
      <c r="M146" s="188">
        <v>46077</v>
      </c>
      <c r="N146" s="71"/>
      <c r="Q146" s="71"/>
      <c r="R146" s="71"/>
      <c r="S146" t="s">
        <v>337</v>
      </c>
      <c r="T146" s="71"/>
    </row>
    <row r="147" spans="1:20" x14ac:dyDescent="0.3">
      <c r="A147" s="72">
        <f>IFERROR(VLOOKUP($G147,Conf!$B:$C,2,0),E147)</f>
        <v>2</v>
      </c>
      <c r="B147" s="72" t="str">
        <f ca="1">IF(D147="Inativo","Inativo",IFERROR(VLOOKUP($G147,Conf!$O:$Q,2,0),VLOOKUP($S147,Conf!$K:$M,2,0)))</f>
        <v>ADMINISTRATIVO</v>
      </c>
      <c r="C147" s="72" t="str">
        <f ca="1">IF(D147="Inativo","Inativo",IFERROR(VLOOKUP($G147,Conf!$O:$Q,3,0),IFERROR(VLOOKUP($G147,Conf!$E:$F,2,0),VLOOKUP($S147,Conf!$K:$M,3,0))))</f>
        <v>CONTROLADORIA</v>
      </c>
      <c r="D147" s="72" t="str">
        <f ca="1">IFERROR(IF(TODAY()-K147&gt;365,"Inativo",IF(J147=2,"Férias",IF(J147=7,"Demitido","Afastamento"))),VLOOKUP(J147,Conf!$H:$I,2,0))</f>
        <v>Férias</v>
      </c>
      <c r="E147" s="187">
        <v>2</v>
      </c>
      <c r="F147" s="187">
        <v>703</v>
      </c>
      <c r="G147" t="s">
        <v>400</v>
      </c>
      <c r="H147" s="71"/>
      <c r="I147" t="s">
        <v>401</v>
      </c>
      <c r="J147" s="187">
        <v>2</v>
      </c>
      <c r="K147" t="s">
        <v>1640</v>
      </c>
      <c r="L147" s="185"/>
      <c r="M147" s="188">
        <v>42340</v>
      </c>
      <c r="N147" s="71"/>
      <c r="Q147" s="71"/>
      <c r="R147" s="71"/>
      <c r="S147" t="s">
        <v>256</v>
      </c>
      <c r="T147" s="71"/>
    </row>
    <row r="148" spans="1:20" x14ac:dyDescent="0.3">
      <c r="A148" s="72">
        <f>IFERROR(VLOOKUP($G148,Conf!$B:$C,2,0),E148)</f>
        <v>2</v>
      </c>
      <c r="B148" s="72" t="str">
        <f ca="1">IF(D148="Inativo","Inativo",IFERROR(VLOOKUP($G148,Conf!$O:$Q,2,0),VLOOKUP($S148,Conf!$K:$M,2,0)))</f>
        <v>ADMINISTRATIVO</v>
      </c>
      <c r="C148" s="72" t="str">
        <f ca="1">IF(D148="Inativo","Inativo",IFERROR(VLOOKUP($G148,Conf!$O:$Q,3,0),IFERROR(VLOOKUP($G148,Conf!$E:$F,2,0),VLOOKUP($S148,Conf!$K:$M,3,0))))</f>
        <v>GESTÃO PESSOAS</v>
      </c>
      <c r="D148" s="72" t="str">
        <f ca="1">IFERROR(IF(TODAY()-K148&gt;365,"Inativo",IF(J148=2,"Férias",IF(J148=7,"Demitido","Afastamento"))),VLOOKUP(J148,Conf!$H:$I,2,0))</f>
        <v>Ativos</v>
      </c>
      <c r="E148" s="187">
        <v>2</v>
      </c>
      <c r="F148" s="187">
        <v>1763</v>
      </c>
      <c r="G148" t="s">
        <v>1435</v>
      </c>
      <c r="H148" s="71"/>
      <c r="I148" t="s">
        <v>239</v>
      </c>
      <c r="J148" s="187">
        <v>1</v>
      </c>
      <c r="K148" t="s">
        <v>1385</v>
      </c>
      <c r="L148" s="185"/>
      <c r="M148" s="188">
        <v>46226</v>
      </c>
      <c r="N148" s="71"/>
      <c r="Q148" s="71"/>
      <c r="R148" s="71"/>
      <c r="S148" t="s">
        <v>240</v>
      </c>
      <c r="T148" s="71"/>
    </row>
    <row r="149" spans="1:20" x14ac:dyDescent="0.3">
      <c r="A149" s="72">
        <f>IFERROR(VLOOKUP($G149,Conf!$B:$C,2,0),E149)</f>
        <v>2</v>
      </c>
      <c r="B149" s="72" t="str">
        <f ca="1">IF(D149="Inativo","Inativo",IFERROR(VLOOKUP($G149,Conf!$O:$Q,2,0),VLOOKUP($S149,Conf!$K:$M,2,0)))</f>
        <v>ADMINISTRATIVO</v>
      </c>
      <c r="C149" s="72" t="str">
        <f ca="1">IF(D149="Inativo","Inativo",IFERROR(VLOOKUP($G149,Conf!$O:$Q,3,0),IFERROR(VLOOKUP($G149,Conf!$E:$F,2,0),VLOOKUP($S149,Conf!$K:$M,3,0))))</f>
        <v>LIMPEZA</v>
      </c>
      <c r="D149" s="72" t="str">
        <f ca="1">IFERROR(IF(TODAY()-K149&gt;365,"Inativo",IF(J149=2,"Férias",IF(J149=7,"Demitido","Afastamento"))),VLOOKUP(J149,Conf!$H:$I,2,0))</f>
        <v>Ativos</v>
      </c>
      <c r="E149" s="187">
        <v>2</v>
      </c>
      <c r="F149" s="187">
        <v>54</v>
      </c>
      <c r="G149" t="s">
        <v>439</v>
      </c>
      <c r="H149" s="71"/>
      <c r="I149" t="s">
        <v>244</v>
      </c>
      <c r="J149" s="187">
        <v>1</v>
      </c>
      <c r="K149" t="s">
        <v>1385</v>
      </c>
      <c r="L149" s="185"/>
      <c r="M149" s="188">
        <v>39358</v>
      </c>
      <c r="N149" s="71"/>
      <c r="O149" s="71"/>
      <c r="P149" s="71"/>
      <c r="Q149" s="71"/>
      <c r="R149" s="71"/>
      <c r="S149" t="s">
        <v>330</v>
      </c>
      <c r="T149" s="71"/>
    </row>
    <row r="150" spans="1:20" x14ac:dyDescent="0.3">
      <c r="A150" s="72">
        <f>IFERROR(VLOOKUP($G150,Conf!$B:$C,2,0),E150)</f>
        <v>2</v>
      </c>
      <c r="B150" s="72" t="str">
        <f ca="1">IF(D150="Inativo","Inativo",IFERROR(VLOOKUP($G150,Conf!$O:$Q,2,0),VLOOKUP($S150,Conf!$K:$M,2,0)))</f>
        <v>ADMINISTRATIVO</v>
      </c>
      <c r="C150" s="72" t="str">
        <f ca="1">IF(D150="Inativo","Inativo",IFERROR(VLOOKUP($G150,Conf!$O:$Q,3,0),IFERROR(VLOOKUP($G150,Conf!$E:$F,2,0),VLOOKUP($S150,Conf!$K:$M,3,0))))</f>
        <v>LIMPEZA</v>
      </c>
      <c r="D150" s="72" t="str">
        <f ca="1">IFERROR(IF(TODAY()-K150&gt;365,"Inativo",IF(J150=2,"Férias",IF(J150=7,"Demitido","Afastamento"))),VLOOKUP(J150,Conf!$H:$I,2,0))</f>
        <v>Ativos</v>
      </c>
      <c r="E150" s="187">
        <v>2</v>
      </c>
      <c r="F150" s="187">
        <v>1142</v>
      </c>
      <c r="G150" t="s">
        <v>440</v>
      </c>
      <c r="H150" s="71"/>
      <c r="I150" t="s">
        <v>441</v>
      </c>
      <c r="J150" s="187">
        <v>1</v>
      </c>
      <c r="K150" t="s">
        <v>1385</v>
      </c>
      <c r="L150" s="185"/>
      <c r="M150" s="188">
        <v>44348</v>
      </c>
      <c r="N150" s="71"/>
      <c r="O150" s="71"/>
      <c r="P150" s="71"/>
      <c r="Q150" s="71"/>
      <c r="R150" s="71"/>
      <c r="S150" t="s">
        <v>330</v>
      </c>
      <c r="T150" s="71"/>
    </row>
    <row r="151" spans="1:20" x14ac:dyDescent="0.3">
      <c r="A151" s="72">
        <f>IFERROR(VLOOKUP($G151,Conf!$B:$C,2,0),E151)</f>
        <v>2</v>
      </c>
      <c r="B151" s="72" t="str">
        <f ca="1">IF(D151="Inativo","Inativo",IFERROR(VLOOKUP($G151,Conf!$O:$Q,2,0),VLOOKUP($S151,Conf!$K:$M,2,0)))</f>
        <v>ADMINISTRATIVO</v>
      </c>
      <c r="C151" s="72" t="str">
        <f ca="1">IF(D151="Inativo","Inativo",IFERROR(VLOOKUP($G151,Conf!$O:$Q,3,0),IFERROR(VLOOKUP($G151,Conf!$E:$F,2,0),VLOOKUP($S151,Conf!$K:$M,3,0))))</f>
        <v>PREVENÇÃO</v>
      </c>
      <c r="D151" s="72" t="str">
        <f ca="1">IFERROR(IF(TODAY()-K151&gt;365,"Inativo",IF(J151=2,"Férias",IF(J151=7,"Demitido","Afastamento"))),VLOOKUP(J151,Conf!$H:$I,2,0))</f>
        <v>Ativos</v>
      </c>
      <c r="E151" s="187">
        <v>2</v>
      </c>
      <c r="F151" s="187">
        <v>238</v>
      </c>
      <c r="G151" t="s">
        <v>1451</v>
      </c>
      <c r="H151" s="71"/>
      <c r="I151" t="s">
        <v>650</v>
      </c>
      <c r="J151" s="187">
        <v>1</v>
      </c>
      <c r="K151" t="s">
        <v>1385</v>
      </c>
      <c r="L151" s="185"/>
      <c r="M151" s="188">
        <v>46239</v>
      </c>
      <c r="N151" s="71"/>
      <c r="O151" s="71"/>
      <c r="P151" s="71"/>
      <c r="Q151" s="71"/>
      <c r="R151" s="71"/>
      <c r="S151" t="s">
        <v>468</v>
      </c>
      <c r="T151" s="71"/>
    </row>
    <row r="152" spans="1:20" x14ac:dyDescent="0.3">
      <c r="A152" s="72">
        <f>IFERROR(VLOOKUP($G152,Conf!$B:$C,2,0),E152)</f>
        <v>2</v>
      </c>
      <c r="B152" s="72" t="str">
        <f ca="1">IF(D152="Inativo","Inativo",IFERROR(VLOOKUP($G152,Conf!$O:$Q,2,0),VLOOKUP($S152,Conf!$K:$M,2,0)))</f>
        <v>CONFEITARIA</v>
      </c>
      <c r="C152" s="72" t="str">
        <f ca="1">IF(D152="Inativo","Inativo",IFERROR(VLOOKUP($G152,Conf!$O:$Q,3,0),IFERROR(VLOOKUP($G152,Conf!$E:$F,2,0),VLOOKUP($S152,Conf!$K:$M,3,0))))</f>
        <v>CONFEITEIRO(A)</v>
      </c>
      <c r="D152" s="72" t="str">
        <f ca="1">IFERROR(IF(TODAY()-K152&gt;365,"Inativo",IF(J152=2,"Férias",IF(J152=7,"Demitido","Afastamento"))),VLOOKUP(J152,Conf!$H:$I,2,0))</f>
        <v>Ativos</v>
      </c>
      <c r="E152" s="187">
        <v>2</v>
      </c>
      <c r="F152" s="187">
        <v>220</v>
      </c>
      <c r="G152" t="s">
        <v>1347</v>
      </c>
      <c r="H152" s="71"/>
      <c r="I152" t="s">
        <v>277</v>
      </c>
      <c r="J152" s="187">
        <v>1</v>
      </c>
      <c r="K152" t="s">
        <v>1385</v>
      </c>
      <c r="L152" s="185"/>
      <c r="M152" s="188">
        <v>46188</v>
      </c>
      <c r="N152" s="71"/>
      <c r="Q152" s="71"/>
      <c r="R152" s="71"/>
      <c r="S152" t="s">
        <v>1251</v>
      </c>
      <c r="T152" s="71"/>
    </row>
    <row r="153" spans="1:20" x14ac:dyDescent="0.3">
      <c r="A153" s="72">
        <f>IFERROR(VLOOKUP($G153,Conf!$B:$C,2,0),E153)</f>
        <v>2</v>
      </c>
      <c r="B153" s="72" t="str">
        <f ca="1">IF(D153="Inativo","Inativo",IFERROR(VLOOKUP($G153,Conf!$O:$Q,2,0),VLOOKUP($S153,Conf!$K:$M,2,0)))</f>
        <v>DEPOSITO</v>
      </c>
      <c r="C153" s="72" t="str">
        <f ca="1">IF(D153="Inativo","Inativo",IFERROR(VLOOKUP($G153,Conf!$O:$Q,3,0),IFERROR(VLOOKUP($G153,Conf!$E:$F,2,0),VLOOKUP($S153,Conf!$K:$M,3,0))))</f>
        <v>AUXILIAR</v>
      </c>
      <c r="D153" s="72" t="str">
        <f ca="1">IFERROR(IF(TODAY()-K153&gt;365,"Inativo",IF(J153=2,"Férias",IF(J153=7,"Demitido","Afastamento"))),VLOOKUP(J153,Conf!$H:$I,2,0))</f>
        <v>Ativos</v>
      </c>
      <c r="E153" s="187">
        <v>2</v>
      </c>
      <c r="F153" s="187">
        <v>1510</v>
      </c>
      <c r="G153" t="s">
        <v>399</v>
      </c>
      <c r="H153" s="71"/>
      <c r="I153" t="s">
        <v>401</v>
      </c>
      <c r="J153" s="187">
        <v>1</v>
      </c>
      <c r="K153" t="s">
        <v>1385</v>
      </c>
      <c r="L153" s="185"/>
      <c r="M153" s="188">
        <v>45446</v>
      </c>
      <c r="N153" s="71"/>
      <c r="O153" s="71"/>
      <c r="P153" s="71"/>
      <c r="Q153" s="71"/>
      <c r="R153" s="71"/>
      <c r="S153" t="s">
        <v>248</v>
      </c>
      <c r="T153" s="71"/>
    </row>
    <row r="154" spans="1:20" x14ac:dyDescent="0.3">
      <c r="A154" s="72">
        <f>IFERROR(VLOOKUP($G154,Conf!$B:$C,2,0),E154)</f>
        <v>2</v>
      </c>
      <c r="B154" s="72" t="str">
        <f ca="1">IF(D154="Inativo","Inativo",IFERROR(VLOOKUP($G154,Conf!$O:$Q,2,0),VLOOKUP($S154,Conf!$K:$M,2,0)))</f>
        <v>DEPOSITO</v>
      </c>
      <c r="C154" s="72" t="str">
        <f ca="1">IF(D154="Inativo","Inativo",IFERROR(VLOOKUP($G154,Conf!$O:$Q,3,0),IFERROR(VLOOKUP($G154,Conf!$E:$F,2,0),VLOOKUP($S154,Conf!$K:$M,3,0))))</f>
        <v>CONFERENTE</v>
      </c>
      <c r="D154" s="72" t="str">
        <f ca="1">IFERROR(IF(TODAY()-K154&gt;365,"Inativo",IF(J154=2,"Férias",IF(J154=7,"Demitido","Afastamento"))),VLOOKUP(J154,Conf!$H:$I,2,0))</f>
        <v>Ativos</v>
      </c>
      <c r="E154" s="187">
        <v>2</v>
      </c>
      <c r="F154" s="187">
        <v>1554</v>
      </c>
      <c r="G154" t="s">
        <v>412</v>
      </c>
      <c r="H154" s="71"/>
      <c r="I154" t="s">
        <v>1412</v>
      </c>
      <c r="J154" s="187">
        <v>1</v>
      </c>
      <c r="K154" t="s">
        <v>1385</v>
      </c>
      <c r="L154" s="185"/>
      <c r="M154" s="188">
        <v>45603</v>
      </c>
      <c r="N154" s="71"/>
      <c r="O154" s="71"/>
      <c r="P154" s="71"/>
      <c r="Q154" s="71"/>
      <c r="R154" s="71"/>
      <c r="S154" t="s">
        <v>251</v>
      </c>
      <c r="T154" s="71"/>
    </row>
    <row r="155" spans="1:20" x14ac:dyDescent="0.3">
      <c r="A155" s="72">
        <f>IFERROR(VLOOKUP($G155,Conf!$B:$C,2,0),E155)</f>
        <v>2</v>
      </c>
      <c r="B155" s="72" t="str">
        <f ca="1">IF(D155="Inativo","Inativo",IFERROR(VLOOKUP($G155,Conf!$O:$Q,2,0),VLOOKUP($S155,Conf!$K:$M,2,0)))</f>
        <v>DEPOSITO</v>
      </c>
      <c r="C155" s="72" t="str">
        <f ca="1">IF(D155="Inativo","Inativo",IFERROR(VLOOKUP($G155,Conf!$O:$Q,3,0),IFERROR(VLOOKUP($G155,Conf!$E:$F,2,0),VLOOKUP($S155,Conf!$K:$M,3,0))))</f>
        <v>ENCARREGADO</v>
      </c>
      <c r="D155" s="72" t="str">
        <f ca="1">IFERROR(IF(TODAY()-K155&gt;365,"Inativo",IF(J155=2,"Férias",IF(J155=7,"Demitido","Afastamento"))),VLOOKUP(J155,Conf!$H:$I,2,0))</f>
        <v>Ativos</v>
      </c>
      <c r="E155" s="187">
        <v>2</v>
      </c>
      <c r="F155" s="187">
        <v>94</v>
      </c>
      <c r="G155" t="s">
        <v>1339</v>
      </c>
      <c r="H155" s="71"/>
      <c r="I155" t="s">
        <v>296</v>
      </c>
      <c r="J155" s="187">
        <v>1</v>
      </c>
      <c r="K155" t="s">
        <v>1385</v>
      </c>
      <c r="L155" s="185"/>
      <c r="M155" s="188">
        <v>45761</v>
      </c>
      <c r="N155" s="71"/>
      <c r="Q155" s="71"/>
      <c r="R155" s="71"/>
      <c r="S155" t="s">
        <v>402</v>
      </c>
      <c r="T155" s="71"/>
    </row>
    <row r="156" spans="1:20" x14ac:dyDescent="0.3">
      <c r="A156" s="72">
        <f>IFERROR(VLOOKUP($G156,Conf!$B:$C,2,0),E156)</f>
        <v>2</v>
      </c>
      <c r="B156" s="72" t="str">
        <f ca="1">IF(D156="Inativo","Inativo",IFERROR(VLOOKUP($G156,Conf!$O:$Q,2,0),VLOOKUP($S156,Conf!$K:$M,2,0)))</f>
        <v>FRENTE DE CAIXA</v>
      </c>
      <c r="C156" s="72" t="str">
        <f ca="1">IF(D156="Inativo","Inativo",IFERROR(VLOOKUP($G156,Conf!$O:$Q,3,0),IFERROR(VLOOKUP($G156,Conf!$E:$F,2,0),VLOOKUP($S156,Conf!$K:$M,3,0))))</f>
        <v>EMPACOTADOR</v>
      </c>
      <c r="D156" s="72" t="str">
        <f ca="1">IFERROR(IF(TODAY()-K156&gt;365,"Inativo",IF(J156=2,"Férias",IF(J156=7,"Demitido","Afastamento"))),VLOOKUP(J156,Conf!$H:$I,2,0))</f>
        <v>Ativos</v>
      </c>
      <c r="E156" s="187">
        <v>2</v>
      </c>
      <c r="F156" s="187">
        <v>44</v>
      </c>
      <c r="G156" t="s">
        <v>1338</v>
      </c>
      <c r="H156" s="71"/>
      <c r="I156" t="s">
        <v>296</v>
      </c>
      <c r="J156" s="187">
        <v>1</v>
      </c>
      <c r="K156" t="s">
        <v>1385</v>
      </c>
      <c r="L156" s="185"/>
      <c r="M156" s="188">
        <v>45608</v>
      </c>
      <c r="N156" s="71"/>
      <c r="Q156" s="71"/>
      <c r="R156" s="71"/>
      <c r="S156" t="s">
        <v>407</v>
      </c>
      <c r="T156" s="71"/>
    </row>
    <row r="157" spans="1:20" x14ac:dyDescent="0.3">
      <c r="A157" s="72">
        <f>IFERROR(VLOOKUP($G157,Conf!$B:$C,2,0),E157)</f>
        <v>2</v>
      </c>
      <c r="B157" s="72" t="str">
        <f ca="1">IF(D157="Inativo","Inativo",IFERROR(VLOOKUP($G157,Conf!$O:$Q,2,0),VLOOKUP($S157,Conf!$K:$M,2,0)))</f>
        <v>FRENTE DE CAIXA</v>
      </c>
      <c r="C157" s="72" t="str">
        <f ca="1">IF(D157="Inativo","Inativo",IFERROR(VLOOKUP($G157,Conf!$O:$Q,3,0),IFERROR(VLOOKUP($G157,Conf!$E:$F,2,0),VLOOKUP($S157,Conf!$K:$M,3,0))))</f>
        <v>ENCARREGADO</v>
      </c>
      <c r="D157" s="72" t="str">
        <f ca="1">IFERROR(IF(TODAY()-K157&gt;365,"Inativo",IF(J157=2,"Férias",IF(J157=7,"Demitido","Afastamento"))),VLOOKUP(J157,Conf!$H:$I,2,0))</f>
        <v>Ativos</v>
      </c>
      <c r="E157" s="187">
        <v>2</v>
      </c>
      <c r="F157" s="187">
        <v>1614</v>
      </c>
      <c r="G157" t="s">
        <v>408</v>
      </c>
      <c r="H157" s="71"/>
      <c r="I157" t="s">
        <v>409</v>
      </c>
      <c r="J157" s="187">
        <v>1</v>
      </c>
      <c r="K157" t="s">
        <v>1385</v>
      </c>
      <c r="L157" s="185"/>
      <c r="M157" s="188">
        <v>45749</v>
      </c>
      <c r="N157" s="71"/>
      <c r="O157" s="71"/>
      <c r="P157" s="71"/>
      <c r="Q157" s="71"/>
      <c r="R157" s="71"/>
      <c r="S157" t="s">
        <v>410</v>
      </c>
      <c r="T157" s="71"/>
    </row>
    <row r="158" spans="1:20" x14ac:dyDescent="0.3">
      <c r="A158" s="72">
        <f>IFERROR(VLOOKUP($G158,Conf!$B:$C,2,0),E158)</f>
        <v>2</v>
      </c>
      <c r="B158" s="72" t="str">
        <f ca="1">IF(D158="Inativo","Inativo",IFERROR(VLOOKUP($G158,Conf!$O:$Q,2,0),VLOOKUP($S158,Conf!$K:$M,2,0)))</f>
        <v>FRENTE DE CAIXA</v>
      </c>
      <c r="C158" s="72" t="str">
        <f ca="1">IF(D158="Inativo","Inativo",IFERROR(VLOOKUP($G158,Conf!$O:$Q,3,0),IFERROR(VLOOKUP($G158,Conf!$E:$F,2,0),VLOOKUP($S158,Conf!$K:$M,3,0))))</f>
        <v>ENTREGADOR</v>
      </c>
      <c r="D158" s="72" t="str">
        <f ca="1">IFERROR(IF(TODAY()-K158&gt;365,"Inativo",IF(J158=2,"Férias",IF(J158=7,"Demitido","Afastamento"))),VLOOKUP(J158,Conf!$H:$I,2,0))</f>
        <v>Ativos</v>
      </c>
      <c r="E158" s="187">
        <v>2</v>
      </c>
      <c r="F158" s="187">
        <v>1739</v>
      </c>
      <c r="G158" t="s">
        <v>403</v>
      </c>
      <c r="H158" s="71"/>
      <c r="I158" t="s">
        <v>289</v>
      </c>
      <c r="J158" s="187">
        <v>1</v>
      </c>
      <c r="K158" t="s">
        <v>1385</v>
      </c>
      <c r="L158" s="185"/>
      <c r="M158" s="188">
        <v>46120</v>
      </c>
      <c r="N158" s="71"/>
      <c r="O158" s="71"/>
      <c r="P158" s="71"/>
      <c r="Q158" s="71"/>
      <c r="R158" s="71"/>
      <c r="S158" t="s">
        <v>404</v>
      </c>
      <c r="T158" s="71"/>
    </row>
    <row r="159" spans="1:20" x14ac:dyDescent="0.3">
      <c r="A159" s="72">
        <f>IFERROR(VLOOKUP($G159,Conf!$B:$C,2,0),E159)</f>
        <v>2</v>
      </c>
      <c r="B159" s="72" t="str">
        <f ca="1">IF(D159="Inativo","Inativo",IFERROR(VLOOKUP($G159,Conf!$O:$Q,2,0),VLOOKUP($S159,Conf!$K:$M,2,0)))</f>
        <v>FRENTE DE CAIXA</v>
      </c>
      <c r="C159" s="72" t="str">
        <f ca="1">IF(D159="Inativo","Inativo",IFERROR(VLOOKUP($G159,Conf!$O:$Q,3,0),IFERROR(VLOOKUP($G159,Conf!$E:$F,2,0),VLOOKUP($S159,Conf!$K:$M,3,0))))</f>
        <v>ESTACIONAMENTO</v>
      </c>
      <c r="D159" s="72" t="str">
        <f ca="1">IFERROR(IF(TODAY()-K159&gt;365,"Inativo",IF(J159=2,"Férias",IF(J159=7,"Demitido","Afastamento"))),VLOOKUP(J159,Conf!$H:$I,2,0))</f>
        <v>Ativos</v>
      </c>
      <c r="E159" s="187">
        <v>2</v>
      </c>
      <c r="F159" s="187">
        <v>45</v>
      </c>
      <c r="G159" t="s">
        <v>1360</v>
      </c>
      <c r="H159" s="71"/>
      <c r="I159" t="s">
        <v>466</v>
      </c>
      <c r="J159" s="187">
        <v>1</v>
      </c>
      <c r="K159" t="s">
        <v>1385</v>
      </c>
      <c r="L159" s="185"/>
      <c r="M159" s="188">
        <v>45608</v>
      </c>
      <c r="N159" s="71"/>
      <c r="Q159" s="71"/>
      <c r="R159" s="71"/>
      <c r="S159" t="s">
        <v>467</v>
      </c>
      <c r="T159" s="71"/>
    </row>
    <row r="160" spans="1:20" x14ac:dyDescent="0.3">
      <c r="A160" s="72">
        <f>IFERROR(VLOOKUP($G160,Conf!$B:$C,2,0),E160)</f>
        <v>2</v>
      </c>
      <c r="B160" s="72" t="str">
        <f ca="1">IF(D160="Inativo","Inativo",IFERROR(VLOOKUP($G160,Conf!$O:$Q,2,0),VLOOKUP($S160,Conf!$K:$M,2,0)))</f>
        <v>FRENTE DE CAIXA</v>
      </c>
      <c r="C160" s="72" t="str">
        <f ca="1">IF(D160="Inativo","Inativo",IFERROR(VLOOKUP($G160,Conf!$O:$Q,3,0),IFERROR(VLOOKUP($G160,Conf!$E:$F,2,0),VLOOKUP($S160,Conf!$K:$M,3,0))))</f>
        <v>FISCAL DE CAIXA</v>
      </c>
      <c r="D160" s="72" t="str">
        <f ca="1">IFERROR(IF(TODAY()-K160&gt;365,"Inativo",IF(J160=2,"Férias",IF(J160=7,"Demitido","Afastamento"))),VLOOKUP(J160,Conf!$H:$I,2,0))</f>
        <v>Ativos</v>
      </c>
      <c r="E160" s="187">
        <v>2</v>
      </c>
      <c r="F160" s="187">
        <v>1773</v>
      </c>
      <c r="G160" t="s">
        <v>1530</v>
      </c>
      <c r="H160" s="71"/>
      <c r="I160" t="s">
        <v>220</v>
      </c>
      <c r="J160" s="187">
        <v>1</v>
      </c>
      <c r="K160" t="s">
        <v>1385</v>
      </c>
      <c r="L160" s="185"/>
      <c r="M160" s="188">
        <v>46267</v>
      </c>
      <c r="N160" s="71"/>
      <c r="Q160" s="71"/>
      <c r="R160" s="71"/>
      <c r="S160" t="s">
        <v>278</v>
      </c>
      <c r="T160" s="71"/>
    </row>
    <row r="161" spans="1:20" x14ac:dyDescent="0.3">
      <c r="A161" s="72">
        <f>IFERROR(VLOOKUP($G161,Conf!$B:$C,2,0),E161)</f>
        <v>2</v>
      </c>
      <c r="B161" s="72" t="str">
        <f ca="1">IF(D161="Inativo","Inativo",IFERROR(VLOOKUP($G161,Conf!$O:$Q,2,0),VLOOKUP($S161,Conf!$K:$M,2,0)))</f>
        <v>FRENTE DE CAIXA</v>
      </c>
      <c r="C161" s="72" t="str">
        <f ca="1">IF(D161="Inativo","Inativo",IFERROR(VLOOKUP($G161,Conf!$O:$Q,3,0),IFERROR(VLOOKUP($G161,Conf!$E:$F,2,0),VLOOKUP($S161,Conf!$K:$M,3,0))))</f>
        <v>FISCAL DE CAIXA</v>
      </c>
      <c r="D161" s="72" t="str">
        <f ca="1">IFERROR(IF(TODAY()-K161&gt;365,"Inativo",IF(J161=2,"Férias",IF(J161=7,"Demitido","Afastamento"))),VLOOKUP(J161,Conf!$H:$I,2,0))</f>
        <v>Ativos</v>
      </c>
      <c r="E161" s="187">
        <v>2</v>
      </c>
      <c r="F161" s="187">
        <v>1784</v>
      </c>
      <c r="G161" t="s">
        <v>1594</v>
      </c>
      <c r="H161" s="71"/>
      <c r="I161" t="s">
        <v>220</v>
      </c>
      <c r="J161" s="187">
        <v>1</v>
      </c>
      <c r="K161" t="s">
        <v>1385</v>
      </c>
      <c r="L161" s="185"/>
      <c r="M161" s="188">
        <v>46290</v>
      </c>
      <c r="N161" s="71"/>
      <c r="Q161" s="71"/>
      <c r="R161" s="71"/>
      <c r="S161" t="s">
        <v>278</v>
      </c>
      <c r="T161" s="71"/>
    </row>
    <row r="162" spans="1:20" x14ac:dyDescent="0.3">
      <c r="A162" s="72">
        <f>IFERROR(VLOOKUP($G162,Conf!$B:$C,2,0),E162)</f>
        <v>2</v>
      </c>
      <c r="B162" s="72" t="str">
        <f ca="1">IF(D162="Inativo","Inativo",IFERROR(VLOOKUP($G162,Conf!$O:$Q,2,0),VLOOKUP($S162,Conf!$K:$M,2,0)))</f>
        <v>FRENTE DE CAIXA</v>
      </c>
      <c r="C162" s="72" t="str">
        <f ca="1">IF(D162="Inativo","Inativo",IFERROR(VLOOKUP($G162,Conf!$O:$Q,3,0),IFERROR(VLOOKUP($G162,Conf!$E:$F,2,0),VLOOKUP($S162,Conf!$K:$M,3,0))))</f>
        <v>FISCAL DE CAIXA</v>
      </c>
      <c r="D162" s="72" t="str">
        <f ca="1">IFERROR(IF(TODAY()-K162&gt;365,"Inativo",IF(J162=2,"Férias",IF(J162=7,"Demitido","Afastamento"))),VLOOKUP(J162,Conf!$H:$I,2,0))</f>
        <v>Férias</v>
      </c>
      <c r="E162" s="187">
        <v>2</v>
      </c>
      <c r="F162" s="187">
        <v>1357</v>
      </c>
      <c r="G162" t="s">
        <v>411</v>
      </c>
      <c r="H162" s="71"/>
      <c r="I162" t="s">
        <v>222</v>
      </c>
      <c r="J162" s="187">
        <v>2</v>
      </c>
      <c r="K162" t="s">
        <v>1601</v>
      </c>
      <c r="L162" s="185"/>
      <c r="M162" s="188">
        <v>45125</v>
      </c>
      <c r="N162" s="71"/>
      <c r="O162" s="71"/>
      <c r="P162" s="71"/>
      <c r="Q162" s="71"/>
      <c r="R162" s="71"/>
      <c r="S162" t="s">
        <v>278</v>
      </c>
      <c r="T162" s="71"/>
    </row>
    <row r="163" spans="1:20" x14ac:dyDescent="0.3">
      <c r="A163" s="72">
        <f>IFERROR(VLOOKUP($G163,Conf!$B:$C,2,0),E163)</f>
        <v>2</v>
      </c>
      <c r="B163" s="72" t="str">
        <f ca="1">IF(D163="Inativo","Inativo",IFERROR(VLOOKUP($G163,Conf!$O:$Q,2,0),VLOOKUP($S163,Conf!$K:$M,2,0)))</f>
        <v>FRENTE DE CAIXA</v>
      </c>
      <c r="C163" s="72" t="str">
        <f ca="1">IF(D163="Inativo","Inativo",IFERROR(VLOOKUP($G163,Conf!$O:$Q,3,0),IFERROR(VLOOKUP($G163,Conf!$E:$F,2,0),VLOOKUP($S163,Conf!$K:$M,3,0))))</f>
        <v>OPERADOR CAIXA</v>
      </c>
      <c r="D163" s="72" t="str">
        <f ca="1">IFERROR(IF(TODAY()-K163&gt;365,"Inativo",IF(J163=2,"Férias",IF(J163=7,"Demitido","Afastamento"))),VLOOKUP(J163,Conf!$H:$I,2,0))</f>
        <v>Ativos</v>
      </c>
      <c r="E163" s="187">
        <v>2</v>
      </c>
      <c r="F163" s="187">
        <v>1786</v>
      </c>
      <c r="G163" t="s">
        <v>1616</v>
      </c>
      <c r="H163" s="71"/>
      <c r="I163" t="s">
        <v>220</v>
      </c>
      <c r="J163" s="187">
        <v>1</v>
      </c>
      <c r="K163" t="s">
        <v>1385</v>
      </c>
      <c r="L163" s="185"/>
      <c r="M163" s="188">
        <v>46296</v>
      </c>
      <c r="N163" s="71"/>
      <c r="O163" s="71"/>
      <c r="P163" s="71"/>
      <c r="Q163" s="71"/>
      <c r="R163" s="71"/>
      <c r="S163" t="s">
        <v>281</v>
      </c>
      <c r="T163" s="71"/>
    </row>
    <row r="164" spans="1:20" x14ac:dyDescent="0.3">
      <c r="A164" s="72">
        <f>IFERROR(VLOOKUP($G164,Conf!$B:$C,2,0),E164)</f>
        <v>2</v>
      </c>
      <c r="B164" s="72" t="str">
        <f ca="1">IF(D164="Inativo","Inativo",IFERROR(VLOOKUP($G164,Conf!$O:$Q,2,0),VLOOKUP($S164,Conf!$K:$M,2,0)))</f>
        <v>FRENTE DE CAIXA</v>
      </c>
      <c r="C164" s="72" t="str">
        <f ca="1">IF(D164="Inativo","Inativo",IFERROR(VLOOKUP($G164,Conf!$O:$Q,3,0),IFERROR(VLOOKUP($G164,Conf!$E:$F,2,0),VLOOKUP($S164,Conf!$K:$M,3,0))))</f>
        <v>OPERADOR CAIXA</v>
      </c>
      <c r="D164" s="72" t="str">
        <f ca="1">IFERROR(IF(TODAY()-K164&gt;365,"Inativo",IF(J164=2,"Férias",IF(J164=7,"Demitido","Afastamento"))),VLOOKUP(J164,Conf!$H:$I,2,0))</f>
        <v>Ativos</v>
      </c>
      <c r="E164" s="187">
        <v>2</v>
      </c>
      <c r="F164" s="187">
        <v>1750</v>
      </c>
      <c r="G164" t="s">
        <v>413</v>
      </c>
      <c r="H164" s="71"/>
      <c r="I164" t="s">
        <v>244</v>
      </c>
      <c r="J164" s="187">
        <v>1</v>
      </c>
      <c r="K164" t="s">
        <v>1385</v>
      </c>
      <c r="L164" s="185"/>
      <c r="M164" s="188">
        <v>46174</v>
      </c>
      <c r="N164" s="71"/>
      <c r="Q164" s="71"/>
      <c r="R164" s="71"/>
      <c r="S164" t="s">
        <v>281</v>
      </c>
      <c r="T164" s="71"/>
    </row>
    <row r="165" spans="1:20" x14ac:dyDescent="0.3">
      <c r="A165" s="72">
        <f>IFERROR(VLOOKUP($G165,Conf!$B:$C,2,0),E165)</f>
        <v>2</v>
      </c>
      <c r="B165" s="72" t="str">
        <f ca="1">IF(D165="Inativo","Inativo",IFERROR(VLOOKUP($G165,Conf!$O:$Q,2,0),VLOOKUP($S165,Conf!$K:$M,2,0)))</f>
        <v>FRENTE DE CAIXA</v>
      </c>
      <c r="C165" s="72" t="str">
        <f ca="1">IF(D165="Inativo","Inativo",IFERROR(VLOOKUP($G165,Conf!$O:$Q,3,0),IFERROR(VLOOKUP($G165,Conf!$E:$F,2,0),VLOOKUP($S165,Conf!$K:$M,3,0))))</f>
        <v>OPERADOR CAIXA</v>
      </c>
      <c r="D165" s="72" t="str">
        <f ca="1">IFERROR(IF(TODAY()-K165&gt;365,"Inativo",IF(J165=2,"Férias",IF(J165=7,"Demitido","Afastamento"))),VLOOKUP(J165,Conf!$H:$I,2,0))</f>
        <v>Ativos</v>
      </c>
      <c r="E165" s="187">
        <v>2</v>
      </c>
      <c r="F165" s="187">
        <v>1759</v>
      </c>
      <c r="G165" t="s">
        <v>1389</v>
      </c>
      <c r="H165" s="71"/>
      <c r="I165" t="s">
        <v>220</v>
      </c>
      <c r="J165" s="187">
        <v>1</v>
      </c>
      <c r="K165" t="s">
        <v>1385</v>
      </c>
      <c r="L165" s="185"/>
      <c r="M165" s="188">
        <v>46210</v>
      </c>
      <c r="N165" s="71"/>
      <c r="O165" s="71"/>
      <c r="P165" s="71"/>
      <c r="Q165" s="71"/>
      <c r="R165" s="71"/>
      <c r="S165" t="s">
        <v>281</v>
      </c>
      <c r="T165" s="71"/>
    </row>
    <row r="166" spans="1:20" x14ac:dyDescent="0.3">
      <c r="A166" s="72">
        <f>IFERROR(VLOOKUP($G166,Conf!$B:$C,2,0),E166)</f>
        <v>2</v>
      </c>
      <c r="B166" s="72" t="str">
        <f ca="1">IF(D166="Inativo","Inativo",IFERROR(VLOOKUP($G166,Conf!$O:$Q,2,0),VLOOKUP($S166,Conf!$K:$M,2,0)))</f>
        <v>FRENTE DE CAIXA</v>
      </c>
      <c r="C166" s="72" t="str">
        <f ca="1">IF(D166="Inativo","Inativo",IFERROR(VLOOKUP($G166,Conf!$O:$Q,3,0),IFERROR(VLOOKUP($G166,Conf!$E:$F,2,0),VLOOKUP($S166,Conf!$K:$M,3,0))))</f>
        <v>OPERADOR CAIXA</v>
      </c>
      <c r="D166" s="72" t="str">
        <f ca="1">IFERROR(IF(TODAY()-K166&gt;365,"Inativo",IF(J166=2,"Férias",IF(J166=7,"Demitido","Afastamento"))),VLOOKUP(J166,Conf!$H:$I,2,0))</f>
        <v>Ativos</v>
      </c>
      <c r="E166" s="187">
        <v>2</v>
      </c>
      <c r="F166" s="187">
        <v>1524</v>
      </c>
      <c r="G166" t="s">
        <v>415</v>
      </c>
      <c r="H166" s="71"/>
      <c r="I166" t="s">
        <v>220</v>
      </c>
      <c r="J166" s="187">
        <v>1</v>
      </c>
      <c r="K166" t="s">
        <v>1385</v>
      </c>
      <c r="L166" s="185"/>
      <c r="M166" s="188">
        <v>45496</v>
      </c>
      <c r="N166" s="71"/>
      <c r="O166" s="71"/>
      <c r="P166" s="71"/>
      <c r="Q166" s="71"/>
      <c r="R166" s="71"/>
      <c r="S166" t="s">
        <v>281</v>
      </c>
      <c r="T166" s="71"/>
    </row>
    <row r="167" spans="1:20" x14ac:dyDescent="0.3">
      <c r="A167" s="72">
        <f>IFERROR(VLOOKUP($G167,Conf!$B:$C,2,0),E167)</f>
        <v>2</v>
      </c>
      <c r="B167" s="72" t="str">
        <f ca="1">IF(D167="Inativo","Inativo",IFERROR(VLOOKUP($G167,Conf!$O:$Q,2,0),VLOOKUP($S167,Conf!$K:$M,2,0)))</f>
        <v>FRENTE DE CAIXA</v>
      </c>
      <c r="C167" s="72" t="str">
        <f ca="1">IF(D167="Inativo","Inativo",IFERROR(VLOOKUP($G167,Conf!$O:$Q,3,0),IFERROR(VLOOKUP($G167,Conf!$E:$F,2,0),VLOOKUP($S167,Conf!$K:$M,3,0))))</f>
        <v>OPERADOR CAIXA</v>
      </c>
      <c r="D167" s="72" t="str">
        <f ca="1">IFERROR(IF(TODAY()-K167&gt;365,"Inativo",IF(J167=2,"Férias",IF(J167=7,"Demitido","Afastamento"))),VLOOKUP(J167,Conf!$H:$I,2,0))</f>
        <v>Ativos</v>
      </c>
      <c r="E167" s="187">
        <v>2</v>
      </c>
      <c r="F167" s="187">
        <v>1695</v>
      </c>
      <c r="G167" t="s">
        <v>416</v>
      </c>
      <c r="H167" s="71"/>
      <c r="I167" t="s">
        <v>220</v>
      </c>
      <c r="J167" s="187">
        <v>1</v>
      </c>
      <c r="K167" t="s">
        <v>1385</v>
      </c>
      <c r="L167" s="185"/>
      <c r="M167" s="188">
        <v>46009</v>
      </c>
      <c r="N167" s="71"/>
      <c r="Q167" s="71"/>
      <c r="R167" s="71"/>
      <c r="S167" t="s">
        <v>281</v>
      </c>
      <c r="T167" s="71"/>
    </row>
    <row r="168" spans="1:20" x14ac:dyDescent="0.3">
      <c r="A168" s="72">
        <f>IFERROR(VLOOKUP($G168,Conf!$B:$C,2,0),E168)</f>
        <v>2</v>
      </c>
      <c r="B168" s="72" t="str">
        <f ca="1">IF(D168="Inativo","Inativo",IFERROR(VLOOKUP($G168,Conf!$O:$Q,2,0),VLOOKUP($S168,Conf!$K:$M,2,0)))</f>
        <v>FRENTE DE CAIXA</v>
      </c>
      <c r="C168" s="72" t="str">
        <f ca="1">IF(D168="Inativo","Inativo",IFERROR(VLOOKUP($G168,Conf!$O:$Q,3,0),IFERROR(VLOOKUP($G168,Conf!$E:$F,2,0),VLOOKUP($S168,Conf!$K:$M,3,0))))</f>
        <v>OPERADOR CAIXA</v>
      </c>
      <c r="D168" s="72" t="str">
        <f ca="1">IFERROR(IF(TODAY()-K168&gt;365,"Inativo",IF(J168=2,"Férias",IF(J168=7,"Demitido","Afastamento"))),VLOOKUP(J168,Conf!$H:$I,2,0))</f>
        <v>Ativos</v>
      </c>
      <c r="E168" s="187">
        <v>2</v>
      </c>
      <c r="F168" s="187">
        <v>1788</v>
      </c>
      <c r="G168" t="s">
        <v>1634</v>
      </c>
      <c r="H168" s="71"/>
      <c r="I168" t="s">
        <v>303</v>
      </c>
      <c r="J168" s="187">
        <v>1</v>
      </c>
      <c r="K168" t="s">
        <v>1385</v>
      </c>
      <c r="L168" s="185"/>
      <c r="M168" s="188">
        <v>46297</v>
      </c>
      <c r="N168" s="71"/>
      <c r="O168" s="71"/>
      <c r="P168" s="71"/>
      <c r="Q168" s="71"/>
      <c r="R168" s="71"/>
      <c r="S168" t="s">
        <v>281</v>
      </c>
      <c r="T168" s="71"/>
    </row>
    <row r="169" spans="1:20" x14ac:dyDescent="0.3">
      <c r="A169" s="72">
        <f>IFERROR(VLOOKUP($G169,Conf!$B:$C,2,0),E169)</f>
        <v>2</v>
      </c>
      <c r="B169" s="72" t="str">
        <f ca="1">IF(D169="Inativo","Inativo",IFERROR(VLOOKUP($G169,Conf!$O:$Q,2,0),VLOOKUP($S169,Conf!$K:$M,2,0)))</f>
        <v>FRENTE DE CAIXA</v>
      </c>
      <c r="C169" s="72" t="str">
        <f ca="1">IF(D169="Inativo","Inativo",IFERROR(VLOOKUP($G169,Conf!$O:$Q,3,0),IFERROR(VLOOKUP($G169,Conf!$E:$F,2,0),VLOOKUP($S169,Conf!$K:$M,3,0))))</f>
        <v>OPERADOR CAIXA</v>
      </c>
      <c r="D169" s="72" t="str">
        <f ca="1">IFERROR(IF(TODAY()-K169&gt;365,"Inativo",IF(J169=2,"Férias",IF(J169=7,"Demitido","Afastamento"))),VLOOKUP(J169,Conf!$H:$I,2,0))</f>
        <v>Ativos</v>
      </c>
      <c r="E169" s="187">
        <v>2</v>
      </c>
      <c r="F169" s="187">
        <v>1741</v>
      </c>
      <c r="G169" t="s">
        <v>417</v>
      </c>
      <c r="H169" s="71"/>
      <c r="I169" t="s">
        <v>220</v>
      </c>
      <c r="J169" s="187">
        <v>1</v>
      </c>
      <c r="K169" t="s">
        <v>1385</v>
      </c>
      <c r="L169" s="185"/>
      <c r="M169" s="188">
        <v>46127</v>
      </c>
      <c r="N169" s="71"/>
      <c r="O169" s="71"/>
      <c r="P169" s="71"/>
      <c r="Q169" s="71"/>
      <c r="R169" s="71"/>
      <c r="S169" t="s">
        <v>281</v>
      </c>
      <c r="T169" s="71"/>
    </row>
    <row r="170" spans="1:20" x14ac:dyDescent="0.3">
      <c r="A170" s="72">
        <f>IFERROR(VLOOKUP($G170,Conf!$B:$C,2,0),E170)</f>
        <v>2</v>
      </c>
      <c r="B170" s="72" t="str">
        <f ca="1">IF(D170="Inativo","Inativo",IFERROR(VLOOKUP($G170,Conf!$O:$Q,2,0),VLOOKUP($S170,Conf!$K:$M,2,0)))</f>
        <v>FRENTE DE CAIXA</v>
      </c>
      <c r="C170" s="72" t="str">
        <f ca="1">IF(D170="Inativo","Inativo",IFERROR(VLOOKUP($G170,Conf!$O:$Q,3,0),IFERROR(VLOOKUP($G170,Conf!$E:$F,2,0),VLOOKUP($S170,Conf!$K:$M,3,0))))</f>
        <v>OPERADOR CAIXA</v>
      </c>
      <c r="D170" s="72" t="str">
        <f ca="1">IFERROR(IF(TODAY()-K170&gt;365,"Inativo",IF(J170=2,"Férias",IF(J170=7,"Demitido","Afastamento"))),VLOOKUP(J170,Conf!$H:$I,2,0))</f>
        <v>Ativos</v>
      </c>
      <c r="E170" s="187">
        <v>2</v>
      </c>
      <c r="F170" s="187">
        <v>1765</v>
      </c>
      <c r="G170" t="s">
        <v>1452</v>
      </c>
      <c r="H170" s="71"/>
      <c r="I170" t="s">
        <v>220</v>
      </c>
      <c r="J170" s="187">
        <v>1</v>
      </c>
      <c r="K170" t="s">
        <v>1385</v>
      </c>
      <c r="L170" s="185"/>
      <c r="M170" s="188">
        <v>46239</v>
      </c>
      <c r="N170" s="71"/>
      <c r="O170" s="71"/>
      <c r="P170" s="71"/>
      <c r="Q170" s="71"/>
      <c r="R170" s="71"/>
      <c r="S170" t="s">
        <v>281</v>
      </c>
      <c r="T170" s="71"/>
    </row>
    <row r="171" spans="1:20" x14ac:dyDescent="0.3">
      <c r="A171" s="72">
        <f>IFERROR(VLOOKUP($G171,Conf!$B:$C,2,0),E171)</f>
        <v>2</v>
      </c>
      <c r="B171" s="72" t="str">
        <f ca="1">IF(D171="Inativo","Inativo",IFERROR(VLOOKUP($G171,Conf!$O:$Q,2,0),VLOOKUP($S171,Conf!$K:$M,2,0)))</f>
        <v>FRENTE DE CAIXA</v>
      </c>
      <c r="C171" s="72" t="str">
        <f ca="1">IF(D171="Inativo","Inativo",IFERROR(VLOOKUP($G171,Conf!$O:$Q,3,0),IFERROR(VLOOKUP($G171,Conf!$E:$F,2,0),VLOOKUP($S171,Conf!$K:$M,3,0))))</f>
        <v>OPERADOR CAIXA</v>
      </c>
      <c r="D171" s="72" t="str">
        <f ca="1">IFERROR(IF(TODAY()-K171&gt;365,"Inativo",IF(J171=2,"Férias",IF(J171=7,"Demitido","Afastamento"))),VLOOKUP(J171,Conf!$H:$I,2,0))</f>
        <v>Demitido</v>
      </c>
      <c r="E171" s="187">
        <v>2</v>
      </c>
      <c r="F171" s="187">
        <v>1702</v>
      </c>
      <c r="G171" t="s">
        <v>418</v>
      </c>
      <c r="H171" s="71"/>
      <c r="I171" t="s">
        <v>220</v>
      </c>
      <c r="J171" s="187">
        <v>7</v>
      </c>
      <c r="K171" t="s">
        <v>1590</v>
      </c>
      <c r="L171" s="185"/>
      <c r="M171" s="188">
        <v>46062</v>
      </c>
      <c r="N171" s="71"/>
      <c r="O171" s="71"/>
      <c r="P171" s="71"/>
      <c r="Q171" s="71"/>
      <c r="R171" s="71"/>
      <c r="S171" t="s">
        <v>281</v>
      </c>
      <c r="T171" s="71"/>
    </row>
    <row r="172" spans="1:20" x14ac:dyDescent="0.3">
      <c r="A172" s="72">
        <f>IFERROR(VLOOKUP($G172,Conf!$B:$C,2,0),E172)</f>
        <v>2</v>
      </c>
      <c r="B172" s="72" t="str">
        <f ca="1">IF(D172="Inativo","Inativo",IFERROR(VLOOKUP($G172,Conf!$O:$Q,2,0),VLOOKUP($S172,Conf!$K:$M,2,0)))</f>
        <v>FRENTE DE CAIXA</v>
      </c>
      <c r="C172" s="72" t="str">
        <f ca="1">IF(D172="Inativo","Inativo",IFERROR(VLOOKUP($G172,Conf!$O:$Q,3,0),IFERROR(VLOOKUP($G172,Conf!$E:$F,2,0),VLOOKUP($S172,Conf!$K:$M,3,0))))</f>
        <v>OPERADOR CAIXA</v>
      </c>
      <c r="D172" s="72" t="str">
        <f ca="1">IFERROR(IF(TODAY()-K172&gt;365,"Inativo",IF(J172=2,"Férias",IF(J172=7,"Demitido","Afastamento"))),VLOOKUP(J172,Conf!$H:$I,2,0))</f>
        <v>Demitido</v>
      </c>
      <c r="E172" s="187">
        <v>2</v>
      </c>
      <c r="F172" s="187">
        <v>1766</v>
      </c>
      <c r="G172" t="s">
        <v>1459</v>
      </c>
      <c r="H172" s="71"/>
      <c r="I172" t="s">
        <v>220</v>
      </c>
      <c r="J172" s="187">
        <v>7</v>
      </c>
      <c r="K172" t="s">
        <v>1549</v>
      </c>
      <c r="L172" s="185"/>
      <c r="M172" s="188">
        <v>46244</v>
      </c>
      <c r="N172" s="71"/>
      <c r="Q172" s="71"/>
      <c r="R172" s="71"/>
      <c r="S172" t="s">
        <v>281</v>
      </c>
      <c r="T172" s="71"/>
    </row>
    <row r="173" spans="1:20" x14ac:dyDescent="0.3">
      <c r="A173" s="72">
        <f>IFERROR(VLOOKUP($G173,Conf!$B:$C,2,0),E173)</f>
        <v>2</v>
      </c>
      <c r="B173" s="72" t="str">
        <f ca="1">IF(D173="Inativo","Inativo",IFERROR(VLOOKUP($G173,Conf!$O:$Q,2,0),VLOOKUP($S173,Conf!$K:$M,2,0)))</f>
        <v>FRENTE DE CAIXA</v>
      </c>
      <c r="C173" s="72" t="str">
        <f ca="1">IF(D173="Inativo","Inativo",IFERROR(VLOOKUP($G173,Conf!$O:$Q,3,0),IFERROR(VLOOKUP($G173,Conf!$E:$F,2,0),VLOOKUP($S173,Conf!$K:$M,3,0))))</f>
        <v>OPERADOR CAIXA</v>
      </c>
      <c r="D173" s="72" t="str">
        <f ca="1">IFERROR(IF(TODAY()-K173&gt;365,"Inativo",IF(J173=2,"Férias",IF(J173=7,"Demitido","Afastamento"))),VLOOKUP(J173,Conf!$H:$I,2,0))</f>
        <v>Ativos</v>
      </c>
      <c r="E173" s="187">
        <v>2</v>
      </c>
      <c r="F173" s="187">
        <v>1781</v>
      </c>
      <c r="G173" t="s">
        <v>1367</v>
      </c>
      <c r="H173" s="71"/>
      <c r="I173" t="s">
        <v>303</v>
      </c>
      <c r="J173" s="187">
        <v>1</v>
      </c>
      <c r="K173" t="s">
        <v>1385</v>
      </c>
      <c r="L173" s="185"/>
      <c r="M173" s="188">
        <v>46286</v>
      </c>
      <c r="N173" s="71"/>
      <c r="Q173" s="71"/>
      <c r="R173" s="71"/>
      <c r="S173" t="s">
        <v>281</v>
      </c>
      <c r="T173" s="71"/>
    </row>
    <row r="174" spans="1:20" x14ac:dyDescent="0.3">
      <c r="A174" s="72">
        <f>IFERROR(VLOOKUP($G174,Conf!$B:$C,2,0),E174)</f>
        <v>2</v>
      </c>
      <c r="B174" s="72" t="str">
        <f ca="1">IF(D174="Inativo","Inativo",IFERROR(VLOOKUP($G174,Conf!$O:$Q,2,0),VLOOKUP($S174,Conf!$K:$M,2,0)))</f>
        <v>FRENTE DE CAIXA</v>
      </c>
      <c r="C174" s="72" t="str">
        <f ca="1">IF(D174="Inativo","Inativo",IFERROR(VLOOKUP($G174,Conf!$O:$Q,3,0),IFERROR(VLOOKUP($G174,Conf!$E:$F,2,0),VLOOKUP($S174,Conf!$K:$M,3,0))))</f>
        <v>OPERADOR CAIXA</v>
      </c>
      <c r="D174" s="72" t="str">
        <f ca="1">IFERROR(IF(TODAY()-K174&gt;365,"Inativo",IF(J174=2,"Férias",IF(J174=7,"Demitido","Afastamento"))),VLOOKUP(J174,Conf!$H:$I,2,0))</f>
        <v>Ativos</v>
      </c>
      <c r="E174" s="187">
        <v>2</v>
      </c>
      <c r="F174" s="187">
        <v>1762</v>
      </c>
      <c r="G174" t="s">
        <v>1434</v>
      </c>
      <c r="H174" s="71"/>
      <c r="I174" t="s">
        <v>220</v>
      </c>
      <c r="J174" s="187">
        <v>1</v>
      </c>
      <c r="K174" t="s">
        <v>1385</v>
      </c>
      <c r="L174" s="185"/>
      <c r="M174" s="188">
        <v>46224</v>
      </c>
      <c r="N174" s="71"/>
      <c r="Q174" s="71"/>
      <c r="R174" s="71"/>
      <c r="S174" t="s">
        <v>281</v>
      </c>
      <c r="T174" s="71"/>
    </row>
    <row r="175" spans="1:20" x14ac:dyDescent="0.3">
      <c r="A175" s="72">
        <f>IFERROR(VLOOKUP($G175,Conf!$B:$C,2,0),E175)</f>
        <v>2</v>
      </c>
      <c r="B175" s="72" t="str">
        <f ca="1">IF(D175="Inativo","Inativo",IFERROR(VLOOKUP($G175,Conf!$O:$Q,2,0),VLOOKUP($S175,Conf!$K:$M,2,0)))</f>
        <v>FRENTE DE CAIXA</v>
      </c>
      <c r="C175" s="72" t="str">
        <f ca="1">IF(D175="Inativo","Inativo",IFERROR(VLOOKUP($G175,Conf!$O:$Q,3,0),IFERROR(VLOOKUP($G175,Conf!$E:$F,2,0),VLOOKUP($S175,Conf!$K:$M,3,0))))</f>
        <v>OPERADOR CAIXA</v>
      </c>
      <c r="D175" s="72" t="str">
        <f ca="1">IFERROR(IF(TODAY()-K175&gt;365,"Inativo",IF(J175=2,"Férias",IF(J175=7,"Demitido","Afastamento"))),VLOOKUP(J175,Conf!$H:$I,2,0))</f>
        <v>Ativos</v>
      </c>
      <c r="E175" s="187">
        <v>2</v>
      </c>
      <c r="F175" s="187">
        <v>1790</v>
      </c>
      <c r="G175" t="s">
        <v>1645</v>
      </c>
      <c r="H175" s="71"/>
      <c r="I175" t="s">
        <v>220</v>
      </c>
      <c r="J175" s="187">
        <v>1</v>
      </c>
      <c r="K175" t="s">
        <v>1385</v>
      </c>
      <c r="L175" s="185"/>
      <c r="M175" s="188">
        <v>46303</v>
      </c>
      <c r="N175" s="71"/>
      <c r="Q175" s="71"/>
      <c r="R175" s="71"/>
      <c r="S175" t="s">
        <v>281</v>
      </c>
      <c r="T175" s="71"/>
    </row>
    <row r="176" spans="1:20" x14ac:dyDescent="0.3">
      <c r="A176" s="72">
        <f>IFERROR(VLOOKUP($G176,Conf!$B:$C,2,0),E176)</f>
        <v>2</v>
      </c>
      <c r="B176" s="72" t="str">
        <f ca="1">IF(D176="Inativo","Inativo",IFERROR(VLOOKUP($G176,Conf!$O:$Q,2,0),VLOOKUP($S176,Conf!$K:$M,2,0)))</f>
        <v>FRENTE DE CAIXA</v>
      </c>
      <c r="C176" s="72" t="str">
        <f ca="1">IF(D176="Inativo","Inativo",IFERROR(VLOOKUP($G176,Conf!$O:$Q,3,0),IFERROR(VLOOKUP($G176,Conf!$E:$F,2,0),VLOOKUP($S176,Conf!$K:$M,3,0))))</f>
        <v>OPERADOR CAIXA</v>
      </c>
      <c r="D176" s="72" t="str">
        <f ca="1">IFERROR(IF(TODAY()-K176&gt;365,"Inativo",IF(J176=2,"Férias",IF(J176=7,"Demitido","Afastamento"))),VLOOKUP(J176,Conf!$H:$I,2,0))</f>
        <v>Ativos</v>
      </c>
      <c r="E176" s="187">
        <v>2</v>
      </c>
      <c r="F176" s="187">
        <v>1756</v>
      </c>
      <c r="G176" t="s">
        <v>1349</v>
      </c>
      <c r="H176" s="71"/>
      <c r="I176" t="s">
        <v>466</v>
      </c>
      <c r="J176" s="187">
        <v>1</v>
      </c>
      <c r="K176" t="s">
        <v>1385</v>
      </c>
      <c r="L176" s="185"/>
      <c r="M176" s="188">
        <v>46203</v>
      </c>
      <c r="N176" s="71"/>
      <c r="Q176" s="71"/>
      <c r="R176" s="71"/>
      <c r="S176" t="s">
        <v>281</v>
      </c>
      <c r="T176" s="71"/>
    </row>
    <row r="177" spans="1:20" x14ac:dyDescent="0.3">
      <c r="A177" s="72">
        <f>IFERROR(VLOOKUP($G177,Conf!$B:$C,2,0),E177)</f>
        <v>2</v>
      </c>
      <c r="B177" s="72" t="str">
        <f ca="1">IF(D177="Inativo","Inativo",IFERROR(VLOOKUP($G177,Conf!$O:$Q,2,0),VLOOKUP($S177,Conf!$K:$M,2,0)))</f>
        <v>FRENTE DE CAIXA</v>
      </c>
      <c r="C177" s="72" t="str">
        <f ca="1">IF(D177="Inativo","Inativo",IFERROR(VLOOKUP($G177,Conf!$O:$Q,3,0),IFERROR(VLOOKUP($G177,Conf!$E:$F,2,0),VLOOKUP($S177,Conf!$K:$M,3,0))))</f>
        <v>OPERADOR CAIXA</v>
      </c>
      <c r="D177" s="72" t="str">
        <f ca="1">IFERROR(IF(TODAY()-K177&gt;365,"Inativo",IF(J177=2,"Férias",IF(J177=7,"Demitido","Afastamento"))),VLOOKUP(J177,Conf!$H:$I,2,0))</f>
        <v>Afastamento</v>
      </c>
      <c r="E177" s="187">
        <v>2</v>
      </c>
      <c r="F177" s="187">
        <v>899</v>
      </c>
      <c r="G177" t="s">
        <v>419</v>
      </c>
      <c r="H177" s="71"/>
      <c r="I177" t="s">
        <v>225</v>
      </c>
      <c r="J177" s="187">
        <v>3</v>
      </c>
      <c r="K177" t="s">
        <v>1293</v>
      </c>
      <c r="L177" s="185"/>
      <c r="M177" s="188">
        <v>43486</v>
      </c>
      <c r="N177" s="71"/>
      <c r="Q177" s="71"/>
      <c r="R177" s="71"/>
      <c r="S177" t="s">
        <v>281</v>
      </c>
      <c r="T177" s="71"/>
    </row>
    <row r="178" spans="1:20" x14ac:dyDescent="0.3">
      <c r="A178" s="72">
        <f>IFERROR(VLOOKUP($G178,Conf!$B:$C,2,0),E178)</f>
        <v>2</v>
      </c>
      <c r="B178" s="72" t="str">
        <f ca="1">IF(D178="Inativo","Inativo",IFERROR(VLOOKUP($G178,Conf!$O:$Q,2,0),VLOOKUP($S178,Conf!$K:$M,2,0)))</f>
        <v>FRENTE DE CAIXA</v>
      </c>
      <c r="C178" s="72" t="str">
        <f ca="1">IF(D178="Inativo","Inativo",IFERROR(VLOOKUP($G178,Conf!$O:$Q,3,0),IFERROR(VLOOKUP($G178,Conf!$E:$F,2,0),VLOOKUP($S178,Conf!$K:$M,3,0))))</f>
        <v>OPERADOR CAIXA</v>
      </c>
      <c r="D178" s="72" t="str">
        <f ca="1">IFERROR(IF(TODAY()-K178&gt;365,"Inativo",IF(J178=2,"Férias",IF(J178=7,"Demitido","Afastamento"))),VLOOKUP(J178,Conf!$H:$I,2,0))</f>
        <v>Ativos</v>
      </c>
      <c r="E178" s="187">
        <v>2</v>
      </c>
      <c r="F178" s="187">
        <v>1684</v>
      </c>
      <c r="G178" t="s">
        <v>420</v>
      </c>
      <c r="H178" s="71"/>
      <c r="I178" t="s">
        <v>220</v>
      </c>
      <c r="J178" s="187">
        <v>1</v>
      </c>
      <c r="K178" t="s">
        <v>1385</v>
      </c>
      <c r="L178" s="185"/>
      <c r="M178" s="188">
        <v>45974</v>
      </c>
      <c r="N178" s="71"/>
      <c r="Q178" s="71"/>
      <c r="R178" s="71"/>
      <c r="S178" t="s">
        <v>281</v>
      </c>
      <c r="T178" s="71"/>
    </row>
    <row r="179" spans="1:20" x14ac:dyDescent="0.3">
      <c r="A179" s="72">
        <f>IFERROR(VLOOKUP($G179,Conf!$B:$C,2,0),E179)</f>
        <v>2</v>
      </c>
      <c r="B179" s="72" t="str">
        <f ca="1">IF(D179="Inativo","Inativo",IFERROR(VLOOKUP($G179,Conf!$O:$Q,2,0),VLOOKUP($S179,Conf!$K:$M,2,0)))</f>
        <v>FRENTE DE CAIXA</v>
      </c>
      <c r="C179" s="72" t="str">
        <f ca="1">IF(D179="Inativo","Inativo",IFERROR(VLOOKUP($G179,Conf!$O:$Q,3,0),IFERROR(VLOOKUP($G179,Conf!$E:$F,2,0),VLOOKUP($S179,Conf!$K:$M,3,0))))</f>
        <v>OPERADOR CAIXA</v>
      </c>
      <c r="D179" s="72" t="str">
        <f ca="1">IFERROR(IF(TODAY()-K179&gt;365,"Inativo",IF(J179=2,"Férias",IF(J179=7,"Demitido","Afastamento"))),VLOOKUP(J179,Conf!$H:$I,2,0))</f>
        <v>Ativos</v>
      </c>
      <c r="E179" s="187">
        <v>2</v>
      </c>
      <c r="F179" s="187">
        <v>1768</v>
      </c>
      <c r="G179" t="s">
        <v>1485</v>
      </c>
      <c r="H179" s="71"/>
      <c r="I179" t="s">
        <v>220</v>
      </c>
      <c r="J179" s="187">
        <v>1</v>
      </c>
      <c r="K179" t="s">
        <v>1385</v>
      </c>
      <c r="L179" s="185"/>
      <c r="M179" s="188">
        <v>46253</v>
      </c>
      <c r="N179" s="71"/>
      <c r="Q179" s="71"/>
      <c r="R179" s="71"/>
      <c r="S179" t="s">
        <v>281</v>
      </c>
      <c r="T179" s="71"/>
    </row>
    <row r="180" spans="1:20" x14ac:dyDescent="0.3">
      <c r="A180" s="72">
        <f>IFERROR(VLOOKUP($G180,Conf!$B:$C,2,0),E180)</f>
        <v>2</v>
      </c>
      <c r="B180" s="72" t="str">
        <f ca="1">IF(D180="Inativo","Inativo",IFERROR(VLOOKUP($G180,Conf!$O:$Q,2,0),VLOOKUP($S180,Conf!$K:$M,2,0)))</f>
        <v>FRENTE DE CAIXA</v>
      </c>
      <c r="C180" s="72" t="str">
        <f ca="1">IF(D180="Inativo","Inativo",IFERROR(VLOOKUP($G180,Conf!$O:$Q,3,0),IFERROR(VLOOKUP($G180,Conf!$E:$F,2,0),VLOOKUP($S180,Conf!$K:$M,3,0))))</f>
        <v>OPERADOR CAIXA</v>
      </c>
      <c r="D180" s="72" t="str">
        <f ca="1">IFERROR(IF(TODAY()-K180&gt;365,"Inativo",IF(J180=2,"Férias",IF(J180=7,"Demitido","Afastamento"))),VLOOKUP(J180,Conf!$H:$I,2,0))</f>
        <v>Demitido</v>
      </c>
      <c r="E180" s="187">
        <v>2</v>
      </c>
      <c r="F180" s="187">
        <v>1770</v>
      </c>
      <c r="G180" t="s">
        <v>1500</v>
      </c>
      <c r="H180" s="71"/>
      <c r="I180" t="s">
        <v>220</v>
      </c>
      <c r="J180" s="187">
        <v>7</v>
      </c>
      <c r="K180" t="s">
        <v>1640</v>
      </c>
      <c r="L180" s="185"/>
      <c r="M180" s="188">
        <v>46258</v>
      </c>
      <c r="N180" s="71"/>
      <c r="Q180" s="71"/>
      <c r="R180" s="71"/>
      <c r="S180" t="s">
        <v>281</v>
      </c>
      <c r="T180" s="71"/>
    </row>
    <row r="181" spans="1:20" x14ac:dyDescent="0.3">
      <c r="A181" s="72">
        <f>IFERROR(VLOOKUP($G181,Conf!$B:$C,2,0),E181)</f>
        <v>2</v>
      </c>
      <c r="B181" s="72" t="str">
        <f ca="1">IF(D181="Inativo","Inativo",IFERROR(VLOOKUP($G181,Conf!$O:$Q,2,0),VLOOKUP($S181,Conf!$K:$M,2,0)))</f>
        <v>FRENTE DE CAIXA</v>
      </c>
      <c r="C181" s="72" t="str">
        <f ca="1">IF(D181="Inativo","Inativo",IFERROR(VLOOKUP($G181,Conf!$O:$Q,3,0),IFERROR(VLOOKUP($G181,Conf!$E:$F,2,0),VLOOKUP($S181,Conf!$K:$M,3,0))))</f>
        <v>OPERADOR CAIXA</v>
      </c>
      <c r="D181" s="72" t="str">
        <f ca="1">IFERROR(IF(TODAY()-K181&gt;365,"Inativo",IF(J181=2,"Férias",IF(J181=7,"Demitido","Afastamento"))),VLOOKUP(J181,Conf!$H:$I,2,0))</f>
        <v>Ativos</v>
      </c>
      <c r="E181" s="187">
        <v>2</v>
      </c>
      <c r="F181" s="187">
        <v>748</v>
      </c>
      <c r="G181" t="s">
        <v>421</v>
      </c>
      <c r="H181" s="71"/>
      <c r="I181" t="s">
        <v>225</v>
      </c>
      <c r="J181" s="187">
        <v>1</v>
      </c>
      <c r="K181" t="s">
        <v>1385</v>
      </c>
      <c r="L181" s="185"/>
      <c r="M181" s="188">
        <v>42618</v>
      </c>
      <c r="N181" s="71"/>
      <c r="Q181" s="71"/>
      <c r="R181" s="71"/>
      <c r="S181" t="s">
        <v>281</v>
      </c>
      <c r="T181" s="71"/>
    </row>
    <row r="182" spans="1:20" x14ac:dyDescent="0.3">
      <c r="A182" s="72">
        <f>IFERROR(VLOOKUP($G182,Conf!$B:$C,2,0),E182)</f>
        <v>2</v>
      </c>
      <c r="B182" s="72" t="str">
        <f ca="1">IF(D182="Inativo","Inativo",IFERROR(VLOOKUP($G182,Conf!$O:$Q,2,0),VLOOKUP($S182,Conf!$K:$M,2,0)))</f>
        <v>FRENTE DE CAIXA</v>
      </c>
      <c r="C182" s="72" t="str">
        <f ca="1">IF(D182="Inativo","Inativo",IFERROR(VLOOKUP($G182,Conf!$O:$Q,3,0),IFERROR(VLOOKUP($G182,Conf!$E:$F,2,0),VLOOKUP($S182,Conf!$K:$M,3,0))))</f>
        <v>OPERADOR CAIXA</v>
      </c>
      <c r="D182" s="72" t="str">
        <f ca="1">IFERROR(IF(TODAY()-K182&gt;365,"Inativo",IF(J182=2,"Férias",IF(J182=7,"Demitido","Afastamento"))),VLOOKUP(J182,Conf!$H:$I,2,0))</f>
        <v>Ativos</v>
      </c>
      <c r="E182" s="187">
        <v>2</v>
      </c>
      <c r="F182" s="187">
        <v>1731</v>
      </c>
      <c r="G182" t="s">
        <v>422</v>
      </c>
      <c r="H182" s="71"/>
      <c r="I182" t="s">
        <v>220</v>
      </c>
      <c r="J182" s="187">
        <v>1</v>
      </c>
      <c r="K182" t="s">
        <v>1385</v>
      </c>
      <c r="L182" s="185"/>
      <c r="M182" s="188">
        <v>46101</v>
      </c>
      <c r="N182" s="71"/>
      <c r="Q182" s="71"/>
      <c r="R182" s="71"/>
      <c r="S182" t="s">
        <v>281</v>
      </c>
      <c r="T182" s="71"/>
    </row>
    <row r="183" spans="1:20" x14ac:dyDescent="0.3">
      <c r="A183" s="72">
        <f>IFERROR(VLOOKUP($G183,Conf!$B:$C,2,0),E183)</f>
        <v>2</v>
      </c>
      <c r="B183" s="72" t="str">
        <f ca="1">IF(D183="Inativo","Inativo",IFERROR(VLOOKUP($G183,Conf!$O:$Q,2,0),VLOOKUP($S183,Conf!$K:$M,2,0)))</f>
        <v>FRIOS</v>
      </c>
      <c r="C183" s="72" t="str">
        <f ca="1">IF(D183="Inativo","Inativo",IFERROR(VLOOKUP($G183,Conf!$O:$Q,3,0),IFERROR(VLOOKUP($G183,Conf!$E:$F,2,0),VLOOKUP($S183,Conf!$K:$M,3,0))))</f>
        <v>ATENDENTE</v>
      </c>
      <c r="D183" s="72" t="str">
        <f ca="1">IFERROR(IF(TODAY()-K183&gt;365,"Inativo",IF(J183=2,"Férias",IF(J183=7,"Demitido","Afastamento"))),VLOOKUP(J183,Conf!$H:$I,2,0))</f>
        <v>Ativos</v>
      </c>
      <c r="E183" s="187">
        <v>2</v>
      </c>
      <c r="F183" s="187">
        <v>1477</v>
      </c>
      <c r="G183" t="s">
        <v>423</v>
      </c>
      <c r="H183" s="71"/>
      <c r="I183" t="s">
        <v>424</v>
      </c>
      <c r="J183" s="187">
        <v>1</v>
      </c>
      <c r="K183" t="s">
        <v>1385</v>
      </c>
      <c r="L183" s="185"/>
      <c r="M183" s="188">
        <v>45371</v>
      </c>
      <c r="N183" s="71"/>
      <c r="Q183" s="71"/>
      <c r="R183" s="71"/>
      <c r="S183" t="s">
        <v>306</v>
      </c>
      <c r="T183" s="71"/>
    </row>
    <row r="184" spans="1:20" x14ac:dyDescent="0.3">
      <c r="A184" s="72">
        <f>IFERROR(VLOOKUP($G184,Conf!$B:$C,2,0),E184)</f>
        <v>2</v>
      </c>
      <c r="B184" s="72" t="str">
        <f ca="1">IF(D184="Inativo","Inativo",IFERROR(VLOOKUP($G184,Conf!$O:$Q,2,0),VLOOKUP($S184,Conf!$K:$M,2,0)))</f>
        <v>FRIOS</v>
      </c>
      <c r="C184" s="72" t="str">
        <f ca="1">IF(D184="Inativo","Inativo",IFERROR(VLOOKUP($G184,Conf!$O:$Q,3,0),IFERROR(VLOOKUP($G184,Conf!$E:$F,2,0),VLOOKUP($S184,Conf!$K:$M,3,0))))</f>
        <v>ATENDENTE</v>
      </c>
      <c r="D184" s="72" t="str">
        <f ca="1">IFERROR(IF(TODAY()-K184&gt;365,"Inativo",IF(J184=2,"Férias",IF(J184=7,"Demitido","Afastamento"))),VLOOKUP(J184,Conf!$H:$I,2,0))</f>
        <v>Ativos</v>
      </c>
      <c r="E184" s="187">
        <v>2</v>
      </c>
      <c r="F184" s="187">
        <v>144</v>
      </c>
      <c r="G184" t="s">
        <v>1359</v>
      </c>
      <c r="H184" s="71"/>
      <c r="I184" t="s">
        <v>220</v>
      </c>
      <c r="J184" s="187">
        <v>1</v>
      </c>
      <c r="K184" t="s">
        <v>1385</v>
      </c>
      <c r="L184" s="185"/>
      <c r="M184" s="188">
        <v>45915</v>
      </c>
      <c r="N184" s="71"/>
      <c r="Q184" s="71"/>
      <c r="R184" s="71"/>
      <c r="S184" t="s">
        <v>425</v>
      </c>
      <c r="T184" s="71"/>
    </row>
    <row r="185" spans="1:20" x14ac:dyDescent="0.3">
      <c r="A185" s="72">
        <f>IFERROR(VLOOKUP($G185,Conf!$B:$C,2,0),E185)</f>
        <v>2</v>
      </c>
      <c r="B185" s="72" t="str">
        <f ca="1">IF(D185="Inativo","Inativo",IFERROR(VLOOKUP($G185,Conf!$O:$Q,2,0),VLOOKUP($S185,Conf!$K:$M,2,0)))</f>
        <v>FRIOS</v>
      </c>
      <c r="C185" s="72" t="str">
        <f ca="1">IF(D185="Inativo","Inativo",IFERROR(VLOOKUP($G185,Conf!$O:$Q,3,0),IFERROR(VLOOKUP($G185,Conf!$E:$F,2,0),VLOOKUP($S185,Conf!$K:$M,3,0))))</f>
        <v>ATENDENTE</v>
      </c>
      <c r="D185" s="72" t="str">
        <f ca="1">IFERROR(IF(TODAY()-K185&gt;365,"Inativo",IF(J185=2,"Férias",IF(J185=7,"Demitido","Afastamento"))),VLOOKUP(J185,Conf!$H:$I,2,0))</f>
        <v>Ativos</v>
      </c>
      <c r="E185" s="187">
        <v>2</v>
      </c>
      <c r="F185" s="187">
        <v>253</v>
      </c>
      <c r="G185" t="s">
        <v>1558</v>
      </c>
      <c r="H185" s="71"/>
      <c r="I185" t="s">
        <v>220</v>
      </c>
      <c r="J185" s="187">
        <v>1</v>
      </c>
      <c r="K185" t="s">
        <v>1385</v>
      </c>
      <c r="L185" s="185"/>
      <c r="M185" s="188">
        <v>46279</v>
      </c>
      <c r="N185" s="71"/>
      <c r="Q185" s="71"/>
      <c r="R185" s="71"/>
      <c r="S185" t="s">
        <v>425</v>
      </c>
      <c r="T185" s="71"/>
    </row>
    <row r="186" spans="1:20" x14ac:dyDescent="0.3">
      <c r="A186" s="72">
        <f>IFERROR(VLOOKUP($G186,Conf!$B:$C,2,0),E186)</f>
        <v>2</v>
      </c>
      <c r="B186" s="72" t="str">
        <f ca="1">IF(D186="Inativo","Inativo",IFERROR(VLOOKUP($G186,Conf!$O:$Q,2,0),VLOOKUP($S186,Conf!$K:$M,2,0)))</f>
        <v>FRIOS</v>
      </c>
      <c r="C186" s="72" t="str">
        <f ca="1">IF(D186="Inativo","Inativo",IFERROR(VLOOKUP($G186,Conf!$O:$Q,3,0),IFERROR(VLOOKUP($G186,Conf!$E:$F,2,0),VLOOKUP($S186,Conf!$K:$M,3,0))))</f>
        <v>ENCARREGADO</v>
      </c>
      <c r="D186" s="72" t="str">
        <f ca="1">IFERROR(IF(TODAY()-K186&gt;365,"Inativo",IF(J186=2,"Férias",IF(J186=7,"Demitido","Afastamento"))),VLOOKUP(J186,Conf!$H:$I,2,0))</f>
        <v>Ativos</v>
      </c>
      <c r="E186" s="187">
        <v>2</v>
      </c>
      <c r="F186" s="187">
        <v>1</v>
      </c>
      <c r="G186" t="s">
        <v>1358</v>
      </c>
      <c r="H186" s="71"/>
      <c r="I186" t="s">
        <v>220</v>
      </c>
      <c r="J186" s="187">
        <v>1</v>
      </c>
      <c r="K186" t="s">
        <v>1385</v>
      </c>
      <c r="L186" s="185"/>
      <c r="M186" s="188">
        <v>45446</v>
      </c>
      <c r="N186" s="71"/>
      <c r="Q186" s="71"/>
      <c r="R186" s="71"/>
      <c r="S186" t="s">
        <v>426</v>
      </c>
      <c r="T186" s="71"/>
    </row>
    <row r="187" spans="1:20" x14ac:dyDescent="0.3">
      <c r="A187" s="72">
        <f>IFERROR(VLOOKUP($G187,Conf!$B:$C,2,0),E187)</f>
        <v>2</v>
      </c>
      <c r="B187" s="72" t="str">
        <f ca="1">IF(D187="Inativo","Inativo",IFERROR(VLOOKUP($G187,Conf!$O:$Q,2,0),VLOOKUP($S187,Conf!$K:$M,2,0)))</f>
        <v>FRIOS</v>
      </c>
      <c r="C187" s="72" t="str">
        <f ca="1">IF(D187="Inativo","Inativo",IFERROR(VLOOKUP($G187,Conf!$O:$Q,3,0),IFERROR(VLOOKUP($G187,Conf!$E:$F,2,0),VLOOKUP($S187,Conf!$K:$M,3,0))))</f>
        <v>REPOSITOR</v>
      </c>
      <c r="D187" s="72" t="str">
        <f ca="1">IFERROR(IF(TODAY()-K187&gt;365,"Inativo",IF(J187=2,"Férias",IF(J187=7,"Demitido","Afastamento"))),VLOOKUP(J187,Conf!$H:$I,2,0))</f>
        <v>Ativos</v>
      </c>
      <c r="E187" s="187">
        <v>2</v>
      </c>
      <c r="F187" s="187">
        <v>226</v>
      </c>
      <c r="G187" t="s">
        <v>1368</v>
      </c>
      <c r="H187" s="71"/>
      <c r="I187" t="s">
        <v>220</v>
      </c>
      <c r="J187" s="187">
        <v>1</v>
      </c>
      <c r="K187" t="s">
        <v>1385</v>
      </c>
      <c r="L187" s="185"/>
      <c r="M187" s="188">
        <v>46204</v>
      </c>
      <c r="N187" s="71"/>
      <c r="O187" s="71"/>
      <c r="P187" s="71"/>
      <c r="Q187" s="71"/>
      <c r="R187" s="71"/>
      <c r="S187" t="s">
        <v>1369</v>
      </c>
      <c r="T187" s="71"/>
    </row>
    <row r="188" spans="1:20" x14ac:dyDescent="0.3">
      <c r="A188" s="72">
        <f>IFERROR(VLOOKUP($G188,Conf!$B:$C,2,0),E188)</f>
        <v>2</v>
      </c>
      <c r="B188" s="72" t="str">
        <f ca="1">IF(D188="Inativo","Inativo",IFERROR(VLOOKUP($G188,Conf!$O:$Q,2,0),VLOOKUP($S188,Conf!$K:$M,2,0)))</f>
        <v>GERÊNCIA</v>
      </c>
      <c r="C188" s="72" t="str">
        <f ca="1">IF(D188="Inativo","Inativo",IFERROR(VLOOKUP($G188,Conf!$O:$Q,3,0),IFERROR(VLOOKUP($G188,Conf!$E:$F,2,0),VLOOKUP($S188,Conf!$K:$M,3,0))))</f>
        <v>GERENTE</v>
      </c>
      <c r="D188" s="72" t="str">
        <f ca="1">IFERROR(IF(TODAY()-K188&gt;365,"Inativo",IF(J188=2,"Férias",IF(J188=7,"Demitido","Afastamento"))),VLOOKUP(J188,Conf!$H:$I,2,0))</f>
        <v>Ativos</v>
      </c>
      <c r="E188" s="187">
        <v>6</v>
      </c>
      <c r="F188" s="187">
        <v>2195</v>
      </c>
      <c r="G188" t="s">
        <v>449</v>
      </c>
      <c r="H188" s="71"/>
      <c r="I188" t="s">
        <v>350</v>
      </c>
      <c r="J188" s="187">
        <v>1</v>
      </c>
      <c r="K188" t="s">
        <v>1385</v>
      </c>
      <c r="L188" s="185"/>
      <c r="M188" s="188">
        <v>45659</v>
      </c>
      <c r="N188" s="71"/>
      <c r="O188" s="71"/>
      <c r="P188" s="71"/>
      <c r="Q188" s="71"/>
      <c r="R188" s="71"/>
      <c r="S188" t="s">
        <v>351</v>
      </c>
      <c r="T188" s="71"/>
    </row>
    <row r="189" spans="1:20" x14ac:dyDescent="0.3">
      <c r="A189" s="72">
        <f>IFERROR(VLOOKUP($G189,Conf!$B:$C,2,0),E189)</f>
        <v>2</v>
      </c>
      <c r="B189" s="72" t="str">
        <f ca="1">IF(D189="Inativo","Inativo",IFERROR(VLOOKUP($G189,Conf!$O:$Q,2,0),VLOOKUP($S189,Conf!$K:$M,2,0)))</f>
        <v>GERÊNCIA</v>
      </c>
      <c r="C189" s="72" t="str">
        <f ca="1">IF(D189="Inativo","Inativo",IFERROR(VLOOKUP($G189,Conf!$O:$Q,3,0),IFERROR(VLOOKUP($G189,Conf!$E:$F,2,0),VLOOKUP($S189,Conf!$K:$M,3,0))))</f>
        <v>SUBGERENTE</v>
      </c>
      <c r="D189" s="72" t="str">
        <f ca="1">IFERROR(IF(TODAY()-K189&gt;365,"Inativo",IF(J189=2,"Férias",IF(J189=7,"Demitido","Afastamento"))),VLOOKUP(J189,Conf!$H:$I,2,0))</f>
        <v>Ativos</v>
      </c>
      <c r="E189" s="187">
        <v>2</v>
      </c>
      <c r="F189" s="187">
        <v>83</v>
      </c>
      <c r="G189" t="s">
        <v>582</v>
      </c>
      <c r="H189" s="71"/>
      <c r="I189" t="s">
        <v>350</v>
      </c>
      <c r="J189" s="187">
        <v>1</v>
      </c>
      <c r="K189" t="s">
        <v>1385</v>
      </c>
      <c r="L189" s="185"/>
      <c r="M189" s="188">
        <v>45735</v>
      </c>
      <c r="N189" s="71"/>
      <c r="Q189" s="71"/>
      <c r="R189" s="71"/>
      <c r="S189" t="s">
        <v>583</v>
      </c>
      <c r="T189" s="71"/>
    </row>
    <row r="190" spans="1:20" x14ac:dyDescent="0.3">
      <c r="A190" s="72">
        <f>IFERROR(VLOOKUP($G190,Conf!$B:$C,2,0),E190)</f>
        <v>2</v>
      </c>
      <c r="B190" s="72" t="str">
        <f ca="1">IF(D190="Inativo","Inativo",IFERROR(VLOOKUP($G190,Conf!$O:$Q,2,0),VLOOKUP($S190,Conf!$K:$M,2,0)))</f>
        <v>HORTIFRUTI</v>
      </c>
      <c r="C190" s="72" t="str">
        <f ca="1">IF(D190="Inativo","Inativo",IFERROR(VLOOKUP($G190,Conf!$O:$Q,3,0),IFERROR(VLOOKUP($G190,Conf!$E:$F,2,0),VLOOKUP($S190,Conf!$K:$M,3,0))))</f>
        <v>ENCARREGADO</v>
      </c>
      <c r="D190" s="72" t="str">
        <f ca="1">IFERROR(IF(TODAY()-K190&gt;365,"Inativo",IF(J190=2,"Férias",IF(J190=7,"Demitido","Afastamento"))),VLOOKUP(J190,Conf!$H:$I,2,0))</f>
        <v>Ativos</v>
      </c>
      <c r="E190" s="187">
        <v>2</v>
      </c>
      <c r="F190" s="187">
        <v>252</v>
      </c>
      <c r="G190" t="s">
        <v>1552</v>
      </c>
      <c r="H190" s="71"/>
      <c r="I190" t="s">
        <v>222</v>
      </c>
      <c r="J190" s="187">
        <v>1</v>
      </c>
      <c r="K190" t="s">
        <v>1385</v>
      </c>
      <c r="L190" s="185"/>
      <c r="M190" s="188">
        <v>46276</v>
      </c>
      <c r="N190" s="71"/>
      <c r="O190" s="71"/>
      <c r="P190" s="71"/>
      <c r="Q190" s="71"/>
      <c r="R190" s="71"/>
      <c r="S190" t="s">
        <v>1557</v>
      </c>
      <c r="T190" s="71"/>
    </row>
    <row r="191" spans="1:20" x14ac:dyDescent="0.3">
      <c r="A191" s="72">
        <f>IFERROR(VLOOKUP($G191,Conf!$B:$C,2,0),E191)</f>
        <v>2</v>
      </c>
      <c r="B191" s="72" t="str">
        <f ca="1">IF(D191="Inativo","Inativo",IFERROR(VLOOKUP($G191,Conf!$O:$Q,2,0),VLOOKUP($S191,Conf!$K:$M,2,0)))</f>
        <v>HORTIFRUTI</v>
      </c>
      <c r="C191" s="72" t="str">
        <f ca="1">IF(D191="Inativo","Inativo",IFERROR(VLOOKUP($G191,Conf!$O:$Q,3,0),IFERROR(VLOOKUP($G191,Conf!$E:$F,2,0),VLOOKUP($S191,Conf!$K:$M,3,0))))</f>
        <v>REPOSITOR</v>
      </c>
      <c r="D191" s="72" t="str">
        <f ca="1">IFERROR(IF(TODAY()-K191&gt;365,"Inativo",IF(J191=2,"Férias",IF(J191=7,"Demitido","Afastamento"))),VLOOKUP(J191,Conf!$H:$I,2,0))</f>
        <v>Ativos</v>
      </c>
      <c r="E191" s="187">
        <v>2</v>
      </c>
      <c r="F191" s="187">
        <v>43</v>
      </c>
      <c r="G191" t="s">
        <v>1342</v>
      </c>
      <c r="H191" s="71"/>
      <c r="I191" t="s">
        <v>319</v>
      </c>
      <c r="J191" s="187">
        <v>1</v>
      </c>
      <c r="K191" t="s">
        <v>1385</v>
      </c>
      <c r="L191" s="185"/>
      <c r="M191" s="188">
        <v>45607</v>
      </c>
      <c r="N191" s="71"/>
      <c r="Q191" s="71"/>
      <c r="R191" s="71"/>
      <c r="S191" t="s">
        <v>430</v>
      </c>
      <c r="T191" s="71"/>
    </row>
    <row r="192" spans="1:20" x14ac:dyDescent="0.3">
      <c r="A192" s="72">
        <f>IFERROR(VLOOKUP($G192,Conf!$B:$C,2,0),E192)</f>
        <v>2</v>
      </c>
      <c r="B192" s="72" t="str">
        <f ca="1">IF(D192="Inativo","Inativo",IFERROR(VLOOKUP($G192,Conf!$O:$Q,2,0),VLOOKUP($S192,Conf!$K:$M,2,0)))</f>
        <v>HORTIFRUTI</v>
      </c>
      <c r="C192" s="72" t="str">
        <f ca="1">IF(D192="Inativo","Inativo",IFERROR(VLOOKUP($G192,Conf!$O:$Q,3,0),IFERROR(VLOOKUP($G192,Conf!$E:$F,2,0),VLOOKUP($S192,Conf!$K:$M,3,0))))</f>
        <v>REPOSITOR</v>
      </c>
      <c r="D192" s="72" t="str">
        <f ca="1">IFERROR(IF(TODAY()-K192&gt;365,"Inativo",IF(J192=2,"Férias",IF(J192=7,"Demitido","Afastamento"))),VLOOKUP(J192,Conf!$H:$I,2,0))</f>
        <v>Ativos</v>
      </c>
      <c r="E192" s="187">
        <v>2</v>
      </c>
      <c r="F192" s="187">
        <v>245</v>
      </c>
      <c r="G192" t="s">
        <v>1502</v>
      </c>
      <c r="H192" s="71"/>
      <c r="I192" t="s">
        <v>220</v>
      </c>
      <c r="J192" s="187">
        <v>1</v>
      </c>
      <c r="K192" t="s">
        <v>1385</v>
      </c>
      <c r="L192" s="185"/>
      <c r="M192" s="188">
        <v>46260</v>
      </c>
      <c r="N192" s="71"/>
      <c r="O192" s="71"/>
      <c r="P192" s="71"/>
      <c r="Q192" s="71"/>
      <c r="R192" s="71"/>
      <c r="S192" t="s">
        <v>430</v>
      </c>
      <c r="T192" s="71"/>
    </row>
    <row r="193" spans="1:20" x14ac:dyDescent="0.3">
      <c r="A193" s="72">
        <f>IFERROR(VLOOKUP($G193,Conf!$B:$C,2,0),E193)</f>
        <v>2</v>
      </c>
      <c r="B193" s="72" t="str">
        <f ca="1">IF(D193="Inativo","Inativo",IFERROR(VLOOKUP($G193,Conf!$O:$Q,2,0),VLOOKUP($S193,Conf!$K:$M,2,0)))</f>
        <v>HORTIFRUTI</v>
      </c>
      <c r="C193" s="72" t="str">
        <f ca="1">IF(D193="Inativo","Inativo",IFERROR(VLOOKUP($G193,Conf!$O:$Q,3,0),IFERROR(VLOOKUP($G193,Conf!$E:$F,2,0),VLOOKUP($S193,Conf!$K:$M,3,0))))</f>
        <v>REPOSITOR</v>
      </c>
      <c r="D193" s="72" t="str">
        <f ca="1">IFERROR(IF(TODAY()-K193&gt;365,"Inativo",IF(J193=2,"Férias",IF(J193=7,"Demitido","Afastamento"))),VLOOKUP(J193,Conf!$H:$I,2,0))</f>
        <v>Ativos</v>
      </c>
      <c r="E193" s="187">
        <v>2</v>
      </c>
      <c r="F193" s="187">
        <v>254</v>
      </c>
      <c r="G193" t="s">
        <v>1567</v>
      </c>
      <c r="H193" s="71"/>
      <c r="I193" t="s">
        <v>222</v>
      </c>
      <c r="J193" s="187">
        <v>1</v>
      </c>
      <c r="K193" t="s">
        <v>1385</v>
      </c>
      <c r="L193" s="185"/>
      <c r="M193" s="188">
        <v>46280</v>
      </c>
      <c r="N193" s="71"/>
      <c r="Q193" s="71"/>
      <c r="R193" s="71"/>
      <c r="S193" t="s">
        <v>430</v>
      </c>
      <c r="T193" s="71"/>
    </row>
    <row r="194" spans="1:20" x14ac:dyDescent="0.3">
      <c r="A194" s="72">
        <f>IFERROR(VLOOKUP($G194,Conf!$B:$C,2,0),E194)</f>
        <v>2</v>
      </c>
      <c r="B194" s="72" t="str">
        <f ca="1">IF(D194="Inativo","Inativo",IFERROR(VLOOKUP($G194,Conf!$O:$Q,2,0),VLOOKUP($S194,Conf!$K:$M,2,0)))</f>
        <v>HORTIFRUTI</v>
      </c>
      <c r="C194" s="72" t="str">
        <f ca="1">IF(D194="Inativo","Inativo",IFERROR(VLOOKUP($G194,Conf!$O:$Q,3,0),IFERROR(VLOOKUP($G194,Conf!$E:$F,2,0),VLOOKUP($S194,Conf!$K:$M,3,0))))</f>
        <v>REPOSITOR</v>
      </c>
      <c r="D194" s="72" t="str">
        <f ca="1">IFERROR(IF(TODAY()-K194&gt;365,"Inativo",IF(J194=2,"Férias",IF(J194=7,"Demitido","Afastamento"))),VLOOKUP(J194,Conf!$H:$I,2,0))</f>
        <v>Ativos</v>
      </c>
      <c r="E194" s="187">
        <v>2</v>
      </c>
      <c r="F194" s="187">
        <v>237</v>
      </c>
      <c r="G194" t="s">
        <v>1450</v>
      </c>
      <c r="H194" s="71"/>
      <c r="I194" t="s">
        <v>222</v>
      </c>
      <c r="J194" s="187">
        <v>1</v>
      </c>
      <c r="K194" t="s">
        <v>1385</v>
      </c>
      <c r="L194" s="185"/>
      <c r="M194" s="188">
        <v>46238</v>
      </c>
      <c r="N194" s="71"/>
      <c r="O194" s="71"/>
      <c r="P194" s="71"/>
      <c r="Q194" s="71"/>
      <c r="R194" s="71"/>
      <c r="S194" t="s">
        <v>430</v>
      </c>
      <c r="T194" s="71"/>
    </row>
    <row r="195" spans="1:20" x14ac:dyDescent="0.3">
      <c r="A195" s="72">
        <f>IFERROR(VLOOKUP($G195,Conf!$B:$C,2,0),E195)</f>
        <v>2</v>
      </c>
      <c r="B195" s="72" t="str">
        <f ca="1">IF(D195="Inativo","Inativo",IFERROR(VLOOKUP($G195,Conf!$O:$Q,2,0),VLOOKUP($S195,Conf!$K:$M,2,0)))</f>
        <v>HORTIFRUTI</v>
      </c>
      <c r="C195" s="72" t="str">
        <f ca="1">IF(D195="Inativo","Inativo",IFERROR(VLOOKUP($G195,Conf!$O:$Q,3,0),IFERROR(VLOOKUP($G195,Conf!$E:$F,2,0),VLOOKUP($S195,Conf!$K:$M,3,0))))</f>
        <v>REPOSITOR</v>
      </c>
      <c r="D195" s="72" t="str">
        <f ca="1">IFERROR(IF(TODAY()-K195&gt;365,"Inativo",IF(J195=2,"Férias",IF(J195=7,"Demitido","Afastamento"))),VLOOKUP(J195,Conf!$H:$I,2,0))</f>
        <v>Demitido</v>
      </c>
      <c r="E195" s="187">
        <v>2</v>
      </c>
      <c r="F195" s="187">
        <v>228</v>
      </c>
      <c r="G195" t="s">
        <v>1395</v>
      </c>
      <c r="H195" s="71"/>
      <c r="I195" t="s">
        <v>220</v>
      </c>
      <c r="J195" s="187">
        <v>7</v>
      </c>
      <c r="K195" t="s">
        <v>1551</v>
      </c>
      <c r="L195" s="185"/>
      <c r="M195" s="188">
        <v>46204</v>
      </c>
      <c r="N195" s="71"/>
      <c r="O195" s="71"/>
      <c r="P195" s="71"/>
      <c r="Q195" s="71"/>
      <c r="R195" s="71"/>
      <c r="S195" t="s">
        <v>430</v>
      </c>
      <c r="T195" s="71"/>
    </row>
    <row r="196" spans="1:20" x14ac:dyDescent="0.3">
      <c r="A196" s="72">
        <f>IFERROR(VLOOKUP($G196,Conf!$B:$C,2,0),E196)</f>
        <v>2</v>
      </c>
      <c r="B196" s="72" t="str">
        <f ca="1">IF(D196="Inativo","Inativo",IFERROR(VLOOKUP($G196,Conf!$O:$Q,2,0),VLOOKUP($S196,Conf!$K:$M,2,0)))</f>
        <v>HORTIFRUTI</v>
      </c>
      <c r="C196" s="72" t="str">
        <f ca="1">IF(D196="Inativo","Inativo",IFERROR(VLOOKUP($G196,Conf!$O:$Q,3,0),IFERROR(VLOOKUP($G196,Conf!$E:$F,2,0),VLOOKUP($S196,Conf!$K:$M,3,0))))</f>
        <v>REPOSITOR</v>
      </c>
      <c r="D196" s="72" t="str">
        <f ca="1">IFERROR(IF(TODAY()-K196&gt;365,"Inativo",IF(J196=2,"Férias",IF(J196=7,"Demitido","Afastamento"))),VLOOKUP(J196,Conf!$H:$I,2,0))</f>
        <v>Demitido</v>
      </c>
      <c r="E196" s="187">
        <v>2</v>
      </c>
      <c r="F196" s="187">
        <v>200</v>
      </c>
      <c r="G196" t="s">
        <v>1343</v>
      </c>
      <c r="H196" s="71"/>
      <c r="I196" t="s">
        <v>773</v>
      </c>
      <c r="J196" s="187">
        <v>7</v>
      </c>
      <c r="K196" t="s">
        <v>1589</v>
      </c>
      <c r="L196" s="185"/>
      <c r="M196" s="188">
        <v>46093</v>
      </c>
      <c r="N196" s="71"/>
      <c r="Q196" s="71"/>
      <c r="R196" s="71"/>
      <c r="S196" t="s">
        <v>430</v>
      </c>
      <c r="T196" s="71"/>
    </row>
    <row r="197" spans="1:20" x14ac:dyDescent="0.3">
      <c r="A197" s="72">
        <f>IFERROR(VLOOKUP($G197,Conf!$B:$C,2,0),E197)</f>
        <v>2</v>
      </c>
      <c r="B197" s="72" t="str">
        <f ca="1">IF(D197="Inativo","Inativo",IFERROR(VLOOKUP($G197,Conf!$O:$Q,2,0),VLOOKUP($S197,Conf!$K:$M,2,0)))</f>
        <v>Inativo</v>
      </c>
      <c r="C197" s="72" t="str">
        <f ca="1">IF(D197="Inativo","Inativo",IFERROR(VLOOKUP($G197,Conf!$O:$Q,3,0),IFERROR(VLOOKUP($G197,Conf!$E:$F,2,0),VLOOKUP($S197,Conf!$K:$M,3,0))))</f>
        <v>Inativo</v>
      </c>
      <c r="D197" s="72" t="str">
        <f ca="1">IFERROR(IF(TODAY()-K197&gt;365,"Inativo",IF(J197=2,"Férias",IF(J197=7,"Demitido","Afastamento"))),VLOOKUP(J197,Conf!$H:$I,2,0))</f>
        <v>Inativo</v>
      </c>
      <c r="E197" s="187">
        <v>2</v>
      </c>
      <c r="F197" s="187">
        <v>665</v>
      </c>
      <c r="G197" t="s">
        <v>431</v>
      </c>
      <c r="H197" s="71"/>
      <c r="I197" t="s">
        <v>432</v>
      </c>
      <c r="J197" s="187">
        <v>3</v>
      </c>
      <c r="K197" t="s">
        <v>433</v>
      </c>
      <c r="L197" s="185"/>
      <c r="M197" s="188">
        <v>42156</v>
      </c>
      <c r="N197" s="71"/>
      <c r="Q197" s="71"/>
      <c r="R197" s="71"/>
      <c r="S197" t="s">
        <v>281</v>
      </c>
      <c r="T197" s="71"/>
    </row>
    <row r="198" spans="1:20" x14ac:dyDescent="0.3">
      <c r="A198" s="72">
        <f>IFERROR(VLOOKUP($G198,Conf!$B:$C,2,0),E198)</f>
        <v>2</v>
      </c>
      <c r="B198" s="72" t="str">
        <f ca="1">IF(D198="Inativo","Inativo",IFERROR(VLOOKUP($G198,Conf!$O:$Q,2,0),VLOOKUP($S198,Conf!$K:$M,2,0)))</f>
        <v>Inativo</v>
      </c>
      <c r="C198" s="72" t="str">
        <f ca="1">IF(D198="Inativo","Inativo",IFERROR(VLOOKUP($G198,Conf!$O:$Q,3,0),IFERROR(VLOOKUP($G198,Conf!$E:$F,2,0),VLOOKUP($S198,Conf!$K:$M,3,0))))</f>
        <v>Inativo</v>
      </c>
      <c r="D198" s="72" t="str">
        <f ca="1">IFERROR(IF(TODAY()-K198&gt;365,"Inativo",IF(J198=2,"Férias",IF(J198=7,"Demitido","Afastamento"))),VLOOKUP(J198,Conf!$H:$I,2,0))</f>
        <v>Inativo</v>
      </c>
      <c r="E198" s="187">
        <v>2</v>
      </c>
      <c r="F198" s="187">
        <v>685</v>
      </c>
      <c r="G198" t="s">
        <v>434</v>
      </c>
      <c r="H198" s="71"/>
      <c r="I198" t="s">
        <v>435</v>
      </c>
      <c r="J198" s="187">
        <v>3</v>
      </c>
      <c r="K198" t="s">
        <v>436</v>
      </c>
      <c r="L198" s="185"/>
      <c r="M198" s="188">
        <v>42257</v>
      </c>
      <c r="N198" s="71"/>
      <c r="Q198" s="71"/>
      <c r="R198" s="71"/>
      <c r="S198" t="s">
        <v>437</v>
      </c>
      <c r="T198" s="71"/>
    </row>
    <row r="199" spans="1:20" x14ac:dyDescent="0.3">
      <c r="A199" s="72">
        <f>IFERROR(VLOOKUP($G199,Conf!$B:$C,2,0),E199)</f>
        <v>2</v>
      </c>
      <c r="B199" s="72" t="str">
        <f ca="1">IF(D199="Inativo","Inativo",IFERROR(VLOOKUP($G199,Conf!$O:$Q,2,0),VLOOKUP($S199,Conf!$K:$M,2,0)))</f>
        <v>LOJA</v>
      </c>
      <c r="C199" s="72" t="str">
        <f ca="1">IF(D199="Inativo","Inativo",IFERROR(VLOOKUP($G199,Conf!$O:$Q,3,0),IFERROR(VLOOKUP($G199,Conf!$E:$F,2,0),VLOOKUP($S199,Conf!$K:$M,3,0))))</f>
        <v>CARTAZISTA</v>
      </c>
      <c r="D199" s="72" t="str">
        <f ca="1">IFERROR(IF(TODAY()-K199&gt;365,"Inativo",IF(J199=2,"Férias",IF(J199=7,"Demitido","Afastamento"))),VLOOKUP(J199,Conf!$H:$I,2,0))</f>
        <v>Ativos</v>
      </c>
      <c r="E199" s="187">
        <v>2</v>
      </c>
      <c r="F199" s="187">
        <v>1620</v>
      </c>
      <c r="G199" t="s">
        <v>414</v>
      </c>
      <c r="H199" s="71"/>
      <c r="I199" t="s">
        <v>466</v>
      </c>
      <c r="J199" s="187">
        <v>1</v>
      </c>
      <c r="K199" t="s">
        <v>1385</v>
      </c>
      <c r="L199" s="185"/>
      <c r="M199" s="188">
        <v>45758</v>
      </c>
      <c r="N199" s="71"/>
      <c r="O199" s="71"/>
      <c r="P199" s="71"/>
      <c r="Q199" s="71"/>
      <c r="R199" s="71"/>
      <c r="S199" t="s">
        <v>346</v>
      </c>
      <c r="T199" s="71"/>
    </row>
    <row r="200" spans="1:20" x14ac:dyDescent="0.3">
      <c r="A200" s="72">
        <f>IFERROR(VLOOKUP($G200,Conf!$B:$C,2,0),E200)</f>
        <v>2</v>
      </c>
      <c r="B200" s="72" t="str">
        <f ca="1">IF(D200="Inativo","Inativo",IFERROR(VLOOKUP($G200,Conf!$O:$Q,2,0),VLOOKUP($S200,Conf!$K:$M,2,0)))</f>
        <v>LOJA</v>
      </c>
      <c r="C200" s="72" t="str">
        <f ca="1">IF(D200="Inativo","Inativo",IFERROR(VLOOKUP($G200,Conf!$O:$Q,3,0),IFERROR(VLOOKUP($G200,Conf!$E:$F,2,0),VLOOKUP($S200,Conf!$K:$M,3,0))))</f>
        <v>ENCARREGADO</v>
      </c>
      <c r="D200" s="72" t="str">
        <f ca="1">IFERROR(IF(TODAY()-K200&gt;365,"Inativo",IF(J200=2,"Férias",IF(J200=7,"Demitido","Afastamento"))),VLOOKUP(J200,Conf!$H:$I,2,0))</f>
        <v>Ativos</v>
      </c>
      <c r="E200" s="187">
        <v>2</v>
      </c>
      <c r="F200" s="187">
        <v>1723</v>
      </c>
      <c r="G200" t="s">
        <v>427</v>
      </c>
      <c r="H200" s="71"/>
      <c r="I200" t="s">
        <v>220</v>
      </c>
      <c r="J200" s="187">
        <v>1</v>
      </c>
      <c r="K200" t="s">
        <v>1385</v>
      </c>
      <c r="L200" s="185"/>
      <c r="M200" s="188">
        <v>46094</v>
      </c>
      <c r="N200" s="71"/>
      <c r="Q200" s="71"/>
      <c r="R200" s="71"/>
      <c r="S200" t="s">
        <v>348</v>
      </c>
      <c r="T200" s="71"/>
    </row>
    <row r="201" spans="1:20" x14ac:dyDescent="0.3">
      <c r="A201" s="72">
        <f>IFERROR(VLOOKUP($G201,Conf!$B:$C,2,0),E201)</f>
        <v>2</v>
      </c>
      <c r="B201" s="72" t="str">
        <f ca="1">IF(D201="Inativo","Inativo",IFERROR(VLOOKUP($G201,Conf!$O:$Q,2,0),VLOOKUP($S201,Conf!$K:$M,2,0)))</f>
        <v>LOJA</v>
      </c>
      <c r="C201" s="72" t="str">
        <f ca="1">IF(D201="Inativo","Inativo",IFERROR(VLOOKUP($G201,Conf!$O:$Q,3,0),IFERROR(VLOOKUP($G201,Conf!$E:$F,2,0),VLOOKUP($S201,Conf!$K:$M,3,0))))</f>
        <v>REPOSITOR</v>
      </c>
      <c r="D201" s="72" t="str">
        <f ca="1">IFERROR(IF(TODAY()-K201&gt;365,"Inativo",IF(J201=2,"Férias",IF(J201=7,"Demitido","Afastamento"))),VLOOKUP(J201,Conf!$H:$I,2,0))</f>
        <v>Ativos</v>
      </c>
      <c r="E201" s="187">
        <v>2</v>
      </c>
      <c r="F201" s="187">
        <v>240</v>
      </c>
      <c r="G201" t="s">
        <v>1458</v>
      </c>
      <c r="H201" s="71"/>
      <c r="I201" t="s">
        <v>220</v>
      </c>
      <c r="J201" s="187">
        <v>1</v>
      </c>
      <c r="K201" t="s">
        <v>1385</v>
      </c>
      <c r="L201" s="185"/>
      <c r="M201" s="188">
        <v>46244</v>
      </c>
      <c r="N201" s="71"/>
      <c r="Q201" s="71"/>
      <c r="R201" s="71"/>
      <c r="S201" t="s">
        <v>450</v>
      </c>
      <c r="T201" s="71"/>
    </row>
    <row r="202" spans="1:20" x14ac:dyDescent="0.3">
      <c r="A202" s="72">
        <f>IFERROR(VLOOKUP($G202,Conf!$B:$C,2,0),E202)</f>
        <v>2</v>
      </c>
      <c r="B202" s="72" t="str">
        <f ca="1">IF(D202="Inativo","Inativo",IFERROR(VLOOKUP($G202,Conf!$O:$Q,2,0),VLOOKUP($S202,Conf!$K:$M,2,0)))</f>
        <v>LOJA</v>
      </c>
      <c r="C202" s="72" t="str">
        <f ca="1">IF(D202="Inativo","Inativo",IFERROR(VLOOKUP($G202,Conf!$O:$Q,3,0),IFERROR(VLOOKUP($G202,Conf!$E:$F,2,0),VLOOKUP($S202,Conf!$K:$M,3,0))))</f>
        <v>REPOSITOR</v>
      </c>
      <c r="D202" s="72" t="str">
        <f ca="1">IFERROR(IF(TODAY()-K202&gt;365,"Inativo",IF(J202=2,"Férias",IF(J202=7,"Demitido","Afastamento"))),VLOOKUP(J202,Conf!$H:$I,2,0))</f>
        <v>Demitido</v>
      </c>
      <c r="E202" s="187">
        <v>2</v>
      </c>
      <c r="F202" s="187">
        <v>255</v>
      </c>
      <c r="G202" t="s">
        <v>1568</v>
      </c>
      <c r="H202" s="71"/>
      <c r="I202" t="s">
        <v>357</v>
      </c>
      <c r="J202" s="187">
        <v>7</v>
      </c>
      <c r="K202" t="s">
        <v>1602</v>
      </c>
      <c r="L202" s="185"/>
      <c r="M202" s="188">
        <v>46281</v>
      </c>
      <c r="N202" s="71"/>
      <c r="Q202" s="71"/>
      <c r="R202" s="71"/>
      <c r="S202" t="s">
        <v>450</v>
      </c>
      <c r="T202" s="71"/>
    </row>
    <row r="203" spans="1:20" x14ac:dyDescent="0.3">
      <c r="A203" s="72">
        <f>IFERROR(VLOOKUP($G203,Conf!$B:$C,2,0),E203)</f>
        <v>2</v>
      </c>
      <c r="B203" s="72" t="str">
        <f ca="1">IF(D203="Inativo","Inativo",IFERROR(VLOOKUP($G203,Conf!$O:$Q,2,0),VLOOKUP($S203,Conf!$K:$M,2,0)))</f>
        <v>LOJA</v>
      </c>
      <c r="C203" s="72" t="str">
        <f ca="1">IF(D203="Inativo","Inativo",IFERROR(VLOOKUP($G203,Conf!$O:$Q,3,0),IFERROR(VLOOKUP($G203,Conf!$E:$F,2,0),VLOOKUP($S203,Conf!$K:$M,3,0))))</f>
        <v>REPOSITOR</v>
      </c>
      <c r="D203" s="72" t="str">
        <f ca="1">IFERROR(IF(TODAY()-K203&gt;365,"Inativo",IF(J203=2,"Férias",IF(J203=7,"Demitido","Afastamento"))),VLOOKUP(J203,Conf!$H:$I,2,0))</f>
        <v>Ativos</v>
      </c>
      <c r="E203" s="187">
        <v>2</v>
      </c>
      <c r="F203" s="187">
        <v>259</v>
      </c>
      <c r="G203" t="s">
        <v>1646</v>
      </c>
      <c r="H203" s="71"/>
      <c r="I203" t="s">
        <v>220</v>
      </c>
      <c r="J203" s="187">
        <v>1</v>
      </c>
      <c r="K203" t="s">
        <v>1385</v>
      </c>
      <c r="L203" s="185"/>
      <c r="M203" s="188">
        <v>46303</v>
      </c>
      <c r="N203" s="71"/>
      <c r="Q203" s="71"/>
      <c r="R203" s="71"/>
      <c r="S203" t="s">
        <v>450</v>
      </c>
      <c r="T203" s="71"/>
    </row>
    <row r="204" spans="1:20" x14ac:dyDescent="0.3">
      <c r="A204" s="72">
        <f>IFERROR(VLOOKUP($G204,Conf!$B:$C,2,0),E204)</f>
        <v>2</v>
      </c>
      <c r="B204" s="72" t="str">
        <f ca="1">IF(D204="Inativo","Inativo",IFERROR(VLOOKUP($G204,Conf!$O:$Q,2,0),VLOOKUP($S204,Conf!$K:$M,2,0)))</f>
        <v>LOJA</v>
      </c>
      <c r="C204" s="72" t="str">
        <f ca="1">IF(D204="Inativo","Inativo",IFERROR(VLOOKUP($G204,Conf!$O:$Q,3,0),IFERROR(VLOOKUP($G204,Conf!$E:$F,2,0),VLOOKUP($S204,Conf!$K:$M,3,0))))</f>
        <v>REPOSITOR</v>
      </c>
      <c r="D204" s="72" t="str">
        <f ca="1">IFERROR(IF(TODAY()-K204&gt;365,"Inativo",IF(J204=2,"Férias",IF(J204=7,"Demitido","Afastamento"))),VLOOKUP(J204,Conf!$H:$I,2,0))</f>
        <v>Ativos</v>
      </c>
      <c r="E204" s="187">
        <v>2</v>
      </c>
      <c r="F204" s="187">
        <v>247</v>
      </c>
      <c r="G204" t="s">
        <v>1517</v>
      </c>
      <c r="H204" s="71"/>
      <c r="I204" t="s">
        <v>222</v>
      </c>
      <c r="J204" s="187">
        <v>1</v>
      </c>
      <c r="K204" t="s">
        <v>1385</v>
      </c>
      <c r="L204" s="185"/>
      <c r="M204" s="188">
        <v>46266</v>
      </c>
      <c r="N204" s="71"/>
      <c r="Q204" s="71"/>
      <c r="R204" s="71"/>
      <c r="S204" t="s">
        <v>450</v>
      </c>
      <c r="T204" s="71"/>
    </row>
    <row r="205" spans="1:20" x14ac:dyDescent="0.3">
      <c r="A205" s="72">
        <f>IFERROR(VLOOKUP($G205,Conf!$B:$C,2,0),E205)</f>
        <v>2</v>
      </c>
      <c r="B205" s="72" t="str">
        <f ca="1">IF(D205="Inativo","Inativo",IFERROR(VLOOKUP($G205,Conf!$O:$Q,2,0),VLOOKUP($S205,Conf!$K:$M,2,0)))</f>
        <v>LOJA</v>
      </c>
      <c r="C205" s="72" t="str">
        <f ca="1">IF(D205="Inativo","Inativo",IFERROR(VLOOKUP($G205,Conf!$O:$Q,3,0),IFERROR(VLOOKUP($G205,Conf!$E:$F,2,0),VLOOKUP($S205,Conf!$K:$M,3,0))))</f>
        <v>REPOSITOR</v>
      </c>
      <c r="D205" s="72" t="str">
        <f ca="1">IFERROR(IF(TODAY()-K205&gt;365,"Inativo",IF(J205=2,"Férias",IF(J205=7,"Demitido","Afastamento"))),VLOOKUP(J205,Conf!$H:$I,2,0))</f>
        <v>Demitido</v>
      </c>
      <c r="E205" s="187">
        <v>2</v>
      </c>
      <c r="F205" s="187">
        <v>225</v>
      </c>
      <c r="G205" t="s">
        <v>1367</v>
      </c>
      <c r="H205" s="71"/>
      <c r="I205" t="s">
        <v>220</v>
      </c>
      <c r="J205" s="187">
        <v>7</v>
      </c>
      <c r="K205" t="s">
        <v>1600</v>
      </c>
      <c r="L205" s="185"/>
      <c r="M205" s="188">
        <v>46196</v>
      </c>
      <c r="N205" s="71"/>
      <c r="O205" s="71"/>
      <c r="P205" s="71"/>
      <c r="Q205" s="71"/>
      <c r="R205" s="71"/>
      <c r="S205" t="s">
        <v>450</v>
      </c>
      <c r="T205" s="71"/>
    </row>
    <row r="206" spans="1:20" x14ac:dyDescent="0.3">
      <c r="A206" s="72">
        <f>IFERROR(VLOOKUP($G206,Conf!$B:$C,2,0),E206)</f>
        <v>2</v>
      </c>
      <c r="B206" s="72" t="str">
        <f ca="1">IF(D206="Inativo","Inativo",IFERROR(VLOOKUP($G206,Conf!$O:$Q,2,0),VLOOKUP($S206,Conf!$K:$M,2,0)))</f>
        <v>LOJA</v>
      </c>
      <c r="C206" s="72" t="str">
        <f ca="1">IF(D206="Inativo","Inativo",IFERROR(VLOOKUP($G206,Conf!$O:$Q,3,0),IFERROR(VLOOKUP($G206,Conf!$E:$F,2,0),VLOOKUP($S206,Conf!$K:$M,3,0))))</f>
        <v>REPOSITOR</v>
      </c>
      <c r="D206" s="72" t="str">
        <f ca="1">IFERROR(IF(TODAY()-K206&gt;365,"Inativo",IF(J206=2,"Férias",IF(J206=7,"Demitido","Afastamento"))),VLOOKUP(J206,Conf!$H:$I,2,0))</f>
        <v>Demitido</v>
      </c>
      <c r="E206" s="187">
        <v>2</v>
      </c>
      <c r="F206" s="187">
        <v>222</v>
      </c>
      <c r="G206" t="s">
        <v>1340</v>
      </c>
      <c r="H206" s="71"/>
      <c r="I206" t="s">
        <v>220</v>
      </c>
      <c r="J206" s="187">
        <v>7</v>
      </c>
      <c r="K206" t="s">
        <v>1549</v>
      </c>
      <c r="L206" s="185"/>
      <c r="M206" s="188">
        <v>46195</v>
      </c>
      <c r="N206" s="71"/>
      <c r="Q206" s="71"/>
      <c r="R206" s="71"/>
      <c r="S206" t="s">
        <v>450</v>
      </c>
      <c r="T206" s="71"/>
    </row>
    <row r="207" spans="1:20" x14ac:dyDescent="0.3">
      <c r="A207" s="72">
        <f>IFERROR(VLOOKUP($G207,Conf!$B:$C,2,0),E207)</f>
        <v>2</v>
      </c>
      <c r="B207" s="72" t="str">
        <f ca="1">IF(D207="Inativo","Inativo",IFERROR(VLOOKUP($G207,Conf!$O:$Q,2,0),VLOOKUP($S207,Conf!$K:$M,2,0)))</f>
        <v>LOJA</v>
      </c>
      <c r="C207" s="72" t="str">
        <f ca="1">IF(D207="Inativo","Inativo",IFERROR(VLOOKUP($G207,Conf!$O:$Q,3,0),IFERROR(VLOOKUP($G207,Conf!$E:$F,2,0),VLOOKUP($S207,Conf!$K:$M,3,0))))</f>
        <v>REPOSITOR</v>
      </c>
      <c r="D207" s="72" t="str">
        <f ca="1">IFERROR(IF(TODAY()-K207&gt;365,"Inativo",IF(J207=2,"Férias",IF(J207=7,"Demitido","Afastamento"))),VLOOKUP(J207,Conf!$H:$I,2,0))</f>
        <v>Ativos</v>
      </c>
      <c r="E207" s="187">
        <v>2</v>
      </c>
      <c r="F207" s="187">
        <v>251</v>
      </c>
      <c r="G207" t="s">
        <v>1539</v>
      </c>
      <c r="H207" s="71"/>
      <c r="I207" t="s">
        <v>303</v>
      </c>
      <c r="J207" s="187">
        <v>1</v>
      </c>
      <c r="K207" t="s">
        <v>1385</v>
      </c>
      <c r="L207" s="185"/>
      <c r="M207" s="188">
        <v>46269</v>
      </c>
      <c r="N207" s="71"/>
      <c r="Q207" s="71"/>
      <c r="R207" s="71"/>
      <c r="S207" t="s">
        <v>450</v>
      </c>
      <c r="T207" s="71"/>
    </row>
    <row r="208" spans="1:20" x14ac:dyDescent="0.3">
      <c r="A208" s="72">
        <f>IFERROR(VLOOKUP($G208,Conf!$B:$C,2,0),E208)</f>
        <v>2</v>
      </c>
      <c r="B208" s="72" t="str">
        <f ca="1">IF(D208="Inativo","Inativo",IFERROR(VLOOKUP($G208,Conf!$O:$Q,2,0),VLOOKUP($S208,Conf!$K:$M,2,0)))</f>
        <v>LOJA</v>
      </c>
      <c r="C208" s="72" t="str">
        <f ca="1">IF(D208="Inativo","Inativo",IFERROR(VLOOKUP($G208,Conf!$O:$Q,3,0),IFERROR(VLOOKUP($G208,Conf!$E:$F,2,0),VLOOKUP($S208,Conf!$K:$M,3,0))))</f>
        <v>REPOSITOR</v>
      </c>
      <c r="D208" s="72" t="str">
        <f ca="1">IFERROR(IF(TODAY()-K208&gt;365,"Inativo",IF(J208=2,"Férias",IF(J208=7,"Demitido","Afastamento"))),VLOOKUP(J208,Conf!$H:$I,2,0))</f>
        <v>Ativos</v>
      </c>
      <c r="E208" s="187">
        <v>2</v>
      </c>
      <c r="F208" s="187">
        <v>258</v>
      </c>
      <c r="G208" t="s">
        <v>1617</v>
      </c>
      <c r="H208" s="71"/>
      <c r="I208" t="s">
        <v>301</v>
      </c>
      <c r="J208" s="187">
        <v>1</v>
      </c>
      <c r="K208" t="s">
        <v>1385</v>
      </c>
      <c r="L208" s="185"/>
      <c r="M208" s="188">
        <v>46296</v>
      </c>
      <c r="N208" s="71"/>
      <c r="Q208" s="71"/>
      <c r="R208" s="71"/>
      <c r="S208" t="s">
        <v>450</v>
      </c>
      <c r="T208" s="71"/>
    </row>
    <row r="209" spans="1:20" x14ac:dyDescent="0.3">
      <c r="A209" s="72">
        <f>IFERROR(VLOOKUP($G209,Conf!$B:$C,2,0),E209)</f>
        <v>2</v>
      </c>
      <c r="B209" s="72" t="str">
        <f ca="1">IF(D209="Inativo","Inativo",IFERROR(VLOOKUP($G209,Conf!$O:$Q,2,0),VLOOKUP($S209,Conf!$K:$M,2,0)))</f>
        <v>PADARIA</v>
      </c>
      <c r="C209" s="72" t="str">
        <f ca="1">IF(D209="Inativo","Inativo",IFERROR(VLOOKUP($G209,Conf!$O:$Q,3,0),IFERROR(VLOOKUP($G209,Conf!$E:$F,2,0),VLOOKUP($S209,Conf!$K:$M,3,0))))</f>
        <v>ATENDENTE</v>
      </c>
      <c r="D209" s="72" t="str">
        <f ca="1">IFERROR(IF(TODAY()-K209&gt;365,"Inativo",IF(J209=2,"Férias",IF(J209=7,"Demitido","Afastamento"))),VLOOKUP(J209,Conf!$H:$I,2,0))</f>
        <v>Ativos</v>
      </c>
      <c r="E209" s="187">
        <v>2</v>
      </c>
      <c r="F209" s="187">
        <v>256</v>
      </c>
      <c r="G209" t="s">
        <v>1569</v>
      </c>
      <c r="H209" s="71"/>
      <c r="I209" t="s">
        <v>303</v>
      </c>
      <c r="J209" s="187">
        <v>1</v>
      </c>
      <c r="K209" t="s">
        <v>1385</v>
      </c>
      <c r="L209" s="185"/>
      <c r="M209" s="188">
        <v>46281</v>
      </c>
      <c r="N209" s="71"/>
      <c r="O209" s="71"/>
      <c r="P209" s="71"/>
      <c r="Q209" s="71"/>
      <c r="R209" s="71"/>
      <c r="S209" t="s">
        <v>459</v>
      </c>
      <c r="T209" s="71"/>
    </row>
    <row r="210" spans="1:20" x14ac:dyDescent="0.3">
      <c r="A210" s="72">
        <f>IFERROR(VLOOKUP($G210,Conf!$B:$C,2,0),E210)</f>
        <v>2</v>
      </c>
      <c r="B210" s="72" t="str">
        <f ca="1">IF(D210="Inativo","Inativo",IFERROR(VLOOKUP($G210,Conf!$O:$Q,2,0),VLOOKUP($S210,Conf!$K:$M,2,0)))</f>
        <v>PADARIA</v>
      </c>
      <c r="C210" s="72" t="str">
        <f ca="1">IF(D210="Inativo","Inativo",IFERROR(VLOOKUP($G210,Conf!$O:$Q,3,0),IFERROR(VLOOKUP($G210,Conf!$E:$F,2,0),VLOOKUP($S210,Conf!$K:$M,3,0))))</f>
        <v>ATENDENTE</v>
      </c>
      <c r="D210" s="72" t="str">
        <f ca="1">IFERROR(IF(TODAY()-K210&gt;365,"Inativo",IF(J210=2,"Férias",IF(J210=7,"Demitido","Afastamento"))),VLOOKUP(J210,Conf!$H:$I,2,0))</f>
        <v>Afastamento</v>
      </c>
      <c r="E210" s="187">
        <v>2</v>
      </c>
      <c r="F210" s="187">
        <v>232</v>
      </c>
      <c r="G210" t="s">
        <v>456</v>
      </c>
      <c r="H210" s="71"/>
      <c r="I210" t="s">
        <v>225</v>
      </c>
      <c r="J210" s="187">
        <v>3</v>
      </c>
      <c r="K210" t="s">
        <v>1401</v>
      </c>
      <c r="L210" s="185"/>
      <c r="M210" s="188">
        <v>40378</v>
      </c>
      <c r="N210" s="71"/>
      <c r="Q210" s="71"/>
      <c r="R210" s="71"/>
      <c r="S210" t="s">
        <v>457</v>
      </c>
      <c r="T210" s="71"/>
    </row>
    <row r="211" spans="1:20" x14ac:dyDescent="0.3">
      <c r="A211" s="72">
        <f>IFERROR(VLOOKUP($G211,Conf!$B:$C,2,0),E211)</f>
        <v>2</v>
      </c>
      <c r="B211" s="72" t="str">
        <f ca="1">IF(D211="Inativo","Inativo",IFERROR(VLOOKUP($G211,Conf!$O:$Q,2,0),VLOOKUP($S211,Conf!$K:$M,2,0)))</f>
        <v>PADARIA</v>
      </c>
      <c r="C211" s="72" t="str">
        <f ca="1">IF(D211="Inativo","Inativo",IFERROR(VLOOKUP($G211,Conf!$O:$Q,3,0),IFERROR(VLOOKUP($G211,Conf!$E:$F,2,0),VLOOKUP($S211,Conf!$K:$M,3,0))))</f>
        <v>ATENDENTE</v>
      </c>
      <c r="D211" s="72" t="str">
        <f ca="1">IFERROR(IF(TODAY()-K211&gt;365,"Inativo",IF(J211=2,"Férias",IF(J211=7,"Demitido","Afastamento"))),VLOOKUP(J211,Conf!$H:$I,2,0))</f>
        <v>Demitido</v>
      </c>
      <c r="E211" s="187">
        <v>2</v>
      </c>
      <c r="F211" s="187">
        <v>223</v>
      </c>
      <c r="G211" t="s">
        <v>1350</v>
      </c>
      <c r="H211" s="71"/>
      <c r="I211" t="s">
        <v>357</v>
      </c>
      <c r="J211" s="187">
        <v>7</v>
      </c>
      <c r="K211" t="s">
        <v>1549</v>
      </c>
      <c r="L211" s="185"/>
      <c r="M211" s="188">
        <v>46195</v>
      </c>
      <c r="N211" s="71"/>
      <c r="Q211" s="71"/>
      <c r="R211" s="71"/>
      <c r="S211" t="s">
        <v>459</v>
      </c>
      <c r="T211" s="71"/>
    </row>
    <row r="212" spans="1:20" x14ac:dyDescent="0.3">
      <c r="A212" s="72">
        <f>IFERROR(VLOOKUP($G212,Conf!$B:$C,2,0),E212)</f>
        <v>2</v>
      </c>
      <c r="B212" s="72" t="str">
        <f ca="1">IF(D212="Inativo","Inativo",IFERROR(VLOOKUP($G212,Conf!$O:$Q,2,0),VLOOKUP($S212,Conf!$K:$M,2,0)))</f>
        <v>PADARIA</v>
      </c>
      <c r="C212" s="72" t="str">
        <f ca="1">IF(D212="Inativo","Inativo",IFERROR(VLOOKUP($G212,Conf!$O:$Q,3,0),IFERROR(VLOOKUP($G212,Conf!$E:$F,2,0),VLOOKUP($S212,Conf!$K:$M,3,0))))</f>
        <v>ATENDENTE</v>
      </c>
      <c r="D212" s="72" t="str">
        <f ca="1">IFERROR(IF(TODAY()-K212&gt;365,"Inativo",IF(J212=2,"Férias",IF(J212=7,"Demitido","Afastamento"))),VLOOKUP(J212,Conf!$H:$I,2,0))</f>
        <v>Ativos</v>
      </c>
      <c r="E212" s="187">
        <v>2</v>
      </c>
      <c r="F212" s="187">
        <v>242</v>
      </c>
      <c r="G212" t="s">
        <v>1463</v>
      </c>
      <c r="H212" s="71"/>
      <c r="I212" t="s">
        <v>220</v>
      </c>
      <c r="J212" s="187">
        <v>1</v>
      </c>
      <c r="K212" t="s">
        <v>1385</v>
      </c>
      <c r="L212" s="185"/>
      <c r="M212" s="188">
        <v>46248</v>
      </c>
      <c r="N212" s="71"/>
      <c r="O212" s="71"/>
      <c r="P212" s="71"/>
      <c r="Q212" s="71"/>
      <c r="R212" s="71"/>
      <c r="S212" t="s">
        <v>459</v>
      </c>
      <c r="T212" s="71"/>
    </row>
    <row r="213" spans="1:20" x14ac:dyDescent="0.3">
      <c r="A213" s="72">
        <f>IFERROR(VLOOKUP($G213,Conf!$B:$C,2,0),E213)</f>
        <v>2</v>
      </c>
      <c r="B213" s="72" t="str">
        <f ca="1">IF(D213="Inativo","Inativo",IFERROR(VLOOKUP($G213,Conf!$O:$Q,2,0),VLOOKUP($S213,Conf!$K:$M,2,0)))</f>
        <v>PADARIA</v>
      </c>
      <c r="C213" s="72" t="str">
        <f ca="1">IF(D213="Inativo","Inativo",IFERROR(VLOOKUP($G213,Conf!$O:$Q,3,0),IFERROR(VLOOKUP($G213,Conf!$E:$F,2,0),VLOOKUP($S213,Conf!$K:$M,3,0))))</f>
        <v>ATENDENTE</v>
      </c>
      <c r="D213" s="72" t="str">
        <f ca="1">IFERROR(IF(TODAY()-K213&gt;365,"Inativo",IF(J213=2,"Férias",IF(J213=7,"Demitido","Afastamento"))),VLOOKUP(J213,Conf!$H:$I,2,0))</f>
        <v>Ativos</v>
      </c>
      <c r="E213" s="187">
        <v>2</v>
      </c>
      <c r="F213" s="187">
        <v>257</v>
      </c>
      <c r="G213" t="s">
        <v>1570</v>
      </c>
      <c r="H213" s="71"/>
      <c r="I213" t="s">
        <v>220</v>
      </c>
      <c r="J213" s="187">
        <v>1</v>
      </c>
      <c r="K213" t="s">
        <v>1385</v>
      </c>
      <c r="L213" s="185"/>
      <c r="M213" s="188">
        <v>46281</v>
      </c>
      <c r="N213" s="71"/>
      <c r="Q213" s="71"/>
      <c r="R213" s="71"/>
      <c r="S213" t="s">
        <v>459</v>
      </c>
      <c r="T213" s="71"/>
    </row>
    <row r="214" spans="1:20" x14ac:dyDescent="0.3">
      <c r="A214" s="72">
        <f>IFERROR(VLOOKUP($G214,Conf!$B:$C,2,0),E214)</f>
        <v>2</v>
      </c>
      <c r="B214" s="72" t="str">
        <f ca="1">IF(D214="Inativo","Inativo",IFERROR(VLOOKUP($G214,Conf!$O:$Q,2,0),VLOOKUP($S214,Conf!$K:$M,2,0)))</f>
        <v>PADARIA</v>
      </c>
      <c r="C214" s="72" t="str">
        <f ca="1">IF(D214="Inativo","Inativo",IFERROR(VLOOKUP($G214,Conf!$O:$Q,3,0),IFERROR(VLOOKUP($G214,Conf!$E:$F,2,0),VLOOKUP($S214,Conf!$K:$M,3,0))))</f>
        <v>ATENDENTE</v>
      </c>
      <c r="D214" s="72" t="str">
        <f ca="1">IFERROR(IF(TODAY()-K214&gt;365,"Inativo",IF(J214=2,"Férias",IF(J214=7,"Demitido","Afastamento"))),VLOOKUP(J214,Conf!$H:$I,2,0))</f>
        <v>Ativos</v>
      </c>
      <c r="E214" s="187">
        <v>2</v>
      </c>
      <c r="F214" s="187">
        <v>241</v>
      </c>
      <c r="G214" t="s">
        <v>1462</v>
      </c>
      <c r="H214" s="71"/>
      <c r="I214" t="s">
        <v>220</v>
      </c>
      <c r="J214" s="187">
        <v>1</v>
      </c>
      <c r="K214" t="s">
        <v>1385</v>
      </c>
      <c r="L214" s="185"/>
      <c r="M214" s="188">
        <v>46248</v>
      </c>
      <c r="N214" s="71"/>
      <c r="O214" s="71"/>
      <c r="P214" s="71"/>
      <c r="Q214" s="71"/>
      <c r="R214" s="71"/>
      <c r="S214" t="s">
        <v>459</v>
      </c>
      <c r="T214" s="71"/>
    </row>
    <row r="215" spans="1:20" x14ac:dyDescent="0.3">
      <c r="A215" s="72">
        <f>IFERROR(VLOOKUP($G215,Conf!$B:$C,2,0),E215)</f>
        <v>2</v>
      </c>
      <c r="B215" s="72" t="str">
        <f ca="1">IF(D215="Inativo","Inativo",IFERROR(VLOOKUP($G215,Conf!$O:$Q,2,0),VLOOKUP($S215,Conf!$K:$M,2,0)))</f>
        <v>PADARIA</v>
      </c>
      <c r="C215" s="72" t="str">
        <f ca="1">IF(D215="Inativo","Inativo",IFERROR(VLOOKUP($G215,Conf!$O:$Q,3,0),IFERROR(VLOOKUP($G215,Conf!$E:$F,2,0),VLOOKUP($S215,Conf!$K:$M,3,0))))</f>
        <v>ATENDENTE</v>
      </c>
      <c r="D215" s="72" t="str">
        <f ca="1">IFERROR(IF(TODAY()-K215&gt;365,"Inativo",IF(J215=2,"Férias",IF(J215=7,"Demitido","Afastamento"))),VLOOKUP(J215,Conf!$H:$I,2,0))</f>
        <v>Ativos</v>
      </c>
      <c r="E215" s="187">
        <v>2</v>
      </c>
      <c r="F215" s="187">
        <v>233</v>
      </c>
      <c r="G215" t="s">
        <v>1433</v>
      </c>
      <c r="H215" s="71"/>
      <c r="I215" t="s">
        <v>222</v>
      </c>
      <c r="J215" s="187">
        <v>1</v>
      </c>
      <c r="K215" t="s">
        <v>1385</v>
      </c>
      <c r="L215" s="185"/>
      <c r="M215" s="188">
        <v>46226</v>
      </c>
      <c r="N215" s="71"/>
      <c r="O215" s="71"/>
      <c r="P215" s="71"/>
      <c r="Q215" s="71"/>
      <c r="R215" s="71"/>
      <c r="S215" t="s">
        <v>459</v>
      </c>
      <c r="T215" s="71"/>
    </row>
    <row r="216" spans="1:20" x14ac:dyDescent="0.3">
      <c r="A216" s="72">
        <f>IFERROR(VLOOKUP($G216,Conf!$B:$C,2,0),E216)</f>
        <v>2</v>
      </c>
      <c r="B216" s="72" t="str">
        <f ca="1">IF(D216="Inativo","Inativo",IFERROR(VLOOKUP($G216,Conf!$O:$Q,2,0),VLOOKUP($S216,Conf!$K:$M,2,0)))</f>
        <v>PADARIA</v>
      </c>
      <c r="C216" s="72" t="str">
        <f ca="1">IF(D216="Inativo","Inativo",IFERROR(VLOOKUP($G216,Conf!$O:$Q,3,0),IFERROR(VLOOKUP($G216,Conf!$E:$F,2,0),VLOOKUP($S216,Conf!$K:$M,3,0))))</f>
        <v>ATENDENTE</v>
      </c>
      <c r="D216" s="72" t="str">
        <f ca="1">IFERROR(IF(TODAY()-K216&gt;365,"Inativo",IF(J216=2,"Férias",IF(J216=7,"Demitido","Afastamento"))),VLOOKUP(J216,Conf!$H:$I,2,0))</f>
        <v>Ativos</v>
      </c>
      <c r="E216" s="187">
        <v>2</v>
      </c>
      <c r="F216" s="187">
        <v>246</v>
      </c>
      <c r="G216" t="s">
        <v>1516</v>
      </c>
      <c r="H216" s="71"/>
      <c r="I216" t="s">
        <v>303</v>
      </c>
      <c r="J216" s="187">
        <v>1</v>
      </c>
      <c r="K216" t="s">
        <v>1385</v>
      </c>
      <c r="L216" s="185"/>
      <c r="M216" s="188">
        <v>46266</v>
      </c>
      <c r="N216" s="71"/>
      <c r="Q216" s="71"/>
      <c r="R216" s="71"/>
      <c r="S216" t="s">
        <v>459</v>
      </c>
      <c r="T216" s="71"/>
    </row>
    <row r="217" spans="1:20" x14ac:dyDescent="0.3">
      <c r="A217" s="72">
        <f>IFERROR(VLOOKUP($G217,Conf!$B:$C,2,0),E217)</f>
        <v>2</v>
      </c>
      <c r="B217" s="72" t="str">
        <f ca="1">IF(D217="Inativo","Inativo",IFERROR(VLOOKUP($G217,Conf!$O:$Q,2,0),VLOOKUP($S217,Conf!$K:$M,2,0)))</f>
        <v>PADARIA</v>
      </c>
      <c r="C217" s="72" t="str">
        <f ca="1">IF(D217="Inativo","Inativo",IFERROR(VLOOKUP($G217,Conf!$O:$Q,3,0),IFERROR(VLOOKUP($G217,Conf!$E:$F,2,0),VLOOKUP($S217,Conf!$K:$M,3,0))))</f>
        <v>ATENDENTE</v>
      </c>
      <c r="D217" s="72" t="str">
        <f ca="1">IFERROR(IF(TODAY()-K217&gt;365,"Inativo",IF(J217=2,"Férias",IF(J217=7,"Demitido","Afastamento"))),VLOOKUP(J217,Conf!$H:$I,2,0))</f>
        <v>Ativos</v>
      </c>
      <c r="E217" s="187">
        <v>2</v>
      </c>
      <c r="F217" s="187">
        <v>249</v>
      </c>
      <c r="G217" t="s">
        <v>1526</v>
      </c>
      <c r="H217" s="71"/>
      <c r="I217" t="s">
        <v>220</v>
      </c>
      <c r="J217" s="187">
        <v>1</v>
      </c>
      <c r="K217" t="s">
        <v>1385</v>
      </c>
      <c r="L217" s="185"/>
      <c r="M217" s="188">
        <v>46267</v>
      </c>
      <c r="N217" s="71"/>
      <c r="Q217" s="71"/>
      <c r="R217" s="71"/>
      <c r="S217" t="s">
        <v>459</v>
      </c>
      <c r="T217" s="71"/>
    </row>
    <row r="218" spans="1:20" x14ac:dyDescent="0.3">
      <c r="A218" s="72">
        <f>IFERROR(VLOOKUP($G218,Conf!$B:$C,2,0),E218)</f>
        <v>2</v>
      </c>
      <c r="B218" s="72" t="str">
        <f ca="1">IF(D218="Inativo","Inativo",IFERROR(VLOOKUP($G218,Conf!$O:$Q,2,0),VLOOKUP($S218,Conf!$K:$M,2,0)))</f>
        <v>PADARIA</v>
      </c>
      <c r="C218" s="72" t="str">
        <f ca="1">IF(D218="Inativo","Inativo",IFERROR(VLOOKUP($G218,Conf!$O:$Q,3,0),IFERROR(VLOOKUP($G218,Conf!$E:$F,2,0),VLOOKUP($S218,Conf!$K:$M,3,0))))</f>
        <v>AUXILIAR</v>
      </c>
      <c r="D218" s="72" t="str">
        <f ca="1">IFERROR(IF(TODAY()-K218&gt;365,"Inativo",IF(J218=2,"Férias",IF(J218=7,"Demitido","Afastamento"))),VLOOKUP(J218,Conf!$H:$I,2,0))</f>
        <v>Ativos</v>
      </c>
      <c r="E218" s="187">
        <v>2</v>
      </c>
      <c r="F218" s="187">
        <v>213</v>
      </c>
      <c r="G218" t="s">
        <v>1348</v>
      </c>
      <c r="H218" s="71"/>
      <c r="I218" t="s">
        <v>319</v>
      </c>
      <c r="J218" s="187">
        <v>1</v>
      </c>
      <c r="K218" t="s">
        <v>1385</v>
      </c>
      <c r="L218" s="185"/>
      <c r="M218" s="188">
        <v>46154</v>
      </c>
      <c r="N218" s="71"/>
      <c r="Q218" s="71"/>
      <c r="R218" s="71"/>
      <c r="S218" t="s">
        <v>458</v>
      </c>
      <c r="T218" s="71"/>
    </row>
    <row r="219" spans="1:20" x14ac:dyDescent="0.3">
      <c r="A219" s="72">
        <f>IFERROR(VLOOKUP($G219,Conf!$B:$C,2,0),E219)</f>
        <v>2</v>
      </c>
      <c r="B219" s="72" t="str">
        <f ca="1">IF(D219="Inativo","Inativo",IFERROR(VLOOKUP($G219,Conf!$O:$Q,2,0),VLOOKUP($S219,Conf!$K:$M,2,0)))</f>
        <v>PADARIA</v>
      </c>
      <c r="C219" s="72" t="str">
        <f ca="1">IF(D219="Inativo","Inativo",IFERROR(VLOOKUP($G219,Conf!$O:$Q,3,0),IFERROR(VLOOKUP($G219,Conf!$E:$F,2,0),VLOOKUP($S219,Conf!$K:$M,3,0))))</f>
        <v>AUXILIAR</v>
      </c>
      <c r="D219" s="72" t="str">
        <f ca="1">IFERROR(IF(TODAY()-K219&gt;365,"Inativo",IF(J219=2,"Férias",IF(J219=7,"Demitido","Afastamento"))),VLOOKUP(J219,Conf!$H:$I,2,0))</f>
        <v>Ativos</v>
      </c>
      <c r="E219" s="187">
        <v>2</v>
      </c>
      <c r="F219" s="187">
        <v>244</v>
      </c>
      <c r="G219" t="s">
        <v>1499</v>
      </c>
      <c r="H219" s="71"/>
      <c r="I219" t="s">
        <v>319</v>
      </c>
      <c r="J219" s="187">
        <v>1</v>
      </c>
      <c r="K219" t="s">
        <v>1385</v>
      </c>
      <c r="L219" s="185"/>
      <c r="M219" s="188">
        <v>46258</v>
      </c>
      <c r="N219" s="71"/>
      <c r="O219" s="71"/>
      <c r="P219" s="71"/>
      <c r="Q219" s="71"/>
      <c r="R219" s="71"/>
      <c r="S219" t="s">
        <v>458</v>
      </c>
      <c r="T219" s="71"/>
    </row>
    <row r="220" spans="1:20" x14ac:dyDescent="0.3">
      <c r="A220" s="72">
        <f>IFERROR(VLOOKUP($G220,Conf!$B:$C,2,0),E220)</f>
        <v>2</v>
      </c>
      <c r="B220" s="72" t="str">
        <f ca="1">IF(D220="Inativo","Inativo",IFERROR(VLOOKUP($G220,Conf!$O:$Q,2,0),VLOOKUP($S220,Conf!$K:$M,2,0)))</f>
        <v>PADARIA</v>
      </c>
      <c r="C220" s="72" t="str">
        <f ca="1">IF(D220="Inativo","Inativo",IFERROR(VLOOKUP($G220,Conf!$O:$Q,3,0),IFERROR(VLOOKUP($G220,Conf!$E:$F,2,0),VLOOKUP($S220,Conf!$K:$M,3,0))))</f>
        <v>ENCARREGADO</v>
      </c>
      <c r="D220" s="72" t="str">
        <f ca="1">IFERROR(IF(TODAY()-K220&gt;365,"Inativo",IF(J220=2,"Férias",IF(J220=7,"Demitido","Afastamento"))),VLOOKUP(J220,Conf!$H:$I,2,0))</f>
        <v>Ativos</v>
      </c>
      <c r="E220" s="187">
        <v>2</v>
      </c>
      <c r="F220" s="187">
        <v>198</v>
      </c>
      <c r="G220" t="s">
        <v>460</v>
      </c>
      <c r="H220" s="71"/>
      <c r="I220" t="s">
        <v>390</v>
      </c>
      <c r="J220" s="187">
        <v>1</v>
      </c>
      <c r="K220" t="s">
        <v>1385</v>
      </c>
      <c r="L220" s="185"/>
      <c r="M220" s="188">
        <v>40210</v>
      </c>
      <c r="N220" s="71"/>
      <c r="O220" s="71"/>
      <c r="P220" s="71"/>
      <c r="Q220" s="71"/>
      <c r="R220" s="71"/>
      <c r="S220" t="s">
        <v>461</v>
      </c>
      <c r="T220" s="71"/>
    </row>
    <row r="221" spans="1:20" x14ac:dyDescent="0.3">
      <c r="A221" s="72">
        <f>IFERROR(VLOOKUP($G221,Conf!$B:$C,2,0),E221)</f>
        <v>2</v>
      </c>
      <c r="B221" s="72" t="str">
        <f ca="1">IF(D221="Inativo","Inativo",IFERROR(VLOOKUP($G221,Conf!$O:$Q,2,0),VLOOKUP($S221,Conf!$K:$M,2,0)))</f>
        <v>PADARIA</v>
      </c>
      <c r="C221" s="72" t="str">
        <f ca="1">IF(D221="Inativo","Inativo",IFERROR(VLOOKUP($G221,Conf!$O:$Q,3,0),IFERROR(VLOOKUP($G221,Conf!$E:$F,2,0),VLOOKUP($S221,Conf!$K:$M,3,0))))</f>
        <v>ENCARREGADO</v>
      </c>
      <c r="D221" s="72" t="str">
        <f ca="1">IFERROR(IF(TODAY()-K221&gt;365,"Inativo",IF(J221=2,"Férias",IF(J221=7,"Demitido","Afastamento"))),VLOOKUP(J221,Conf!$H:$I,2,0))</f>
        <v>Ativos</v>
      </c>
      <c r="E221" s="187">
        <v>2</v>
      </c>
      <c r="F221" s="187">
        <v>170</v>
      </c>
      <c r="G221" t="s">
        <v>1344</v>
      </c>
      <c r="H221" s="71"/>
      <c r="I221" t="s">
        <v>222</v>
      </c>
      <c r="J221" s="187">
        <v>1</v>
      </c>
      <c r="K221" t="s">
        <v>1385</v>
      </c>
      <c r="L221" s="185"/>
      <c r="M221" s="188">
        <v>45980</v>
      </c>
      <c r="N221" s="71"/>
      <c r="Q221" s="71"/>
      <c r="R221" s="71"/>
      <c r="S221" t="s">
        <v>462</v>
      </c>
      <c r="T221" s="71"/>
    </row>
    <row r="222" spans="1:20" x14ac:dyDescent="0.3">
      <c r="A222" s="72">
        <f>IFERROR(VLOOKUP($G222,Conf!$B:$C,2,0),E222)</f>
        <v>2</v>
      </c>
      <c r="B222" s="72" t="str">
        <f ca="1">IF(D222="Inativo","Inativo",IFERROR(VLOOKUP($G222,Conf!$O:$Q,2,0),VLOOKUP($S222,Conf!$K:$M,2,0)))</f>
        <v>PADARIA</v>
      </c>
      <c r="C222" s="72" t="str">
        <f ca="1">IF(D222="Inativo","Inativo",IFERROR(VLOOKUP($G222,Conf!$O:$Q,3,0),IFERROR(VLOOKUP($G222,Conf!$E:$F,2,0),VLOOKUP($S222,Conf!$K:$M,3,0))))</f>
        <v>PADEIRO(A)</v>
      </c>
      <c r="D222" s="72" t="str">
        <f ca="1">IFERROR(IF(TODAY()-K222&gt;365,"Inativo",IF(J222=2,"Férias",IF(J222=7,"Demitido","Afastamento"))),VLOOKUP(J222,Conf!$H:$I,2,0))</f>
        <v>Ativos</v>
      </c>
      <c r="E222" s="187">
        <v>2</v>
      </c>
      <c r="F222" s="187">
        <v>633</v>
      </c>
      <c r="G222" t="s">
        <v>463</v>
      </c>
      <c r="H222" s="71"/>
      <c r="I222" t="s">
        <v>222</v>
      </c>
      <c r="J222" s="187">
        <v>1</v>
      </c>
      <c r="K222" t="s">
        <v>1385</v>
      </c>
      <c r="L222" s="185"/>
      <c r="M222" s="188">
        <v>42037</v>
      </c>
      <c r="N222" s="71"/>
      <c r="O222" s="71"/>
      <c r="P222" s="71"/>
      <c r="Q222" s="71"/>
      <c r="R222" s="71"/>
      <c r="S222" t="s">
        <v>464</v>
      </c>
      <c r="T222" s="71"/>
    </row>
    <row r="223" spans="1:20" x14ac:dyDescent="0.3">
      <c r="A223" s="72">
        <f>IFERROR(VLOOKUP($G223,Conf!$B:$C,2,0),E223)</f>
        <v>2</v>
      </c>
      <c r="B223" s="72" t="str">
        <f ca="1">IF(D223="Inativo","Inativo",IFERROR(VLOOKUP($G223,Conf!$O:$Q,2,0),VLOOKUP($S223,Conf!$K:$M,2,0)))</f>
        <v>PADARIA</v>
      </c>
      <c r="C223" s="72" t="str">
        <f ca="1">IF(D223="Inativo","Inativo",IFERROR(VLOOKUP($G223,Conf!$O:$Q,3,0),IFERROR(VLOOKUP($G223,Conf!$E:$F,2,0),VLOOKUP($S223,Conf!$K:$M,3,0))))</f>
        <v>PADEIRO(A)</v>
      </c>
      <c r="D223" s="72" t="str">
        <f ca="1">IFERROR(IF(TODAY()-K223&gt;365,"Inativo",IF(J223=2,"Férias",IF(J223=7,"Demitido","Afastamento"))),VLOOKUP(J223,Conf!$H:$I,2,0))</f>
        <v>Ativos</v>
      </c>
      <c r="E223" s="187">
        <v>2</v>
      </c>
      <c r="F223" s="187">
        <v>202</v>
      </c>
      <c r="G223" t="s">
        <v>1345</v>
      </c>
      <c r="H223" s="71"/>
      <c r="I223" t="s">
        <v>396</v>
      </c>
      <c r="J223" s="187">
        <v>1</v>
      </c>
      <c r="K223" t="s">
        <v>1385</v>
      </c>
      <c r="L223" s="185"/>
      <c r="M223" s="188">
        <v>46101</v>
      </c>
      <c r="N223" s="71"/>
      <c r="Q223" s="71"/>
      <c r="R223" s="71"/>
      <c r="S223" t="s">
        <v>465</v>
      </c>
      <c r="T223" s="71"/>
    </row>
    <row r="224" spans="1:20" x14ac:dyDescent="0.3">
      <c r="A224" s="72">
        <f>IFERROR(VLOOKUP($G224,Conf!$B:$C,2,0),E224)</f>
        <v>2</v>
      </c>
      <c r="B224" s="72" t="str">
        <f ca="1">IF(D224="Inativo","Inativo",IFERROR(VLOOKUP($G224,Conf!$O:$Q,2,0),VLOOKUP($S224,Conf!$K:$M,2,0)))</f>
        <v>PADARIA</v>
      </c>
      <c r="C224" s="72" t="str">
        <f ca="1">IF(D224="Inativo","Inativo",IFERROR(VLOOKUP($G224,Conf!$O:$Q,3,0),IFERROR(VLOOKUP($G224,Conf!$E:$F,2,0),VLOOKUP($S224,Conf!$K:$M,3,0))))</f>
        <v>PADEIRO(A)</v>
      </c>
      <c r="D224" s="72" t="str">
        <f ca="1">IFERROR(IF(TODAY()-K224&gt;365,"Inativo",IF(J224=2,"Férias",IF(J224=7,"Demitido","Afastamento"))),VLOOKUP(J224,Conf!$H:$I,2,0))</f>
        <v>Demitido</v>
      </c>
      <c r="E224" s="187">
        <v>2</v>
      </c>
      <c r="F224" s="187">
        <v>209</v>
      </c>
      <c r="G224" t="s">
        <v>1346</v>
      </c>
      <c r="H224" s="71"/>
      <c r="I224" t="s">
        <v>258</v>
      </c>
      <c r="J224" s="187">
        <v>7</v>
      </c>
      <c r="K224" t="s">
        <v>1589</v>
      </c>
      <c r="L224" s="185"/>
      <c r="M224" s="188">
        <v>46146</v>
      </c>
      <c r="N224" s="71"/>
      <c r="Q224" s="71"/>
      <c r="R224" s="71"/>
      <c r="S224" t="s">
        <v>465</v>
      </c>
      <c r="T224" s="71"/>
    </row>
    <row r="225" spans="1:20" x14ac:dyDescent="0.3">
      <c r="A225" s="72">
        <f>IFERROR(VLOOKUP($G225,Conf!$B:$C,2,0),E225)</f>
        <v>2</v>
      </c>
      <c r="B225" s="72" t="str">
        <f ca="1">IF(D225="Inativo","Inativo",IFERROR(VLOOKUP($G225,Conf!$O:$Q,2,0),VLOOKUP($S225,Conf!$K:$M,2,0)))</f>
        <v>ROTISSERIA</v>
      </c>
      <c r="C225" s="72" t="str">
        <f ca="1">IF(D225="Inativo","Inativo",IFERROR(VLOOKUP($G225,Conf!$O:$Q,3,0),IFERROR(VLOOKUP($G225,Conf!$E:$F,2,0),VLOOKUP($S225,Conf!$K:$M,3,0))))</f>
        <v>AUXILIAR</v>
      </c>
      <c r="D225" s="72" t="str">
        <f ca="1">IFERROR(IF(TODAY()-K225&gt;365,"Inativo",IF(J225=2,"Férias",IF(J225=7,"Demitido","Afastamento"))),VLOOKUP(J225,Conf!$H:$I,2,0))</f>
        <v>Ativos</v>
      </c>
      <c r="E225" s="187">
        <v>2</v>
      </c>
      <c r="F225" s="187">
        <v>1349</v>
      </c>
      <c r="G225" t="s">
        <v>454</v>
      </c>
      <c r="H225" s="71"/>
      <c r="I225" t="s">
        <v>236</v>
      </c>
      <c r="J225" s="187">
        <v>1</v>
      </c>
      <c r="K225" t="s">
        <v>1385</v>
      </c>
      <c r="L225" s="185"/>
      <c r="M225" s="188">
        <v>45108</v>
      </c>
      <c r="N225" s="71"/>
      <c r="Q225" s="71"/>
      <c r="R225" s="71"/>
      <c r="S225" t="s">
        <v>455</v>
      </c>
      <c r="T225" s="71"/>
    </row>
    <row r="226" spans="1:20" x14ac:dyDescent="0.3">
      <c r="A226" s="72">
        <f>IFERROR(VLOOKUP($G226,Conf!$B:$C,2,0),E226)</f>
        <v>2</v>
      </c>
      <c r="B226" s="72" t="str">
        <f ca="1">IF(D226="Inativo","Inativo",IFERROR(VLOOKUP($G226,Conf!$O:$Q,2,0),VLOOKUP($S226,Conf!$K:$M,2,0)))</f>
        <v>ROTISSERIA</v>
      </c>
      <c r="C226" s="72" t="str">
        <f ca="1">IF(D226="Inativo","Inativo",IFERROR(VLOOKUP($G226,Conf!$O:$Q,3,0),IFERROR(VLOOKUP($G226,Conf!$E:$F,2,0),VLOOKUP($S226,Conf!$K:$M,3,0))))</f>
        <v>COZINHEIRO</v>
      </c>
      <c r="D226" s="72" t="str">
        <f ca="1">IFERROR(IF(TODAY()-K226&gt;365,"Inativo",IF(J226=2,"Férias",IF(J226=7,"Demitido","Afastamento"))),VLOOKUP(J226,Conf!$H:$I,2,0))</f>
        <v>Afastamento</v>
      </c>
      <c r="E226" s="187">
        <v>2</v>
      </c>
      <c r="F226" s="187">
        <v>1281</v>
      </c>
      <c r="G226" t="s">
        <v>469</v>
      </c>
      <c r="H226" s="71"/>
      <c r="I226" t="s">
        <v>247</v>
      </c>
      <c r="J226" s="187">
        <v>3</v>
      </c>
      <c r="K226" t="s">
        <v>1386</v>
      </c>
      <c r="L226" s="185"/>
      <c r="M226" s="188">
        <v>44883</v>
      </c>
      <c r="N226" s="71"/>
      <c r="O226" s="71"/>
      <c r="P226" s="71"/>
      <c r="Q226" s="71"/>
      <c r="R226" s="71"/>
      <c r="S226" t="s">
        <v>391</v>
      </c>
      <c r="T226" s="71"/>
    </row>
    <row r="227" spans="1:20" x14ac:dyDescent="0.3">
      <c r="A227" s="72">
        <f>IFERROR(VLOOKUP($G227,Conf!$B:$C,2,0),E227)</f>
        <v>3</v>
      </c>
      <c r="B227" s="72" t="str">
        <f ca="1">IF(D227="Inativo","Inativo",IFERROR(VLOOKUP($G227,Conf!$O:$Q,2,0),VLOOKUP($S227,Conf!$K:$M,2,0)))</f>
        <v>AÇOUGUE</v>
      </c>
      <c r="C227" s="72" t="str">
        <f ca="1">IF(D227="Inativo","Inativo",IFERROR(VLOOKUP($G227,Conf!$O:$Q,3,0),IFERROR(VLOOKUP($G227,Conf!$E:$F,2,0),VLOOKUP($S227,Conf!$K:$M,3,0))))</f>
        <v>AÇOUGUEIRO</v>
      </c>
      <c r="D227" s="72" t="str">
        <f ca="1">IFERROR(IF(TODAY()-K227&gt;365,"Inativo",IF(J227=2,"Férias",IF(J227=7,"Demitido","Afastamento"))),VLOOKUP(J227,Conf!$H:$I,2,0))</f>
        <v>Ativos</v>
      </c>
      <c r="E227" s="187">
        <v>3</v>
      </c>
      <c r="F227" s="187">
        <v>27</v>
      </c>
      <c r="G227" t="s">
        <v>1383</v>
      </c>
      <c r="H227" s="71"/>
      <c r="I227" t="s">
        <v>220</v>
      </c>
      <c r="J227" s="187">
        <v>1</v>
      </c>
      <c r="K227" t="s">
        <v>1385</v>
      </c>
      <c r="L227" s="185"/>
      <c r="M227" s="188">
        <v>45537</v>
      </c>
      <c r="N227" s="71"/>
      <c r="O227" s="71"/>
      <c r="P227" s="71"/>
      <c r="Q227" s="71"/>
      <c r="R227" s="71"/>
      <c r="S227" t="s">
        <v>1471</v>
      </c>
      <c r="T227" s="71"/>
    </row>
    <row r="228" spans="1:20" x14ac:dyDescent="0.3">
      <c r="A228" s="72">
        <f>IFERROR(VLOOKUP($G228,Conf!$B:$C,2,0),E228)</f>
        <v>3</v>
      </c>
      <c r="B228" s="72" t="str">
        <f ca="1">IF(D228="Inativo","Inativo",IFERROR(VLOOKUP($G228,Conf!$O:$Q,2,0),VLOOKUP($S228,Conf!$K:$M,2,0)))</f>
        <v>AÇOUGUE</v>
      </c>
      <c r="C228" s="72" t="str">
        <f ca="1">IF(D228="Inativo","Inativo",IFERROR(VLOOKUP($G228,Conf!$O:$Q,3,0),IFERROR(VLOOKUP($G228,Conf!$E:$F,2,0),VLOOKUP($S228,Conf!$K:$M,3,0))))</f>
        <v>AÇOUGUEIRO</v>
      </c>
      <c r="D228" s="72" t="str">
        <f ca="1">IFERROR(IF(TODAY()-K228&gt;365,"Inativo",IF(J228=2,"Férias",IF(J228=7,"Demitido","Afastamento"))),VLOOKUP(J228,Conf!$H:$I,2,0))</f>
        <v>Ativos</v>
      </c>
      <c r="E228" s="187">
        <v>3</v>
      </c>
      <c r="F228" s="187">
        <v>679</v>
      </c>
      <c r="G228" t="s">
        <v>470</v>
      </c>
      <c r="H228" s="71"/>
      <c r="I228" t="s">
        <v>233</v>
      </c>
      <c r="J228" s="187">
        <v>1</v>
      </c>
      <c r="K228" t="s">
        <v>1385</v>
      </c>
      <c r="L228" s="185"/>
      <c r="M228" s="188">
        <v>44714</v>
      </c>
      <c r="N228" s="71"/>
      <c r="Q228" s="71"/>
      <c r="R228" s="71"/>
      <c r="S228" t="s">
        <v>394</v>
      </c>
      <c r="T228" s="71"/>
    </row>
    <row r="229" spans="1:20" x14ac:dyDescent="0.3">
      <c r="A229" s="72">
        <f>IFERROR(VLOOKUP($G229,Conf!$B:$C,2,0),E229)</f>
        <v>3</v>
      </c>
      <c r="B229" s="72" t="str">
        <f ca="1">IF(D229="Inativo","Inativo",IFERROR(VLOOKUP($G229,Conf!$O:$Q,2,0),VLOOKUP($S229,Conf!$K:$M,2,0)))</f>
        <v>AÇOUGUE</v>
      </c>
      <c r="C229" s="72" t="str">
        <f ca="1">IF(D229="Inativo","Inativo",IFERROR(VLOOKUP($G229,Conf!$O:$Q,3,0),IFERROR(VLOOKUP($G229,Conf!$E:$F,2,0),VLOOKUP($S229,Conf!$K:$M,3,0))))</f>
        <v>AÇOUGUEIRO</v>
      </c>
      <c r="D229" s="72" t="str">
        <f ca="1">IFERROR(IF(TODAY()-K229&gt;365,"Inativo",IF(J229=2,"Férias",IF(J229=7,"Demitido","Afastamento"))),VLOOKUP(J229,Conf!$H:$I,2,0))</f>
        <v>Ativos</v>
      </c>
      <c r="E229" s="187">
        <v>3</v>
      </c>
      <c r="F229" s="187">
        <v>804</v>
      </c>
      <c r="G229" t="s">
        <v>471</v>
      </c>
      <c r="H229" s="71"/>
      <c r="I229" t="s">
        <v>220</v>
      </c>
      <c r="J229" s="187">
        <v>1</v>
      </c>
      <c r="K229" t="s">
        <v>1385</v>
      </c>
      <c r="L229" s="185"/>
      <c r="M229" s="188">
        <v>45432</v>
      </c>
      <c r="N229" s="71"/>
      <c r="O229" s="71"/>
      <c r="P229" s="71"/>
      <c r="Q229" s="71"/>
      <c r="R229" s="71"/>
      <c r="S229" t="s">
        <v>394</v>
      </c>
      <c r="T229" s="71"/>
    </row>
    <row r="230" spans="1:20" x14ac:dyDescent="0.3">
      <c r="A230" s="72">
        <f>IFERROR(VLOOKUP($G230,Conf!$B:$C,2,0),E230)</f>
        <v>3</v>
      </c>
      <c r="B230" s="72" t="str">
        <f ca="1">IF(D230="Inativo","Inativo",IFERROR(VLOOKUP($G230,Conf!$O:$Q,2,0),VLOOKUP($S230,Conf!$K:$M,2,0)))</f>
        <v>AÇOUGUE</v>
      </c>
      <c r="C230" s="72" t="str">
        <f ca="1">IF(D230="Inativo","Inativo",IFERROR(VLOOKUP($G230,Conf!$O:$Q,3,0),IFERROR(VLOOKUP($G230,Conf!$E:$F,2,0),VLOOKUP($S230,Conf!$K:$M,3,0))))</f>
        <v>BALCONISTA</v>
      </c>
      <c r="D230" s="72" t="str">
        <f ca="1">IFERROR(IF(TODAY()-K230&gt;365,"Inativo",IF(J230=2,"Férias",IF(J230=7,"Demitido","Afastamento"))),VLOOKUP(J230,Conf!$H:$I,2,0))</f>
        <v>Ativos</v>
      </c>
      <c r="E230" s="187">
        <v>3</v>
      </c>
      <c r="F230" s="187">
        <v>28</v>
      </c>
      <c r="G230" t="s">
        <v>1540</v>
      </c>
      <c r="H230" s="71"/>
      <c r="I230" t="s">
        <v>220</v>
      </c>
      <c r="J230" s="187">
        <v>1</v>
      </c>
      <c r="K230" t="s">
        <v>1385</v>
      </c>
      <c r="L230" s="185"/>
      <c r="M230" s="188">
        <v>46273</v>
      </c>
      <c r="N230" s="71"/>
      <c r="O230" s="71"/>
      <c r="P230" s="71"/>
      <c r="Q230" s="71"/>
      <c r="R230" s="71"/>
      <c r="S230" t="s">
        <v>472</v>
      </c>
      <c r="T230" s="71"/>
    </row>
    <row r="231" spans="1:20" x14ac:dyDescent="0.3">
      <c r="A231" s="72">
        <f>IFERROR(VLOOKUP($G231,Conf!$B:$C,2,0),E231)</f>
        <v>3</v>
      </c>
      <c r="B231" s="72" t="str">
        <f ca="1">IF(D231="Inativo","Inativo",IFERROR(VLOOKUP($G231,Conf!$O:$Q,2,0),VLOOKUP($S231,Conf!$K:$M,2,0)))</f>
        <v>AÇOUGUE</v>
      </c>
      <c r="C231" s="72" t="str">
        <f ca="1">IF(D231="Inativo","Inativo",IFERROR(VLOOKUP($G231,Conf!$O:$Q,3,0),IFERROR(VLOOKUP($G231,Conf!$E:$F,2,0),VLOOKUP($S231,Conf!$K:$M,3,0))))</f>
        <v>DESOSSADOR</v>
      </c>
      <c r="D231" s="72" t="str">
        <f ca="1">IFERROR(IF(TODAY()-K231&gt;365,"Inativo",IF(J231=2,"Férias",IF(J231=7,"Demitido","Afastamento"))),VLOOKUP(J231,Conf!$H:$I,2,0))</f>
        <v>Ativos</v>
      </c>
      <c r="E231" s="187">
        <v>3</v>
      </c>
      <c r="F231" s="187">
        <v>490</v>
      </c>
      <c r="G231" t="s">
        <v>473</v>
      </c>
      <c r="H231" s="71"/>
      <c r="I231" t="s">
        <v>236</v>
      </c>
      <c r="J231" s="187">
        <v>1</v>
      </c>
      <c r="K231" t="s">
        <v>1385</v>
      </c>
      <c r="L231" s="185"/>
      <c r="M231" s="188">
        <v>43537</v>
      </c>
      <c r="N231" s="71"/>
      <c r="Q231" s="71"/>
      <c r="R231" s="71"/>
      <c r="S231" t="s">
        <v>474</v>
      </c>
      <c r="T231" s="71"/>
    </row>
    <row r="232" spans="1:20" x14ac:dyDescent="0.3">
      <c r="A232" s="72">
        <f>IFERROR(VLOOKUP($G232,Conf!$B:$C,2,0),E232)</f>
        <v>3</v>
      </c>
      <c r="B232" s="72" t="str">
        <f ca="1">IF(D232="Inativo","Inativo",IFERROR(VLOOKUP($G232,Conf!$O:$Q,2,0),VLOOKUP($S232,Conf!$K:$M,2,0)))</f>
        <v>AÇOUGUE</v>
      </c>
      <c r="C232" s="72" t="str">
        <f ca="1">IF(D232="Inativo","Inativo",IFERROR(VLOOKUP($G232,Conf!$O:$Q,3,0),IFERROR(VLOOKUP($G232,Conf!$E:$F,2,0),VLOOKUP($S232,Conf!$K:$M,3,0))))</f>
        <v>DESOSSADOR</v>
      </c>
      <c r="D232" s="72" t="str">
        <f ca="1">IFERROR(IF(TODAY()-K232&gt;365,"Inativo",IF(J232=2,"Férias",IF(J232=7,"Demitido","Afastamento"))),VLOOKUP(J232,Conf!$H:$I,2,0))</f>
        <v>Ativos</v>
      </c>
      <c r="E232" s="187">
        <v>3</v>
      </c>
      <c r="F232" s="187">
        <v>10</v>
      </c>
      <c r="G232" t="s">
        <v>475</v>
      </c>
      <c r="H232" s="71"/>
      <c r="I232" t="s">
        <v>476</v>
      </c>
      <c r="J232" s="187">
        <v>1</v>
      </c>
      <c r="K232" t="s">
        <v>1385</v>
      </c>
      <c r="L232" s="185"/>
      <c r="M232" s="188">
        <v>46164</v>
      </c>
      <c r="N232" s="71"/>
      <c r="Q232" s="71"/>
      <c r="R232" s="71"/>
      <c r="S232" t="s">
        <v>477</v>
      </c>
      <c r="T232" s="71"/>
    </row>
    <row r="233" spans="1:20" x14ac:dyDescent="0.3">
      <c r="A233" s="72">
        <f>IFERROR(VLOOKUP($G233,Conf!$B:$C,2,0),E233)</f>
        <v>3</v>
      </c>
      <c r="B233" s="72" t="str">
        <f ca="1">IF(D233="Inativo","Inativo",IFERROR(VLOOKUP($G233,Conf!$O:$Q,2,0),VLOOKUP($S233,Conf!$K:$M,2,0)))</f>
        <v>AÇOUGUE</v>
      </c>
      <c r="C233" s="72" t="str">
        <f ca="1">IF(D233="Inativo","Inativo",IFERROR(VLOOKUP($G233,Conf!$O:$Q,3,0),IFERROR(VLOOKUP($G233,Conf!$E:$F,2,0),VLOOKUP($S233,Conf!$K:$M,3,0))))</f>
        <v>DESOSSADOR</v>
      </c>
      <c r="D233" s="72" t="str">
        <f ca="1">IFERROR(IF(TODAY()-K233&gt;365,"Inativo",IF(J233=2,"Férias",IF(J233=7,"Demitido","Afastamento"))),VLOOKUP(J233,Conf!$H:$I,2,0))</f>
        <v>Demitido</v>
      </c>
      <c r="E233" s="187">
        <v>3</v>
      </c>
      <c r="F233" s="187">
        <v>174</v>
      </c>
      <c r="G233" t="s">
        <v>1382</v>
      </c>
      <c r="H233" s="71"/>
      <c r="I233" t="s">
        <v>225</v>
      </c>
      <c r="J233" s="187">
        <v>7</v>
      </c>
      <c r="K233" t="s">
        <v>1610</v>
      </c>
      <c r="L233" s="185"/>
      <c r="M233" s="188">
        <v>46001</v>
      </c>
      <c r="N233" s="71"/>
      <c r="Q233" s="71"/>
      <c r="R233" s="71"/>
      <c r="S233" t="s">
        <v>477</v>
      </c>
      <c r="T233" s="71"/>
    </row>
    <row r="234" spans="1:20" x14ac:dyDescent="0.3">
      <c r="A234" s="72">
        <f>IFERROR(VLOOKUP($G234,Conf!$B:$C,2,0),E234)</f>
        <v>3</v>
      </c>
      <c r="B234" s="72" t="str">
        <f ca="1">IF(D234="Inativo","Inativo",IFERROR(VLOOKUP($G234,Conf!$O:$Q,2,0),VLOOKUP($S234,Conf!$K:$M,2,0)))</f>
        <v>AÇOUGUE</v>
      </c>
      <c r="C234" s="72" t="str">
        <f ca="1">IF(D234="Inativo","Inativo",IFERROR(VLOOKUP($G234,Conf!$O:$Q,3,0),IFERROR(VLOOKUP($G234,Conf!$E:$F,2,0),VLOOKUP($S234,Conf!$K:$M,3,0))))</f>
        <v>ENCARREGADO</v>
      </c>
      <c r="D234" s="72" t="str">
        <f ca="1">IFERROR(IF(TODAY()-K234&gt;365,"Inativo",IF(J234=2,"Férias",IF(J234=7,"Demitido","Afastamento"))),VLOOKUP(J234,Conf!$H:$I,2,0))</f>
        <v>Demitido</v>
      </c>
      <c r="E234" s="187">
        <v>3</v>
      </c>
      <c r="F234" s="187">
        <v>171</v>
      </c>
      <c r="G234" t="s">
        <v>1381</v>
      </c>
      <c r="H234" s="71"/>
      <c r="I234" t="s">
        <v>319</v>
      </c>
      <c r="J234" s="187">
        <v>7</v>
      </c>
      <c r="K234" t="s">
        <v>1631</v>
      </c>
      <c r="L234" s="185"/>
      <c r="M234" s="188">
        <v>45992</v>
      </c>
      <c r="N234" s="71"/>
      <c r="Q234" s="71"/>
      <c r="R234" s="71"/>
      <c r="S234" t="s">
        <v>478</v>
      </c>
      <c r="T234" s="71"/>
    </row>
    <row r="235" spans="1:20" x14ac:dyDescent="0.3">
      <c r="A235" s="72">
        <f>IFERROR(VLOOKUP($G235,Conf!$B:$C,2,0),E235)</f>
        <v>3</v>
      </c>
      <c r="B235" s="72" t="str">
        <f ca="1">IF(D235="Inativo","Inativo",IFERROR(VLOOKUP($G235,Conf!$O:$Q,2,0),VLOOKUP($S235,Conf!$K:$M,2,0)))</f>
        <v>ADMINISTRATIVO</v>
      </c>
      <c r="C235" s="72" t="str">
        <f ca="1">IF(D235="Inativo","Inativo",IFERROR(VLOOKUP($G235,Conf!$O:$Q,3,0),IFERROR(VLOOKUP($G235,Conf!$E:$F,2,0),VLOOKUP($S235,Conf!$K:$M,3,0))))</f>
        <v>APRENDIZ</v>
      </c>
      <c r="D235" s="72" t="str">
        <f ca="1">IFERROR(IF(TODAY()-K235&gt;365,"Inativo",IF(J235=2,"Férias",IF(J235=7,"Demitido","Afastamento"))),VLOOKUP(J235,Conf!$H:$I,2,0))</f>
        <v>Ativos</v>
      </c>
      <c r="E235" s="187">
        <v>3</v>
      </c>
      <c r="F235" s="187">
        <v>860</v>
      </c>
      <c r="G235" t="s">
        <v>513</v>
      </c>
      <c r="H235" s="71"/>
      <c r="I235" t="s">
        <v>336</v>
      </c>
      <c r="J235" s="187">
        <v>1</v>
      </c>
      <c r="K235" t="s">
        <v>1385</v>
      </c>
      <c r="L235" s="185"/>
      <c r="M235" s="188">
        <v>46077</v>
      </c>
      <c r="N235" s="71"/>
      <c r="O235" s="71"/>
      <c r="P235" s="71"/>
      <c r="Q235" s="71"/>
      <c r="R235" s="71"/>
      <c r="S235" t="s">
        <v>337</v>
      </c>
      <c r="T235" s="71"/>
    </row>
    <row r="236" spans="1:20" x14ac:dyDescent="0.3">
      <c r="A236" s="72">
        <f>IFERROR(VLOOKUP($G236,Conf!$B:$C,2,0),E236)</f>
        <v>3</v>
      </c>
      <c r="B236" s="72" t="str">
        <f ca="1">IF(D236="Inativo","Inativo",IFERROR(VLOOKUP($G236,Conf!$O:$Q,2,0),VLOOKUP($S236,Conf!$K:$M,2,0)))</f>
        <v>ADMINISTRATIVO</v>
      </c>
      <c r="C236" s="72" t="str">
        <f ca="1">IF(D236="Inativo","Inativo",IFERROR(VLOOKUP($G236,Conf!$O:$Q,3,0),IFERROR(VLOOKUP($G236,Conf!$E:$F,2,0),VLOOKUP($S236,Conf!$K:$M,3,0))))</f>
        <v>APRENDIZ</v>
      </c>
      <c r="D236" s="72" t="str">
        <f ca="1">IFERROR(IF(TODAY()-K236&gt;365,"Inativo",IF(J236=2,"Férias",IF(J236=7,"Demitido","Afastamento"))),VLOOKUP(J236,Conf!$H:$I,2,0))</f>
        <v>Ativos</v>
      </c>
      <c r="E236" s="187">
        <v>3</v>
      </c>
      <c r="F236" s="187">
        <v>194</v>
      </c>
      <c r="G236" t="s">
        <v>1372</v>
      </c>
      <c r="H236" s="71"/>
      <c r="I236" t="s">
        <v>336</v>
      </c>
      <c r="J236" s="187">
        <v>1</v>
      </c>
      <c r="K236" t="s">
        <v>1385</v>
      </c>
      <c r="L236" s="185"/>
      <c r="M236" s="188">
        <v>46077</v>
      </c>
      <c r="N236" s="71"/>
      <c r="Q236" s="71"/>
      <c r="R236" s="71"/>
      <c r="S236" t="s">
        <v>514</v>
      </c>
      <c r="T236" s="71"/>
    </row>
    <row r="237" spans="1:20" x14ac:dyDescent="0.3">
      <c r="A237" s="72">
        <f>IFERROR(VLOOKUP($G237,Conf!$B:$C,2,0),E237)</f>
        <v>3</v>
      </c>
      <c r="B237" s="72" t="str">
        <f ca="1">IF(D237="Inativo","Inativo",IFERROR(VLOOKUP($G237,Conf!$O:$Q,2,0),VLOOKUP($S237,Conf!$K:$M,2,0)))</f>
        <v>ADMINISTRATIVO</v>
      </c>
      <c r="C237" s="72" t="str">
        <f ca="1">IF(D237="Inativo","Inativo",IFERROR(VLOOKUP($G237,Conf!$O:$Q,3,0),IFERROR(VLOOKUP($G237,Conf!$E:$F,2,0),VLOOKUP($S237,Conf!$K:$M,3,0))))</f>
        <v>APRENDIZ</v>
      </c>
      <c r="D237" s="72" t="str">
        <f ca="1">IFERROR(IF(TODAY()-K237&gt;365,"Inativo",IF(J237=2,"Férias",IF(J237=7,"Demitido","Afastamento"))),VLOOKUP(J237,Conf!$H:$I,2,0))</f>
        <v>Ativos</v>
      </c>
      <c r="E237" s="187">
        <v>3</v>
      </c>
      <c r="F237" s="187">
        <v>859</v>
      </c>
      <c r="G237" t="s">
        <v>515</v>
      </c>
      <c r="H237" s="71"/>
      <c r="I237" t="s">
        <v>336</v>
      </c>
      <c r="J237" s="187">
        <v>1</v>
      </c>
      <c r="K237" t="s">
        <v>1385</v>
      </c>
      <c r="L237" s="185"/>
      <c r="M237" s="188">
        <v>46077</v>
      </c>
      <c r="N237" s="71"/>
      <c r="Q237" s="71"/>
      <c r="R237" s="71"/>
      <c r="S237" t="s">
        <v>337</v>
      </c>
      <c r="T237" s="71"/>
    </row>
    <row r="238" spans="1:20" x14ac:dyDescent="0.3">
      <c r="A238" s="72">
        <f>IFERROR(VLOOKUP($G238,Conf!$B:$C,2,0),E238)</f>
        <v>3</v>
      </c>
      <c r="B238" s="72" t="str">
        <f ca="1">IF(D238="Inativo","Inativo",IFERROR(VLOOKUP($G238,Conf!$O:$Q,2,0),VLOOKUP($S238,Conf!$K:$M,2,0)))</f>
        <v>ADMINISTRATIVO</v>
      </c>
      <c r="C238" s="72" t="str">
        <f ca="1">IF(D238="Inativo","Inativo",IFERROR(VLOOKUP($G238,Conf!$O:$Q,3,0),IFERROR(VLOOKUP($G238,Conf!$E:$F,2,0),VLOOKUP($S238,Conf!$K:$M,3,0))))</f>
        <v>APRENDIZ</v>
      </c>
      <c r="D238" s="72" t="str">
        <f ca="1">IFERROR(IF(TODAY()-K238&gt;365,"Inativo",IF(J238=2,"Férias",IF(J238=7,"Demitido","Afastamento"))),VLOOKUP(J238,Conf!$H:$I,2,0))</f>
        <v>Ativos</v>
      </c>
      <c r="E238" s="187">
        <v>3</v>
      </c>
      <c r="F238" s="187">
        <v>195</v>
      </c>
      <c r="G238" t="s">
        <v>1373</v>
      </c>
      <c r="H238" s="71"/>
      <c r="I238" t="s">
        <v>336</v>
      </c>
      <c r="J238" s="187">
        <v>1</v>
      </c>
      <c r="K238" t="s">
        <v>1385</v>
      </c>
      <c r="L238" s="185"/>
      <c r="M238" s="188">
        <v>46077</v>
      </c>
      <c r="N238" s="71"/>
      <c r="O238" s="71"/>
      <c r="P238" s="71"/>
      <c r="Q238" s="71"/>
      <c r="R238" s="71"/>
      <c r="S238" t="s">
        <v>514</v>
      </c>
      <c r="T238" s="71"/>
    </row>
    <row r="239" spans="1:20" x14ac:dyDescent="0.3">
      <c r="A239" s="72">
        <f>IFERROR(VLOOKUP($G239,Conf!$B:$C,2,0),E239)</f>
        <v>3</v>
      </c>
      <c r="B239" s="72" t="str">
        <f ca="1">IF(D239="Inativo","Inativo",IFERROR(VLOOKUP($G239,Conf!$O:$Q,2,0),VLOOKUP($S239,Conf!$K:$M,2,0)))</f>
        <v>ADMINISTRATIVO</v>
      </c>
      <c r="C239" s="72" t="str">
        <f ca="1">IF(D239="Inativo","Inativo",IFERROR(VLOOKUP($G239,Conf!$O:$Q,3,0),IFERROR(VLOOKUP($G239,Conf!$E:$F,2,0),VLOOKUP($S239,Conf!$K:$M,3,0))))</f>
        <v>LIMPEZA</v>
      </c>
      <c r="D239" s="72" t="str">
        <f ca="1">IFERROR(IF(TODAY()-K239&gt;365,"Inativo",IF(J239=2,"Férias",IF(J239=7,"Demitido","Afastamento"))),VLOOKUP(J239,Conf!$H:$I,2,0))</f>
        <v>Demitido</v>
      </c>
      <c r="E239" s="187">
        <v>3</v>
      </c>
      <c r="F239" s="187">
        <v>18</v>
      </c>
      <c r="G239" t="s">
        <v>1390</v>
      </c>
      <c r="H239" s="71"/>
      <c r="I239" t="s">
        <v>220</v>
      </c>
      <c r="J239" s="187">
        <v>7</v>
      </c>
      <c r="K239" t="s">
        <v>1639</v>
      </c>
      <c r="L239" s="185"/>
      <c r="M239" s="188">
        <v>46209</v>
      </c>
      <c r="N239" s="71"/>
      <c r="Q239" s="71"/>
      <c r="R239" s="71"/>
      <c r="S239" t="s">
        <v>1311</v>
      </c>
      <c r="T239" s="71"/>
    </row>
    <row r="240" spans="1:20" x14ac:dyDescent="0.3">
      <c r="A240" s="72">
        <f>IFERROR(VLOOKUP($G240,Conf!$B:$C,2,0),E240)</f>
        <v>3</v>
      </c>
      <c r="B240" s="72" t="str">
        <f ca="1">IF(D240="Inativo","Inativo",IFERROR(VLOOKUP($G240,Conf!$O:$Q,2,0),VLOOKUP($S240,Conf!$K:$M,2,0)))</f>
        <v>ADMINISTRATIVO</v>
      </c>
      <c r="C240" s="72" t="str">
        <f ca="1">IF(D240="Inativo","Inativo",IFERROR(VLOOKUP($G240,Conf!$O:$Q,3,0),IFERROR(VLOOKUP($G240,Conf!$E:$F,2,0),VLOOKUP($S240,Conf!$K:$M,3,0))))</f>
        <v>LIMPEZA</v>
      </c>
      <c r="D240" s="72" t="str">
        <f ca="1">IFERROR(IF(TODAY()-K240&gt;365,"Inativo",IF(J240=2,"Férias",IF(J240=7,"Demitido","Afastamento"))),VLOOKUP(J240,Conf!$H:$I,2,0))</f>
        <v>Ativos</v>
      </c>
      <c r="E240" s="187">
        <v>3</v>
      </c>
      <c r="F240" s="187">
        <v>29</v>
      </c>
      <c r="G240" t="s">
        <v>1559</v>
      </c>
      <c r="H240" s="71"/>
      <c r="I240" t="s">
        <v>220</v>
      </c>
      <c r="J240" s="187">
        <v>1</v>
      </c>
      <c r="K240" t="s">
        <v>1385</v>
      </c>
      <c r="L240" s="185"/>
      <c r="M240" s="188">
        <v>46279</v>
      </c>
      <c r="N240" s="71"/>
      <c r="Q240" s="71"/>
      <c r="R240" s="71"/>
      <c r="S240" t="s">
        <v>1311</v>
      </c>
      <c r="T240" s="71"/>
    </row>
    <row r="241" spans="1:20" x14ac:dyDescent="0.3">
      <c r="A241" s="72">
        <f>IFERROR(VLOOKUP($G241,Conf!$B:$C,2,0),E241)</f>
        <v>3</v>
      </c>
      <c r="B241" s="72" t="str">
        <f ca="1">IF(D241="Inativo","Inativo",IFERROR(VLOOKUP($G241,Conf!$O:$Q,2,0),VLOOKUP($S241,Conf!$K:$M,2,0)))</f>
        <v>ADMINISTRATIVO</v>
      </c>
      <c r="C241" s="72" t="str">
        <f ca="1">IF(D241="Inativo","Inativo",IFERROR(VLOOKUP($G241,Conf!$O:$Q,3,0),IFERROR(VLOOKUP($G241,Conf!$E:$F,2,0),VLOOKUP($S241,Conf!$K:$M,3,0))))</f>
        <v>LIMPEZA</v>
      </c>
      <c r="D241" s="72" t="str">
        <f ca="1">IFERROR(IF(TODAY()-K241&gt;365,"Inativo",IF(J241=2,"Férias",IF(J241=7,"Demitido","Afastamento"))),VLOOKUP(J241,Conf!$H:$I,2,0))</f>
        <v>Ativos</v>
      </c>
      <c r="E241" s="187">
        <v>3</v>
      </c>
      <c r="F241" s="187">
        <v>17</v>
      </c>
      <c r="G241" t="s">
        <v>1316</v>
      </c>
      <c r="H241" s="71"/>
      <c r="I241" t="s">
        <v>220</v>
      </c>
      <c r="J241" s="187">
        <v>1</v>
      </c>
      <c r="K241" t="s">
        <v>1385</v>
      </c>
      <c r="L241" s="185"/>
      <c r="M241" s="188">
        <v>46184</v>
      </c>
      <c r="N241" s="71"/>
      <c r="Q241" s="71"/>
      <c r="R241" s="71"/>
      <c r="S241" t="s">
        <v>1311</v>
      </c>
      <c r="T241" s="71"/>
    </row>
    <row r="242" spans="1:20" x14ac:dyDescent="0.3">
      <c r="A242" s="72">
        <f>IFERROR(VLOOKUP($G242,Conf!$B:$C,2,0),E242)</f>
        <v>3</v>
      </c>
      <c r="B242" s="72" t="str">
        <f ca="1">IF(D242="Inativo","Inativo",IFERROR(VLOOKUP($G242,Conf!$O:$Q,2,0),VLOOKUP($S242,Conf!$K:$M,2,0)))</f>
        <v>ADMINISTRATIVO</v>
      </c>
      <c r="C242" s="72" t="str">
        <f ca="1">IF(D242="Inativo","Inativo",IFERROR(VLOOKUP($G242,Conf!$O:$Q,3,0),IFERROR(VLOOKUP($G242,Conf!$E:$F,2,0),VLOOKUP($S242,Conf!$K:$M,3,0))))</f>
        <v>LIMPEZA</v>
      </c>
      <c r="D242" s="72" t="str">
        <f ca="1">IFERROR(IF(TODAY()-K242&gt;365,"Inativo",IF(J242=2,"Férias",IF(J242=7,"Demitido","Afastamento"))),VLOOKUP(J242,Conf!$H:$I,2,0))</f>
        <v>Demitido</v>
      </c>
      <c r="E242" s="187">
        <v>3</v>
      </c>
      <c r="F242" s="187">
        <v>23</v>
      </c>
      <c r="G242" t="s">
        <v>1464</v>
      </c>
      <c r="H242" s="71"/>
      <c r="I242" t="s">
        <v>220</v>
      </c>
      <c r="J242" s="187">
        <v>7</v>
      </c>
      <c r="K242" t="s">
        <v>1575</v>
      </c>
      <c r="L242" s="185"/>
      <c r="M242" s="188">
        <v>46247</v>
      </c>
      <c r="N242" s="71"/>
      <c r="Q242" s="71"/>
      <c r="R242" s="71"/>
      <c r="S242" t="s">
        <v>1311</v>
      </c>
      <c r="T242" s="71"/>
    </row>
    <row r="243" spans="1:20" x14ac:dyDescent="0.3">
      <c r="A243" s="72">
        <f>IFERROR(VLOOKUP($G243,Conf!$B:$C,2,0),E243)</f>
        <v>3</v>
      </c>
      <c r="B243" s="72" t="str">
        <f ca="1">IF(D243="Inativo","Inativo",IFERROR(VLOOKUP($G243,Conf!$O:$Q,2,0),VLOOKUP($S243,Conf!$K:$M,2,0)))</f>
        <v>CONFEITARIA</v>
      </c>
      <c r="C243" s="72" t="str">
        <f ca="1">IF(D243="Inativo","Inativo",IFERROR(VLOOKUP($G243,Conf!$O:$Q,3,0),IFERROR(VLOOKUP($G243,Conf!$E:$F,2,0),VLOOKUP($S243,Conf!$K:$M,3,0))))</f>
        <v>ENCARREGADO</v>
      </c>
      <c r="D243" s="72" t="str">
        <f ca="1">IFERROR(IF(TODAY()-K243&gt;365,"Inativo",IF(J243=2,"Férias",IF(J243=7,"Demitido","Afastamento"))),VLOOKUP(J243,Conf!$H:$I,2,0))</f>
        <v>Ativos</v>
      </c>
      <c r="E243" s="187">
        <v>3</v>
      </c>
      <c r="F243" s="187">
        <v>135</v>
      </c>
      <c r="G243" t="s">
        <v>479</v>
      </c>
      <c r="H243" s="71"/>
      <c r="I243" t="s">
        <v>480</v>
      </c>
      <c r="J243" s="187">
        <v>1</v>
      </c>
      <c r="K243" t="s">
        <v>1385</v>
      </c>
      <c r="L243" s="185"/>
      <c r="M243" s="188">
        <v>40360</v>
      </c>
      <c r="N243" s="71"/>
      <c r="O243" s="71"/>
      <c r="P243" s="71"/>
      <c r="Q243" s="71"/>
      <c r="R243" s="71"/>
      <c r="S243" t="s">
        <v>481</v>
      </c>
      <c r="T243" s="71"/>
    </row>
    <row r="244" spans="1:20" x14ac:dyDescent="0.3">
      <c r="A244" s="72">
        <f>IFERROR(VLOOKUP($G244,Conf!$B:$C,2,0),E244)</f>
        <v>3</v>
      </c>
      <c r="B244" s="72" t="str">
        <f ca="1">IF(D244="Inativo","Inativo",IFERROR(VLOOKUP($G244,Conf!$O:$Q,2,0),VLOOKUP($S244,Conf!$K:$M,2,0)))</f>
        <v>DEPOSITO</v>
      </c>
      <c r="C244" s="72" t="str">
        <f ca="1">IF(D244="Inativo","Inativo",IFERROR(VLOOKUP($G244,Conf!$O:$Q,3,0),IFERROR(VLOOKUP($G244,Conf!$E:$F,2,0),VLOOKUP($S244,Conf!$K:$M,3,0))))</f>
        <v>CONFERENTE</v>
      </c>
      <c r="D244" s="72" t="str">
        <f ca="1">IFERROR(IF(TODAY()-K244&gt;365,"Inativo",IF(J244=2,"Férias",IF(J244=7,"Demitido","Afastamento"))),VLOOKUP(J244,Conf!$H:$I,2,0))</f>
        <v>Ativos</v>
      </c>
      <c r="E244" s="187">
        <v>3</v>
      </c>
      <c r="F244" s="187">
        <v>799</v>
      </c>
      <c r="G244" t="s">
        <v>482</v>
      </c>
      <c r="H244" s="71"/>
      <c r="I244" t="s">
        <v>483</v>
      </c>
      <c r="J244" s="187">
        <v>1</v>
      </c>
      <c r="K244" t="s">
        <v>1385</v>
      </c>
      <c r="L244" s="185"/>
      <c r="M244" s="188">
        <v>45415</v>
      </c>
      <c r="N244" s="71"/>
      <c r="O244" s="71"/>
      <c r="P244" s="71"/>
      <c r="Q244" s="71"/>
      <c r="R244" s="71"/>
      <c r="S244" t="s">
        <v>484</v>
      </c>
      <c r="T244" s="71"/>
    </row>
    <row r="245" spans="1:20" x14ac:dyDescent="0.3">
      <c r="A245" s="72">
        <f>IFERROR(VLOOKUP($G245,Conf!$B:$C,2,0),E245)</f>
        <v>3</v>
      </c>
      <c r="B245" s="72" t="str">
        <f ca="1">IF(D245="Inativo","Inativo",IFERROR(VLOOKUP($G245,Conf!$O:$Q,2,0),VLOOKUP($S245,Conf!$K:$M,2,0)))</f>
        <v>DEPOSITO</v>
      </c>
      <c r="C245" s="72" t="str">
        <f ca="1">IF(D245="Inativo","Inativo",IFERROR(VLOOKUP($G245,Conf!$O:$Q,3,0),IFERROR(VLOOKUP($G245,Conf!$E:$F,2,0),VLOOKUP($S245,Conf!$K:$M,3,0))))</f>
        <v>CONFERENTE</v>
      </c>
      <c r="D245" s="72" t="str">
        <f ca="1">IFERROR(IF(TODAY()-K245&gt;365,"Inativo",IF(J245=2,"Férias",IF(J245=7,"Demitido","Afastamento"))),VLOOKUP(J245,Conf!$H:$I,2,0))</f>
        <v>Ativos</v>
      </c>
      <c r="E245" s="187">
        <v>3</v>
      </c>
      <c r="F245" s="187">
        <v>3</v>
      </c>
      <c r="G245" t="s">
        <v>485</v>
      </c>
      <c r="H245" s="71"/>
      <c r="I245" t="s">
        <v>435</v>
      </c>
      <c r="J245" s="187">
        <v>1</v>
      </c>
      <c r="K245" t="s">
        <v>1385</v>
      </c>
      <c r="L245" s="185"/>
      <c r="M245" s="188">
        <v>37592</v>
      </c>
      <c r="N245" s="71"/>
      <c r="Q245" s="71"/>
      <c r="R245" s="71"/>
      <c r="S245" t="s">
        <v>251</v>
      </c>
      <c r="T245" s="71"/>
    </row>
    <row r="246" spans="1:20" x14ac:dyDescent="0.3">
      <c r="A246" s="72">
        <f>IFERROR(VLOOKUP($G246,Conf!$B:$C,2,0),E246)</f>
        <v>3</v>
      </c>
      <c r="B246" s="72" t="str">
        <f ca="1">IF(D246="Inativo","Inativo",IFERROR(VLOOKUP($G246,Conf!$O:$Q,2,0),VLOOKUP($S246,Conf!$K:$M,2,0)))</f>
        <v>FRENTE DE CAIXA</v>
      </c>
      <c r="C246" s="72" t="str">
        <f ca="1">IF(D246="Inativo","Inativo",IFERROR(VLOOKUP($G246,Conf!$O:$Q,3,0),IFERROR(VLOOKUP($G246,Conf!$E:$F,2,0),VLOOKUP($S246,Conf!$K:$M,3,0))))</f>
        <v>E-COMMERCE</v>
      </c>
      <c r="D246" s="72" t="str">
        <f ca="1">IFERROR(IF(TODAY()-K246&gt;365,"Inativo",IF(J246=2,"Férias",IF(J246=7,"Demitido","Afastamento"))),VLOOKUP(J246,Conf!$H:$I,2,0))</f>
        <v>Ativos</v>
      </c>
      <c r="E246" s="187">
        <v>3</v>
      </c>
      <c r="F246" s="187">
        <v>458</v>
      </c>
      <c r="G246" t="s">
        <v>517</v>
      </c>
      <c r="H246" s="71"/>
      <c r="I246" t="s">
        <v>476</v>
      </c>
      <c r="J246" s="187">
        <v>1</v>
      </c>
      <c r="K246" t="s">
        <v>1385</v>
      </c>
      <c r="L246" s="185"/>
      <c r="M246" s="188">
        <v>43319</v>
      </c>
      <c r="N246" s="71"/>
      <c r="Q246" s="71"/>
      <c r="R246" s="71"/>
      <c r="S246" t="s">
        <v>518</v>
      </c>
      <c r="T246" s="71"/>
    </row>
    <row r="247" spans="1:20" x14ac:dyDescent="0.3">
      <c r="A247" s="72">
        <f>IFERROR(VLOOKUP($G247,Conf!$B:$C,2,0),E247)</f>
        <v>3</v>
      </c>
      <c r="B247" s="72" t="str">
        <f ca="1">IF(D247="Inativo","Inativo",IFERROR(VLOOKUP($G247,Conf!$O:$Q,2,0),VLOOKUP($S247,Conf!$K:$M,2,0)))</f>
        <v>FRENTE DE CAIXA</v>
      </c>
      <c r="C247" s="72" t="str">
        <f ca="1">IF(D247="Inativo","Inativo",IFERROR(VLOOKUP($G247,Conf!$O:$Q,3,0),IFERROR(VLOOKUP($G247,Conf!$E:$F,2,0),VLOOKUP($S247,Conf!$K:$M,3,0))))</f>
        <v>ENCARREGADO</v>
      </c>
      <c r="D247" s="72" t="str">
        <f ca="1">IFERROR(IF(TODAY()-K247&gt;365,"Inativo",IF(J247=2,"Férias",IF(J247=7,"Demitido","Afastamento"))),VLOOKUP(J247,Conf!$H:$I,2,0))</f>
        <v>Ativos</v>
      </c>
      <c r="E247" s="187">
        <v>3</v>
      </c>
      <c r="F247" s="187">
        <v>664</v>
      </c>
      <c r="G247" t="s">
        <v>489</v>
      </c>
      <c r="H247" s="71"/>
      <c r="I247" t="s">
        <v>511</v>
      </c>
      <c r="J247" s="187">
        <v>1</v>
      </c>
      <c r="K247" t="s">
        <v>1385</v>
      </c>
      <c r="L247" s="185"/>
      <c r="M247" s="188">
        <v>44615</v>
      </c>
      <c r="N247" s="71"/>
      <c r="Q247" s="71"/>
      <c r="R247" s="71"/>
      <c r="S247" t="s">
        <v>274</v>
      </c>
      <c r="T247" s="71"/>
    </row>
    <row r="248" spans="1:20" x14ac:dyDescent="0.3">
      <c r="A248" s="72">
        <f>IFERROR(VLOOKUP($G248,Conf!$B:$C,2,0),E248)</f>
        <v>3</v>
      </c>
      <c r="B248" s="72" t="str">
        <f ca="1">IF(D248="Inativo","Inativo",IFERROR(VLOOKUP($G248,Conf!$O:$Q,2,0),VLOOKUP($S248,Conf!$K:$M,2,0)))</f>
        <v>FRENTE DE CAIXA</v>
      </c>
      <c r="C248" s="72" t="str">
        <f ca="1">IF(D248="Inativo","Inativo",IFERROR(VLOOKUP($G248,Conf!$O:$Q,3,0),IFERROR(VLOOKUP($G248,Conf!$E:$F,2,0),VLOOKUP($S248,Conf!$K:$M,3,0))))</f>
        <v>ENTREGADOR</v>
      </c>
      <c r="D248" s="72" t="str">
        <f ca="1">IFERROR(IF(TODAY()-K248&gt;365,"Inativo",IF(J248=2,"Férias",IF(J248=7,"Demitido","Afastamento"))),VLOOKUP(J248,Conf!$H:$I,2,0))</f>
        <v>Ativos</v>
      </c>
      <c r="E248" s="187">
        <v>3</v>
      </c>
      <c r="F248" s="187">
        <v>403</v>
      </c>
      <c r="G248" t="s">
        <v>487</v>
      </c>
      <c r="H248" s="71"/>
      <c r="I248" t="s">
        <v>488</v>
      </c>
      <c r="J248" s="187">
        <v>1</v>
      </c>
      <c r="K248" t="s">
        <v>1385</v>
      </c>
      <c r="L248" s="185"/>
      <c r="M248" s="188">
        <v>42696</v>
      </c>
      <c r="N248" s="71"/>
      <c r="O248" s="71"/>
      <c r="P248" s="71"/>
      <c r="Q248" s="71"/>
      <c r="R248" s="71"/>
      <c r="S248" t="s">
        <v>404</v>
      </c>
      <c r="T248" s="71"/>
    </row>
    <row r="249" spans="1:20" x14ac:dyDescent="0.3">
      <c r="A249" s="72">
        <f>IFERROR(VLOOKUP($G249,Conf!$B:$C,2,0),E249)</f>
        <v>3</v>
      </c>
      <c r="B249" s="72" t="str">
        <f ca="1">IF(D249="Inativo","Inativo",IFERROR(VLOOKUP($G249,Conf!$O:$Q,2,0),VLOOKUP($S249,Conf!$K:$M,2,0)))</f>
        <v>FRENTE DE CAIXA</v>
      </c>
      <c r="C249" s="72" t="str">
        <f ca="1">IF(D249="Inativo","Inativo",IFERROR(VLOOKUP($G249,Conf!$O:$Q,3,0),IFERROR(VLOOKUP($G249,Conf!$E:$F,2,0),VLOOKUP($S249,Conf!$K:$M,3,0))))</f>
        <v>FISCAL DE CAIXA</v>
      </c>
      <c r="D249" s="72" t="str">
        <f ca="1">IFERROR(IF(TODAY()-K249&gt;365,"Inativo",IF(J249=2,"Férias",IF(J249=7,"Demitido","Afastamento"))),VLOOKUP(J249,Conf!$H:$I,2,0))</f>
        <v>Demitido</v>
      </c>
      <c r="E249" s="187">
        <v>3</v>
      </c>
      <c r="F249" s="187">
        <v>858</v>
      </c>
      <c r="G249" t="s">
        <v>490</v>
      </c>
      <c r="H249" s="71"/>
      <c r="I249" t="s">
        <v>409</v>
      </c>
      <c r="J249" s="187">
        <v>7</v>
      </c>
      <c r="K249" t="s">
        <v>1658</v>
      </c>
      <c r="L249" s="185"/>
      <c r="M249" s="188">
        <v>46073</v>
      </c>
      <c r="N249" s="71"/>
      <c r="Q249" s="71"/>
      <c r="R249" s="71"/>
      <c r="S249" t="s">
        <v>278</v>
      </c>
      <c r="T249" s="71"/>
    </row>
    <row r="250" spans="1:20" x14ac:dyDescent="0.3">
      <c r="A250" s="72">
        <f>IFERROR(VLOOKUP($G250,Conf!$B:$C,2,0),E250)</f>
        <v>3</v>
      </c>
      <c r="B250" s="72" t="str">
        <f ca="1">IF(D250="Inativo","Inativo",IFERROR(VLOOKUP($G250,Conf!$O:$Q,2,0),VLOOKUP($S250,Conf!$K:$M,2,0)))</f>
        <v>FRENTE DE CAIXA</v>
      </c>
      <c r="C250" s="72" t="str">
        <f ca="1">IF(D250="Inativo","Inativo",IFERROR(VLOOKUP($G250,Conf!$O:$Q,3,0),IFERROR(VLOOKUP($G250,Conf!$E:$F,2,0),VLOOKUP($S250,Conf!$K:$M,3,0))))</f>
        <v>FISCAL DE CAIXA</v>
      </c>
      <c r="D250" s="72" t="str">
        <f ca="1">IFERROR(IF(TODAY()-K250&gt;365,"Inativo",IF(J250=2,"Férias",IF(J250=7,"Demitido","Afastamento"))),VLOOKUP(J250,Conf!$H:$I,2,0))</f>
        <v>Ativos</v>
      </c>
      <c r="E250" s="187">
        <v>3</v>
      </c>
      <c r="F250" s="187">
        <v>797</v>
      </c>
      <c r="G250" t="s">
        <v>491</v>
      </c>
      <c r="H250" s="71"/>
      <c r="I250" t="s">
        <v>220</v>
      </c>
      <c r="J250" s="187">
        <v>1</v>
      </c>
      <c r="K250" t="s">
        <v>1385</v>
      </c>
      <c r="L250" s="185"/>
      <c r="M250" s="188">
        <v>45414</v>
      </c>
      <c r="N250" s="71"/>
      <c r="O250" s="71"/>
      <c r="P250" s="71"/>
      <c r="Q250" s="71"/>
      <c r="R250" s="71"/>
      <c r="S250" t="s">
        <v>278</v>
      </c>
      <c r="T250" s="71"/>
    </row>
    <row r="251" spans="1:20" x14ac:dyDescent="0.3">
      <c r="A251" s="72">
        <f>IFERROR(VLOOKUP($G251,Conf!$B:$C,2,0),E251)</f>
        <v>3</v>
      </c>
      <c r="B251" s="72" t="str">
        <f ca="1">IF(D251="Inativo","Inativo",IFERROR(VLOOKUP($G251,Conf!$O:$Q,2,0),VLOOKUP($S251,Conf!$K:$M,2,0)))</f>
        <v>FRENTE DE CAIXA</v>
      </c>
      <c r="C251" s="72" t="str">
        <f ca="1">IF(D251="Inativo","Inativo",IFERROR(VLOOKUP($G251,Conf!$O:$Q,3,0),IFERROR(VLOOKUP($G251,Conf!$E:$F,2,0),VLOOKUP($S251,Conf!$K:$M,3,0))))</f>
        <v>FISCAL DE CAIXA</v>
      </c>
      <c r="D251" s="72" t="str">
        <f ca="1">IFERROR(IF(TODAY()-K251&gt;365,"Inativo",IF(J251=2,"Férias",IF(J251=7,"Demitido","Afastamento"))),VLOOKUP(J251,Conf!$H:$I,2,0))</f>
        <v>Demitido</v>
      </c>
      <c r="E251" s="187">
        <v>3</v>
      </c>
      <c r="F251" s="187">
        <v>862</v>
      </c>
      <c r="G251" t="s">
        <v>492</v>
      </c>
      <c r="H251" s="71"/>
      <c r="I251" t="s">
        <v>220</v>
      </c>
      <c r="J251" s="187">
        <v>7</v>
      </c>
      <c r="K251" t="s">
        <v>1588</v>
      </c>
      <c r="L251" s="185"/>
      <c r="M251" s="188">
        <v>46083</v>
      </c>
      <c r="N251" s="71"/>
      <c r="Q251" s="71"/>
      <c r="R251" s="71"/>
      <c r="S251" t="s">
        <v>278</v>
      </c>
      <c r="T251" s="71"/>
    </row>
    <row r="252" spans="1:20" x14ac:dyDescent="0.3">
      <c r="A252" s="72">
        <f>IFERROR(VLOOKUP($G252,Conf!$B:$C,2,0),E252)</f>
        <v>3</v>
      </c>
      <c r="B252" s="72" t="str">
        <f ca="1">IF(D252="Inativo","Inativo",IFERROR(VLOOKUP($G252,Conf!$O:$Q,2,0),VLOOKUP($S252,Conf!$K:$M,2,0)))</f>
        <v>FRENTE DE CAIXA</v>
      </c>
      <c r="C252" s="72" t="str">
        <f ca="1">IF(D252="Inativo","Inativo",IFERROR(VLOOKUP($G252,Conf!$O:$Q,3,0),IFERROR(VLOOKUP($G252,Conf!$E:$F,2,0),VLOOKUP($S252,Conf!$K:$M,3,0))))</f>
        <v>OPERADOR CAIXA</v>
      </c>
      <c r="D252" s="72" t="str">
        <f ca="1">IFERROR(IF(TODAY()-K252&gt;365,"Inativo",IF(J252=2,"Férias",IF(J252=7,"Demitido","Afastamento"))),VLOOKUP(J252,Conf!$H:$I,2,0))</f>
        <v>Ativos</v>
      </c>
      <c r="E252" s="187">
        <v>3</v>
      </c>
      <c r="F252" s="187">
        <v>833</v>
      </c>
      <c r="G252" t="s">
        <v>493</v>
      </c>
      <c r="H252" s="71"/>
      <c r="I252" t="s">
        <v>220</v>
      </c>
      <c r="J252" s="187">
        <v>1</v>
      </c>
      <c r="K252" t="s">
        <v>1385</v>
      </c>
      <c r="L252" s="185"/>
      <c r="M252" s="188">
        <v>45782</v>
      </c>
      <c r="N252" s="71"/>
      <c r="Q252" s="71"/>
      <c r="R252" s="71"/>
      <c r="S252" t="s">
        <v>281</v>
      </c>
      <c r="T252" s="71"/>
    </row>
    <row r="253" spans="1:20" x14ac:dyDescent="0.3">
      <c r="A253" s="72">
        <f>IFERROR(VLOOKUP($G253,Conf!$B:$C,2,0),E253)</f>
        <v>3</v>
      </c>
      <c r="B253" s="72" t="str">
        <f ca="1">IF(D253="Inativo","Inativo",IFERROR(VLOOKUP($G253,Conf!$O:$Q,2,0),VLOOKUP($S253,Conf!$K:$M,2,0)))</f>
        <v>FRENTE DE CAIXA</v>
      </c>
      <c r="C253" s="72" t="str">
        <f ca="1">IF(D253="Inativo","Inativo",IFERROR(VLOOKUP($G253,Conf!$O:$Q,3,0),IFERROR(VLOOKUP($G253,Conf!$E:$F,2,0),VLOOKUP($S253,Conf!$K:$M,3,0))))</f>
        <v>OPERADOR CAIXA</v>
      </c>
      <c r="D253" s="72" t="str">
        <f ca="1">IFERROR(IF(TODAY()-K253&gt;365,"Inativo",IF(J253=2,"Férias",IF(J253=7,"Demitido","Afastamento"))),VLOOKUP(J253,Conf!$H:$I,2,0))</f>
        <v>Ativos</v>
      </c>
      <c r="E253" s="187">
        <v>3</v>
      </c>
      <c r="F253" s="187">
        <v>866</v>
      </c>
      <c r="G253" t="s">
        <v>494</v>
      </c>
      <c r="H253" s="71"/>
      <c r="I253" t="s">
        <v>220</v>
      </c>
      <c r="J253" s="187">
        <v>1</v>
      </c>
      <c r="K253" t="s">
        <v>1385</v>
      </c>
      <c r="L253" s="185"/>
      <c r="M253" s="188">
        <v>46146</v>
      </c>
      <c r="N253" s="71"/>
      <c r="O253" s="71"/>
      <c r="P253" s="71"/>
      <c r="Q253" s="71"/>
      <c r="R253" s="71"/>
      <c r="S253" t="s">
        <v>281</v>
      </c>
      <c r="T253" s="71"/>
    </row>
    <row r="254" spans="1:20" x14ac:dyDescent="0.3">
      <c r="A254" s="72">
        <f>IFERROR(VLOOKUP($G254,Conf!$B:$C,2,0),E254)</f>
        <v>3</v>
      </c>
      <c r="B254" s="72" t="str">
        <f ca="1">IF(D254="Inativo","Inativo",IFERROR(VLOOKUP($G254,Conf!$O:$Q,2,0),VLOOKUP($S254,Conf!$K:$M,2,0)))</f>
        <v>FRENTE DE CAIXA</v>
      </c>
      <c r="C254" s="72" t="str">
        <f ca="1">IF(D254="Inativo","Inativo",IFERROR(VLOOKUP($G254,Conf!$O:$Q,3,0),IFERROR(VLOOKUP($G254,Conf!$E:$F,2,0),VLOOKUP($S254,Conf!$K:$M,3,0))))</f>
        <v>OPERADOR CAIXA</v>
      </c>
      <c r="D254" s="72" t="str">
        <f ca="1">IFERROR(IF(TODAY()-K254&gt;365,"Inativo",IF(J254=2,"Férias",IF(J254=7,"Demitido","Afastamento"))),VLOOKUP(J254,Conf!$H:$I,2,0))</f>
        <v>Ativos</v>
      </c>
      <c r="E254" s="187">
        <v>3</v>
      </c>
      <c r="F254" s="187">
        <v>869</v>
      </c>
      <c r="G254" t="s">
        <v>1317</v>
      </c>
      <c r="H254" s="71"/>
      <c r="I254" t="s">
        <v>220</v>
      </c>
      <c r="J254" s="187">
        <v>1</v>
      </c>
      <c r="K254" t="s">
        <v>1385</v>
      </c>
      <c r="L254" s="185"/>
      <c r="M254" s="188">
        <v>46184</v>
      </c>
      <c r="N254" s="71"/>
      <c r="Q254" s="71"/>
      <c r="R254" s="71"/>
      <c r="S254" t="s">
        <v>281</v>
      </c>
      <c r="T254" s="71"/>
    </row>
    <row r="255" spans="1:20" x14ac:dyDescent="0.3">
      <c r="A255" s="72">
        <f>IFERROR(VLOOKUP($G255,Conf!$B:$C,2,0),E255)</f>
        <v>3</v>
      </c>
      <c r="B255" s="72" t="str">
        <f ca="1">IF(D255="Inativo","Inativo",IFERROR(VLOOKUP($G255,Conf!$O:$Q,2,0),VLOOKUP($S255,Conf!$K:$M,2,0)))</f>
        <v>FRENTE DE CAIXA</v>
      </c>
      <c r="C255" s="72" t="str">
        <f ca="1">IF(D255="Inativo","Inativo",IFERROR(VLOOKUP($G255,Conf!$O:$Q,3,0),IFERROR(VLOOKUP($G255,Conf!$E:$F,2,0),VLOOKUP($S255,Conf!$K:$M,3,0))))</f>
        <v>OPERADOR CAIXA</v>
      </c>
      <c r="D255" s="72" t="str">
        <f ca="1">IFERROR(IF(TODAY()-K255&gt;365,"Inativo",IF(J255=2,"Férias",IF(J255=7,"Demitido","Afastamento"))),VLOOKUP(J255,Conf!$H:$I,2,0))</f>
        <v>Ativos</v>
      </c>
      <c r="E255" s="187">
        <v>3</v>
      </c>
      <c r="F255" s="187">
        <v>876</v>
      </c>
      <c r="G255" t="s">
        <v>1605</v>
      </c>
      <c r="H255" s="71"/>
      <c r="I255" t="s">
        <v>220</v>
      </c>
      <c r="J255" s="187">
        <v>1</v>
      </c>
      <c r="K255" t="s">
        <v>1385</v>
      </c>
      <c r="L255" s="185"/>
      <c r="M255" s="188">
        <v>46290</v>
      </c>
      <c r="N255" s="71"/>
      <c r="O255" s="71"/>
      <c r="P255" s="71"/>
      <c r="Q255" s="71"/>
      <c r="R255" s="71"/>
      <c r="S255" t="s">
        <v>281</v>
      </c>
      <c r="T255" s="71"/>
    </row>
    <row r="256" spans="1:20" x14ac:dyDescent="0.3">
      <c r="A256" s="72">
        <f>IFERROR(VLOOKUP($G256,Conf!$B:$C,2,0),E256)</f>
        <v>3</v>
      </c>
      <c r="B256" s="72" t="str">
        <f ca="1">IF(D256="Inativo","Inativo",IFERROR(VLOOKUP($G256,Conf!$O:$Q,2,0),VLOOKUP($S256,Conf!$K:$M,2,0)))</f>
        <v>FRENTE DE CAIXA</v>
      </c>
      <c r="C256" s="72" t="str">
        <f ca="1">IF(D256="Inativo","Inativo",IFERROR(VLOOKUP($G256,Conf!$O:$Q,3,0),IFERROR(VLOOKUP($G256,Conf!$E:$F,2,0),VLOOKUP($S256,Conf!$K:$M,3,0))))</f>
        <v>OPERADOR CAIXA</v>
      </c>
      <c r="D256" s="72" t="str">
        <f ca="1">IFERROR(IF(TODAY()-K256&gt;365,"Inativo",IF(J256=2,"Férias",IF(J256=7,"Demitido","Afastamento"))),VLOOKUP(J256,Conf!$H:$I,2,0))</f>
        <v>Afastamento</v>
      </c>
      <c r="E256" s="187">
        <v>3</v>
      </c>
      <c r="F256" s="187">
        <v>854</v>
      </c>
      <c r="G256" t="s">
        <v>495</v>
      </c>
      <c r="H256" s="71"/>
      <c r="I256" t="s">
        <v>220</v>
      </c>
      <c r="J256" s="187">
        <v>6</v>
      </c>
      <c r="K256" t="s">
        <v>1601</v>
      </c>
      <c r="L256" s="185"/>
      <c r="M256" s="188">
        <v>46034</v>
      </c>
      <c r="N256" s="71"/>
      <c r="Q256" s="71"/>
      <c r="R256" s="71"/>
      <c r="S256" t="s">
        <v>281</v>
      </c>
      <c r="T256" s="71"/>
    </row>
    <row r="257" spans="1:20" x14ac:dyDescent="0.3">
      <c r="A257" s="72">
        <f>IFERROR(VLOOKUP($G257,Conf!$B:$C,2,0),E257)</f>
        <v>3</v>
      </c>
      <c r="B257" s="72" t="str">
        <f ca="1">IF(D257="Inativo","Inativo",IFERROR(VLOOKUP($G257,Conf!$O:$Q,2,0),VLOOKUP($S257,Conf!$K:$M,2,0)))</f>
        <v>FRENTE DE CAIXA</v>
      </c>
      <c r="C257" s="72" t="str">
        <f ca="1">IF(D257="Inativo","Inativo",IFERROR(VLOOKUP($G257,Conf!$O:$Q,3,0),IFERROR(VLOOKUP($G257,Conf!$E:$F,2,0),VLOOKUP($S257,Conf!$K:$M,3,0))))</f>
        <v>OPERADOR CAIXA</v>
      </c>
      <c r="D257" s="72" t="str">
        <f ca="1">IFERROR(IF(TODAY()-K257&gt;365,"Inativo",IF(J257=2,"Férias",IF(J257=7,"Demitido","Afastamento"))),VLOOKUP(J257,Conf!$H:$I,2,0))</f>
        <v>Ativos</v>
      </c>
      <c r="E257" s="187">
        <v>3</v>
      </c>
      <c r="F257" s="187">
        <v>871</v>
      </c>
      <c r="G257" t="s">
        <v>1436</v>
      </c>
      <c r="H257" s="71"/>
      <c r="I257" t="s">
        <v>220</v>
      </c>
      <c r="J257" s="187">
        <v>1</v>
      </c>
      <c r="K257" t="s">
        <v>1385</v>
      </c>
      <c r="L257" s="185"/>
      <c r="M257" s="188">
        <v>46225</v>
      </c>
      <c r="N257" s="71"/>
      <c r="O257" s="71"/>
      <c r="P257" s="71"/>
      <c r="Q257" s="71"/>
      <c r="R257" s="71"/>
      <c r="S257" t="s">
        <v>281</v>
      </c>
      <c r="T257" s="71"/>
    </row>
    <row r="258" spans="1:20" x14ac:dyDescent="0.3">
      <c r="A258" s="72">
        <f>IFERROR(VLOOKUP($G258,Conf!$B:$C,2,0),E258)</f>
        <v>3</v>
      </c>
      <c r="B258" s="72" t="str">
        <f ca="1">IF(D258="Inativo","Inativo",IFERROR(VLOOKUP($G258,Conf!$O:$Q,2,0),VLOOKUP($S258,Conf!$K:$M,2,0)))</f>
        <v>FRENTE DE CAIXA</v>
      </c>
      <c r="C258" s="72" t="str">
        <f ca="1">IF(D258="Inativo","Inativo",IFERROR(VLOOKUP($G258,Conf!$O:$Q,3,0),IFERROR(VLOOKUP($G258,Conf!$E:$F,2,0),VLOOKUP($S258,Conf!$K:$M,3,0))))</f>
        <v>OPERADOR CAIXA</v>
      </c>
      <c r="D258" s="72" t="str">
        <f ca="1">IFERROR(IF(TODAY()-K258&gt;365,"Inativo",IF(J258=2,"Férias",IF(J258=7,"Demitido","Afastamento"))),VLOOKUP(J258,Conf!$H:$I,2,0))</f>
        <v>Ativos</v>
      </c>
      <c r="E258" s="187">
        <v>3</v>
      </c>
      <c r="F258" s="187">
        <v>877</v>
      </c>
      <c r="G258" t="s">
        <v>1619</v>
      </c>
      <c r="H258" s="71"/>
      <c r="I258" t="s">
        <v>220</v>
      </c>
      <c r="J258" s="187">
        <v>1</v>
      </c>
      <c r="K258" t="s">
        <v>1385</v>
      </c>
      <c r="L258" s="185"/>
      <c r="M258" s="188">
        <v>46296</v>
      </c>
      <c r="N258" s="71"/>
      <c r="O258" s="71"/>
      <c r="P258" s="71"/>
      <c r="Q258" s="71"/>
      <c r="R258" s="71"/>
      <c r="S258" t="s">
        <v>281</v>
      </c>
      <c r="T258" s="71"/>
    </row>
    <row r="259" spans="1:20" x14ac:dyDescent="0.3">
      <c r="A259" s="72">
        <f>IFERROR(VLOOKUP($G259,Conf!$B:$C,2,0),E259)</f>
        <v>3</v>
      </c>
      <c r="B259" s="72" t="str">
        <f ca="1">IF(D259="Inativo","Inativo",IFERROR(VLOOKUP($G259,Conf!$O:$Q,2,0),VLOOKUP($S259,Conf!$K:$M,2,0)))</f>
        <v>FRENTE DE CAIXA</v>
      </c>
      <c r="C259" s="72" t="str">
        <f ca="1">IF(D259="Inativo","Inativo",IFERROR(VLOOKUP($G259,Conf!$O:$Q,3,0),IFERROR(VLOOKUP($G259,Conf!$E:$F,2,0),VLOOKUP($S259,Conf!$K:$M,3,0))))</f>
        <v>OPERADOR CAIXA</v>
      </c>
      <c r="D259" s="72" t="str">
        <f ca="1">IFERROR(IF(TODAY()-K259&gt;365,"Inativo",IF(J259=2,"Férias",IF(J259=7,"Demitido","Afastamento"))),VLOOKUP(J259,Conf!$H:$I,2,0))</f>
        <v>Ativos</v>
      </c>
      <c r="E259" s="187">
        <v>3</v>
      </c>
      <c r="F259" s="187">
        <v>849</v>
      </c>
      <c r="G259" t="s">
        <v>496</v>
      </c>
      <c r="H259" s="71"/>
      <c r="I259" t="s">
        <v>220</v>
      </c>
      <c r="J259" s="187">
        <v>1</v>
      </c>
      <c r="K259" t="s">
        <v>1385</v>
      </c>
      <c r="L259" s="185"/>
      <c r="M259" s="188">
        <v>45964</v>
      </c>
      <c r="N259" s="71"/>
      <c r="O259" s="71"/>
      <c r="P259" s="71"/>
      <c r="Q259" s="71"/>
      <c r="R259" s="71"/>
      <c r="S259" t="s">
        <v>281</v>
      </c>
      <c r="T259" s="71"/>
    </row>
    <row r="260" spans="1:20" x14ac:dyDescent="0.3">
      <c r="A260" s="72">
        <f>IFERROR(VLOOKUP($G260,Conf!$B:$C,2,0),E260)</f>
        <v>3</v>
      </c>
      <c r="B260" s="72" t="str">
        <f ca="1">IF(D260="Inativo","Inativo",IFERROR(VLOOKUP($G260,Conf!$O:$Q,2,0),VLOOKUP($S260,Conf!$K:$M,2,0)))</f>
        <v>FRENTE DE CAIXA</v>
      </c>
      <c r="C260" s="72" t="str">
        <f ca="1">IF(D260="Inativo","Inativo",IFERROR(VLOOKUP($G260,Conf!$O:$Q,3,0),IFERROR(VLOOKUP($G260,Conf!$E:$F,2,0),VLOOKUP($S260,Conf!$K:$M,3,0))))</f>
        <v>OPERADOR CAIXA</v>
      </c>
      <c r="D260" s="72" t="str">
        <f ca="1">IFERROR(IF(TODAY()-K260&gt;365,"Inativo",IF(J260=2,"Férias",IF(J260=7,"Demitido","Afastamento"))),VLOOKUP(J260,Conf!$H:$I,2,0))</f>
        <v>Ativos</v>
      </c>
      <c r="E260" s="187">
        <v>3</v>
      </c>
      <c r="F260" s="187">
        <v>868</v>
      </c>
      <c r="G260" t="s">
        <v>497</v>
      </c>
      <c r="H260" s="71"/>
      <c r="I260" t="s">
        <v>220</v>
      </c>
      <c r="J260" s="187">
        <v>1</v>
      </c>
      <c r="K260" t="s">
        <v>1385</v>
      </c>
      <c r="L260" s="185"/>
      <c r="M260" s="188">
        <v>46164</v>
      </c>
      <c r="N260" s="71"/>
      <c r="O260" s="71"/>
      <c r="P260" s="71"/>
      <c r="Q260" s="71"/>
      <c r="R260" s="71"/>
      <c r="S260" t="s">
        <v>281</v>
      </c>
      <c r="T260" s="71"/>
    </row>
    <row r="261" spans="1:20" x14ac:dyDescent="0.3">
      <c r="A261" s="72">
        <f>IFERROR(VLOOKUP($G261,Conf!$B:$C,2,0),E261)</f>
        <v>3</v>
      </c>
      <c r="B261" s="72" t="str">
        <f ca="1">IF(D261="Inativo","Inativo",IFERROR(VLOOKUP($G261,Conf!$O:$Q,2,0),VLOOKUP($S261,Conf!$K:$M,2,0)))</f>
        <v>FRENTE DE CAIXA</v>
      </c>
      <c r="C261" s="72" t="str">
        <f ca="1">IF(D261="Inativo","Inativo",IFERROR(VLOOKUP($G261,Conf!$O:$Q,3,0),IFERROR(VLOOKUP($G261,Conf!$E:$F,2,0),VLOOKUP($S261,Conf!$K:$M,3,0))))</f>
        <v>OPERADOR CAIXA</v>
      </c>
      <c r="D261" s="72" t="str">
        <f ca="1">IFERROR(IF(TODAY()-K261&gt;365,"Inativo",IF(J261=2,"Férias",IF(J261=7,"Demitido","Afastamento"))),VLOOKUP(J261,Conf!$H:$I,2,0))</f>
        <v>Demitido</v>
      </c>
      <c r="E261" s="187">
        <v>3</v>
      </c>
      <c r="F261" s="187">
        <v>857</v>
      </c>
      <c r="G261" t="s">
        <v>498</v>
      </c>
      <c r="H261" s="71"/>
      <c r="I261" t="s">
        <v>220</v>
      </c>
      <c r="J261" s="187">
        <v>7</v>
      </c>
      <c r="K261" t="s">
        <v>1589</v>
      </c>
      <c r="L261" s="185"/>
      <c r="M261" s="188">
        <v>46062</v>
      </c>
      <c r="N261" s="71"/>
      <c r="Q261" s="71"/>
      <c r="R261" s="71"/>
      <c r="S261" t="s">
        <v>281</v>
      </c>
      <c r="T261" s="71"/>
    </row>
    <row r="262" spans="1:20" x14ac:dyDescent="0.3">
      <c r="A262" s="72">
        <f>IFERROR(VLOOKUP($G262,Conf!$B:$C,2,0),E262)</f>
        <v>3</v>
      </c>
      <c r="B262" s="72" t="str">
        <f ca="1">IF(D262="Inativo","Inativo",IFERROR(VLOOKUP($G262,Conf!$O:$Q,2,0),VLOOKUP($S262,Conf!$K:$M,2,0)))</f>
        <v>FRENTE DE CAIXA</v>
      </c>
      <c r="C262" s="72" t="str">
        <f ca="1">IF(D262="Inativo","Inativo",IFERROR(VLOOKUP($G262,Conf!$O:$Q,3,0),IFERROR(VLOOKUP($G262,Conf!$E:$F,2,0),VLOOKUP($S262,Conf!$K:$M,3,0))))</f>
        <v>OPERADOR CAIXA</v>
      </c>
      <c r="D262" s="72" t="str">
        <f ca="1">IFERROR(IF(TODAY()-K262&gt;365,"Inativo",IF(J262=2,"Férias",IF(J262=7,"Demitido","Afastamento"))),VLOOKUP(J262,Conf!$H:$I,2,0))</f>
        <v>Demitido</v>
      </c>
      <c r="E262" s="187">
        <v>3</v>
      </c>
      <c r="F262" s="187">
        <v>872</v>
      </c>
      <c r="G262" t="s">
        <v>1440</v>
      </c>
      <c r="H262" s="71"/>
      <c r="I262" t="s">
        <v>220</v>
      </c>
      <c r="J262" s="187">
        <v>7</v>
      </c>
      <c r="K262" t="s">
        <v>1656</v>
      </c>
      <c r="L262" s="185"/>
      <c r="M262" s="188">
        <v>46237</v>
      </c>
      <c r="N262" s="71"/>
      <c r="Q262" s="71"/>
      <c r="R262" s="71"/>
      <c r="S262" t="s">
        <v>281</v>
      </c>
      <c r="T262" s="71"/>
    </row>
    <row r="263" spans="1:20" x14ac:dyDescent="0.3">
      <c r="A263" s="72">
        <f>IFERROR(VLOOKUP($G263,Conf!$B:$C,2,0),E263)</f>
        <v>3</v>
      </c>
      <c r="B263" s="72" t="str">
        <f ca="1">IF(D263="Inativo","Inativo",IFERROR(VLOOKUP($G263,Conf!$O:$Q,2,0),VLOOKUP($S263,Conf!$K:$M,2,0)))</f>
        <v>FRENTE DE CAIXA</v>
      </c>
      <c r="C263" s="72" t="str">
        <f ca="1">IF(D263="Inativo","Inativo",IFERROR(VLOOKUP($G263,Conf!$O:$Q,3,0),IFERROR(VLOOKUP($G263,Conf!$E:$F,2,0),VLOOKUP($S263,Conf!$K:$M,3,0))))</f>
        <v>OPERADOR CAIXA</v>
      </c>
      <c r="D263" s="72" t="str">
        <f ca="1">IFERROR(IF(TODAY()-K263&gt;365,"Inativo",IF(J263=2,"Férias",IF(J263=7,"Demitido","Afastamento"))),VLOOKUP(J263,Conf!$H:$I,2,0))</f>
        <v>Ativos</v>
      </c>
      <c r="E263" s="187">
        <v>3</v>
      </c>
      <c r="F263" s="187">
        <v>874</v>
      </c>
      <c r="G263" t="s">
        <v>1553</v>
      </c>
      <c r="H263" s="71"/>
      <c r="I263" t="s">
        <v>220</v>
      </c>
      <c r="J263" s="187">
        <v>1</v>
      </c>
      <c r="K263" t="s">
        <v>1385</v>
      </c>
      <c r="L263" s="185"/>
      <c r="M263" s="188">
        <v>46279</v>
      </c>
      <c r="N263" s="71"/>
      <c r="Q263" s="71"/>
      <c r="R263" s="71"/>
      <c r="S263" t="s">
        <v>281</v>
      </c>
      <c r="T263" s="71"/>
    </row>
    <row r="264" spans="1:20" x14ac:dyDescent="0.3">
      <c r="A264" s="72">
        <f>IFERROR(VLOOKUP($G264,Conf!$B:$C,2,0),E264)</f>
        <v>3</v>
      </c>
      <c r="B264" s="72" t="str">
        <f ca="1">IF(D264="Inativo","Inativo",IFERROR(VLOOKUP($G264,Conf!$O:$Q,2,0),VLOOKUP($S264,Conf!$K:$M,2,0)))</f>
        <v>FRENTE DE CAIXA</v>
      </c>
      <c r="C264" s="72" t="str">
        <f ca="1">IF(D264="Inativo","Inativo",IFERROR(VLOOKUP($G264,Conf!$O:$Q,3,0),IFERROR(VLOOKUP($G264,Conf!$E:$F,2,0),VLOOKUP($S264,Conf!$K:$M,3,0))))</f>
        <v>OPERADOR CAIXA</v>
      </c>
      <c r="D264" s="72" t="str">
        <f ca="1">IFERROR(IF(TODAY()-K264&gt;365,"Inativo",IF(J264=2,"Férias",IF(J264=7,"Demitido","Afastamento"))),VLOOKUP(J264,Conf!$H:$I,2,0))</f>
        <v>Ativos</v>
      </c>
      <c r="E264" s="187">
        <v>3</v>
      </c>
      <c r="F264" s="187">
        <v>850</v>
      </c>
      <c r="G264" t="s">
        <v>499</v>
      </c>
      <c r="H264" s="71"/>
      <c r="I264" t="s">
        <v>220</v>
      </c>
      <c r="J264" s="187">
        <v>1</v>
      </c>
      <c r="K264" t="s">
        <v>1385</v>
      </c>
      <c r="L264" s="185"/>
      <c r="M264" s="188">
        <v>45968</v>
      </c>
      <c r="N264" s="71"/>
      <c r="O264" s="71"/>
      <c r="P264" s="71"/>
      <c r="Q264" s="71"/>
      <c r="R264" s="71"/>
      <c r="S264" t="s">
        <v>281</v>
      </c>
      <c r="T264" s="71"/>
    </row>
    <row r="265" spans="1:20" x14ac:dyDescent="0.3">
      <c r="A265" s="72">
        <f>IFERROR(VLOOKUP($G265,Conf!$B:$C,2,0),E265)</f>
        <v>3</v>
      </c>
      <c r="B265" s="72" t="str">
        <f ca="1">IF(D265="Inativo","Inativo",IFERROR(VLOOKUP($G265,Conf!$O:$Q,2,0),VLOOKUP($S265,Conf!$K:$M,2,0)))</f>
        <v>FRENTE DE CAIXA</v>
      </c>
      <c r="C265" s="72" t="str">
        <f ca="1">IF(D265="Inativo","Inativo",IFERROR(VLOOKUP($G265,Conf!$O:$Q,3,0),IFERROR(VLOOKUP($G265,Conf!$E:$F,2,0),VLOOKUP($S265,Conf!$K:$M,3,0))))</f>
        <v>OPERADOR CAIXA</v>
      </c>
      <c r="D265" s="72" t="str">
        <f ca="1">IFERROR(IF(TODAY()-K265&gt;365,"Inativo",IF(J265=2,"Férias",IF(J265=7,"Demitido","Afastamento"))),VLOOKUP(J265,Conf!$H:$I,2,0))</f>
        <v>Ativos</v>
      </c>
      <c r="E265" s="187">
        <v>3</v>
      </c>
      <c r="F265" s="187">
        <v>875</v>
      </c>
      <c r="G265" t="s">
        <v>1581</v>
      </c>
      <c r="H265" s="71"/>
      <c r="I265" t="s">
        <v>220</v>
      </c>
      <c r="J265" s="187">
        <v>1</v>
      </c>
      <c r="K265" t="s">
        <v>1385</v>
      </c>
      <c r="L265" s="185"/>
      <c r="M265" s="188">
        <v>46286</v>
      </c>
      <c r="N265" s="71"/>
      <c r="Q265" s="71"/>
      <c r="R265" s="71"/>
      <c r="S265" t="s">
        <v>281</v>
      </c>
      <c r="T265" s="71"/>
    </row>
    <row r="266" spans="1:20" x14ac:dyDescent="0.3">
      <c r="A266" s="72">
        <f>IFERROR(VLOOKUP($G266,Conf!$B:$C,2,0),E266)</f>
        <v>3</v>
      </c>
      <c r="B266" s="72" t="str">
        <f ca="1">IF(D266="Inativo","Inativo",IFERROR(VLOOKUP($G266,Conf!$O:$Q,2,0),VLOOKUP($S266,Conf!$K:$M,2,0)))</f>
        <v>FRENTE DE CAIXA</v>
      </c>
      <c r="C266" s="72" t="str">
        <f ca="1">IF(D266="Inativo","Inativo",IFERROR(VLOOKUP($G266,Conf!$O:$Q,3,0),IFERROR(VLOOKUP($G266,Conf!$E:$F,2,0),VLOOKUP($S266,Conf!$K:$M,3,0))))</f>
        <v>OPERADOR CAIXA</v>
      </c>
      <c r="D266" s="72" t="str">
        <f ca="1">IFERROR(IF(TODAY()-K266&gt;365,"Inativo",IF(J266=2,"Férias",IF(J266=7,"Demitido","Afastamento"))),VLOOKUP(J266,Conf!$H:$I,2,0))</f>
        <v>Ativos</v>
      </c>
      <c r="E266" s="187">
        <v>3</v>
      </c>
      <c r="F266" s="187">
        <v>853</v>
      </c>
      <c r="G266" t="s">
        <v>500</v>
      </c>
      <c r="H266" s="71"/>
      <c r="I266" t="s">
        <v>220</v>
      </c>
      <c r="J266" s="187">
        <v>1</v>
      </c>
      <c r="K266" t="s">
        <v>1385</v>
      </c>
      <c r="L266" s="185"/>
      <c r="M266" s="188">
        <v>46010</v>
      </c>
      <c r="N266" s="71"/>
      <c r="O266" s="71"/>
      <c r="P266" s="71"/>
      <c r="Q266" s="71"/>
      <c r="R266" s="71"/>
      <c r="S266" t="s">
        <v>281</v>
      </c>
      <c r="T266" s="71"/>
    </row>
    <row r="267" spans="1:20" x14ac:dyDescent="0.3">
      <c r="A267" s="72">
        <f>IFERROR(VLOOKUP($G267,Conf!$B:$C,2,0),E267)</f>
        <v>3</v>
      </c>
      <c r="B267" s="72" t="str">
        <f ca="1">IF(D267="Inativo","Inativo",IFERROR(VLOOKUP($G267,Conf!$O:$Q,2,0),VLOOKUP($S267,Conf!$K:$M,2,0)))</f>
        <v>FRENTE DE CAIXA</v>
      </c>
      <c r="C267" s="72" t="str">
        <f ca="1">IF(D267="Inativo","Inativo",IFERROR(VLOOKUP($G267,Conf!$O:$Q,3,0),IFERROR(VLOOKUP($G267,Conf!$E:$F,2,0),VLOOKUP($S267,Conf!$K:$M,3,0))))</f>
        <v>OPERADOR CAIXA</v>
      </c>
      <c r="D267" s="72" t="str">
        <f ca="1">IFERROR(IF(TODAY()-K267&gt;365,"Inativo",IF(J267=2,"Férias",IF(J267=7,"Demitido","Afastamento"))),VLOOKUP(J267,Conf!$H:$I,2,0))</f>
        <v>Demitido</v>
      </c>
      <c r="E267" s="187">
        <v>3</v>
      </c>
      <c r="F267" s="187">
        <v>843</v>
      </c>
      <c r="G267" t="s">
        <v>501</v>
      </c>
      <c r="H267" s="71"/>
      <c r="I267" t="s">
        <v>220</v>
      </c>
      <c r="J267" s="187">
        <v>7</v>
      </c>
      <c r="K267" t="s">
        <v>1589</v>
      </c>
      <c r="L267" s="185"/>
      <c r="M267" s="188">
        <v>45955</v>
      </c>
      <c r="N267" s="71"/>
      <c r="O267" s="71"/>
      <c r="P267" s="71"/>
      <c r="Q267" s="71"/>
      <c r="R267" s="71"/>
      <c r="S267" t="s">
        <v>281</v>
      </c>
      <c r="T267" s="71"/>
    </row>
    <row r="268" spans="1:20" x14ac:dyDescent="0.3">
      <c r="A268" s="72">
        <f>IFERROR(VLOOKUP($G268,Conf!$B:$C,2,0),E268)</f>
        <v>3</v>
      </c>
      <c r="B268" s="72" t="str">
        <f ca="1">IF(D268="Inativo","Inativo",IFERROR(VLOOKUP($G268,Conf!$O:$Q,2,0),VLOOKUP($S268,Conf!$K:$M,2,0)))</f>
        <v>FRENTE DE CAIXA</v>
      </c>
      <c r="C268" s="72" t="str">
        <f ca="1">IF(D268="Inativo","Inativo",IFERROR(VLOOKUP($G268,Conf!$O:$Q,3,0),IFERROR(VLOOKUP($G268,Conf!$E:$F,2,0),VLOOKUP($S268,Conf!$K:$M,3,0))))</f>
        <v>OPERADOR CAIXA</v>
      </c>
      <c r="D268" s="72" t="str">
        <f ca="1">IFERROR(IF(TODAY()-K268&gt;365,"Inativo",IF(J268=2,"Férias",IF(J268=7,"Demitido","Afastamento"))),VLOOKUP(J268,Conf!$H:$I,2,0))</f>
        <v>Ativos</v>
      </c>
      <c r="E268" s="187">
        <v>3</v>
      </c>
      <c r="F268" s="187">
        <v>867</v>
      </c>
      <c r="G268" t="s">
        <v>502</v>
      </c>
      <c r="H268" s="71"/>
      <c r="I268" t="s">
        <v>220</v>
      </c>
      <c r="J268" s="187">
        <v>1</v>
      </c>
      <c r="K268" t="s">
        <v>1385</v>
      </c>
      <c r="L268" s="185"/>
      <c r="M268" s="188">
        <v>46150</v>
      </c>
      <c r="N268" s="71"/>
      <c r="O268" s="71"/>
      <c r="P268" s="71"/>
      <c r="Q268" s="71"/>
      <c r="R268" s="71"/>
      <c r="S268" t="s">
        <v>281</v>
      </c>
      <c r="T268" s="71"/>
    </row>
    <row r="269" spans="1:20" x14ac:dyDescent="0.3">
      <c r="A269" s="72">
        <f>IFERROR(VLOOKUP($G269,Conf!$B:$C,2,0),E269)</f>
        <v>3</v>
      </c>
      <c r="B269" s="72" t="str">
        <f ca="1">IF(D269="Inativo","Inativo",IFERROR(VLOOKUP($G269,Conf!$O:$Q,2,0),VLOOKUP($S269,Conf!$K:$M,2,0)))</f>
        <v>FRENTE DE CAIXA</v>
      </c>
      <c r="C269" s="72" t="str">
        <f ca="1">IF(D269="Inativo","Inativo",IFERROR(VLOOKUP($G269,Conf!$O:$Q,3,0),IFERROR(VLOOKUP($G269,Conf!$E:$F,2,0),VLOOKUP($S269,Conf!$K:$M,3,0))))</f>
        <v>OPERADOR CAIXA</v>
      </c>
      <c r="D269" s="72" t="str">
        <f ca="1">IFERROR(IF(TODAY()-K269&gt;365,"Inativo",IF(J269=2,"Férias",IF(J269=7,"Demitido","Afastamento"))),VLOOKUP(J269,Conf!$H:$I,2,0))</f>
        <v>Ativos</v>
      </c>
      <c r="E269" s="187">
        <v>3</v>
      </c>
      <c r="F269" s="187">
        <v>830</v>
      </c>
      <c r="G269" t="s">
        <v>503</v>
      </c>
      <c r="H269" s="71"/>
      <c r="I269" t="s">
        <v>220</v>
      </c>
      <c r="J269" s="187">
        <v>1</v>
      </c>
      <c r="K269" t="s">
        <v>1385</v>
      </c>
      <c r="L269" s="185"/>
      <c r="M269" s="188">
        <v>45741</v>
      </c>
      <c r="N269" s="71"/>
      <c r="O269" s="71"/>
      <c r="P269" s="71"/>
      <c r="Q269" s="71"/>
      <c r="R269" s="71"/>
      <c r="S269" t="s">
        <v>281</v>
      </c>
      <c r="T269" s="71"/>
    </row>
    <row r="270" spans="1:20" x14ac:dyDescent="0.3">
      <c r="A270" s="72">
        <f>IFERROR(VLOOKUP($G270,Conf!$B:$C,2,0),E270)</f>
        <v>3</v>
      </c>
      <c r="B270" s="72" t="str">
        <f ca="1">IF(D270="Inativo","Inativo",IFERROR(VLOOKUP($G270,Conf!$O:$Q,2,0),VLOOKUP($S270,Conf!$K:$M,2,0)))</f>
        <v>FRIOS</v>
      </c>
      <c r="C270" s="72" t="str">
        <f ca="1">IF(D270="Inativo","Inativo",IFERROR(VLOOKUP($G270,Conf!$O:$Q,3,0),IFERROR(VLOOKUP($G270,Conf!$E:$F,2,0),VLOOKUP($S270,Conf!$K:$M,3,0))))</f>
        <v>ATENDENTE</v>
      </c>
      <c r="D270" s="72" t="str">
        <f ca="1">IFERROR(IF(TODAY()-K270&gt;365,"Inativo",IF(J270=2,"Férias",IF(J270=7,"Demitido","Afastamento"))),VLOOKUP(J270,Conf!$H:$I,2,0))</f>
        <v>Demitido</v>
      </c>
      <c r="E270" s="187">
        <v>3</v>
      </c>
      <c r="F270" s="187">
        <v>709</v>
      </c>
      <c r="G270" t="s">
        <v>504</v>
      </c>
      <c r="H270" s="71"/>
      <c r="I270" t="s">
        <v>220</v>
      </c>
      <c r="J270" s="187">
        <v>7</v>
      </c>
      <c r="K270" t="s">
        <v>1590</v>
      </c>
      <c r="L270" s="185"/>
      <c r="M270" s="188">
        <v>44951</v>
      </c>
      <c r="N270" s="71"/>
      <c r="Q270" s="71"/>
      <c r="R270" s="71"/>
      <c r="S270" t="s">
        <v>306</v>
      </c>
      <c r="T270" s="71"/>
    </row>
    <row r="271" spans="1:20" x14ac:dyDescent="0.3">
      <c r="A271" s="72">
        <f>IFERROR(VLOOKUP($G271,Conf!$B:$C,2,0),E271)</f>
        <v>3</v>
      </c>
      <c r="B271" s="72" t="str">
        <f ca="1">IF(D271="Inativo","Inativo",IFERROR(VLOOKUP($G271,Conf!$O:$Q,2,0),VLOOKUP($S271,Conf!$K:$M,2,0)))</f>
        <v>FRIOS</v>
      </c>
      <c r="C271" s="72" t="str">
        <f ca="1">IF(D271="Inativo","Inativo",IFERROR(VLOOKUP($G271,Conf!$O:$Q,3,0),IFERROR(VLOOKUP($G271,Conf!$E:$F,2,0),VLOOKUP($S271,Conf!$K:$M,3,0))))</f>
        <v>ENCARREGADO</v>
      </c>
      <c r="D271" s="72" t="str">
        <f ca="1">IFERROR(IF(TODAY()-K271&gt;365,"Inativo",IF(J271=2,"Férias",IF(J271=7,"Demitido","Afastamento"))),VLOOKUP(J271,Conf!$H:$I,2,0))</f>
        <v>Ativos</v>
      </c>
      <c r="E271" s="187">
        <v>3</v>
      </c>
      <c r="F271" s="187">
        <v>9</v>
      </c>
      <c r="G271" t="s">
        <v>505</v>
      </c>
      <c r="H271" s="71"/>
      <c r="I271" t="s">
        <v>319</v>
      </c>
      <c r="J271" s="187">
        <v>1</v>
      </c>
      <c r="K271" t="s">
        <v>1385</v>
      </c>
      <c r="L271" s="185"/>
      <c r="M271" s="188">
        <v>46153</v>
      </c>
      <c r="N271" s="71"/>
      <c r="O271" s="71"/>
      <c r="P271" s="71"/>
      <c r="Q271" s="71"/>
      <c r="R271" s="71"/>
      <c r="S271" t="s">
        <v>506</v>
      </c>
      <c r="T271" s="71"/>
    </row>
    <row r="272" spans="1:20" x14ac:dyDescent="0.3">
      <c r="A272" s="72">
        <f>IFERROR(VLOOKUP($G272,Conf!$B:$C,2,0),E272)</f>
        <v>3</v>
      </c>
      <c r="B272" s="72" t="str">
        <f ca="1">IF(D272="Inativo","Inativo",IFERROR(VLOOKUP($G272,Conf!$O:$Q,2,0),VLOOKUP($S272,Conf!$K:$M,2,0)))</f>
        <v>FRIOS</v>
      </c>
      <c r="C272" s="72" t="str">
        <f ca="1">IF(D272="Inativo","Inativo",IFERROR(VLOOKUP($G272,Conf!$O:$Q,3,0),IFERROR(VLOOKUP($G272,Conf!$E:$F,2,0),VLOOKUP($S272,Conf!$K:$M,3,0))))</f>
        <v>REPOSITOR</v>
      </c>
      <c r="D272" s="72" t="str">
        <f ca="1">IFERROR(IF(TODAY()-K272&gt;365,"Inativo",IF(J272=2,"Férias",IF(J272=7,"Demitido","Afastamento"))),VLOOKUP(J272,Conf!$H:$I,2,0))</f>
        <v>Afastamento</v>
      </c>
      <c r="E272" s="187">
        <v>3</v>
      </c>
      <c r="F272" s="187">
        <v>14</v>
      </c>
      <c r="G272" t="s">
        <v>1312</v>
      </c>
      <c r="H272" s="71"/>
      <c r="I272" t="s">
        <v>220</v>
      </c>
      <c r="J272" s="187">
        <v>23</v>
      </c>
      <c r="K272" t="s">
        <v>1641</v>
      </c>
      <c r="L272" s="185"/>
      <c r="M272" s="188">
        <v>46176</v>
      </c>
      <c r="N272" s="71"/>
      <c r="Q272" s="71"/>
      <c r="R272" s="71"/>
      <c r="S272" t="s">
        <v>1313</v>
      </c>
      <c r="T272" s="71"/>
    </row>
    <row r="273" spans="1:20" x14ac:dyDescent="0.3">
      <c r="A273" s="72">
        <f>IFERROR(VLOOKUP($G273,Conf!$B:$C,2,0),E273)</f>
        <v>3</v>
      </c>
      <c r="B273" s="72" t="str">
        <f ca="1">IF(D273="Inativo","Inativo",IFERROR(VLOOKUP($G273,Conf!$O:$Q,2,0),VLOOKUP($S273,Conf!$K:$M,2,0)))</f>
        <v>FRIOS</v>
      </c>
      <c r="C273" s="72" t="str">
        <f ca="1">IF(D273="Inativo","Inativo",IFERROR(VLOOKUP($G273,Conf!$O:$Q,3,0),IFERROR(VLOOKUP($G273,Conf!$E:$F,2,0),VLOOKUP($S273,Conf!$K:$M,3,0))))</f>
        <v>REPOSITOR</v>
      </c>
      <c r="D273" s="72" t="str">
        <f ca="1">IFERROR(IF(TODAY()-K273&gt;365,"Inativo",IF(J273=2,"Férias",IF(J273=7,"Demitido","Afastamento"))),VLOOKUP(J273,Conf!$H:$I,2,0))</f>
        <v>Ativos</v>
      </c>
      <c r="E273" s="187">
        <v>3</v>
      </c>
      <c r="F273" s="187">
        <v>15</v>
      </c>
      <c r="G273" t="s">
        <v>1314</v>
      </c>
      <c r="H273" s="71"/>
      <c r="I273" t="s">
        <v>220</v>
      </c>
      <c r="J273" s="187">
        <v>1</v>
      </c>
      <c r="K273" t="s">
        <v>1385</v>
      </c>
      <c r="L273" s="185"/>
      <c r="M273" s="188">
        <v>46181</v>
      </c>
      <c r="N273" s="71"/>
      <c r="O273" s="71"/>
      <c r="P273" s="71"/>
      <c r="Q273" s="71"/>
      <c r="R273" s="71"/>
      <c r="S273" t="s">
        <v>1313</v>
      </c>
      <c r="T273" s="71"/>
    </row>
    <row r="274" spans="1:20" x14ac:dyDescent="0.3">
      <c r="A274" s="72">
        <f>IFERROR(VLOOKUP($G274,Conf!$B:$C,2,0),E274)</f>
        <v>3</v>
      </c>
      <c r="B274" s="72" t="str">
        <f ca="1">IF(D274="Inativo","Inativo",IFERROR(VLOOKUP($G274,Conf!$O:$Q,2,0),VLOOKUP($S274,Conf!$K:$M,2,0)))</f>
        <v>FRIOS</v>
      </c>
      <c r="C274" s="72" t="str">
        <f ca="1">IF(D274="Inativo","Inativo",IFERROR(VLOOKUP($G274,Conf!$O:$Q,3,0),IFERROR(VLOOKUP($G274,Conf!$E:$F,2,0),VLOOKUP($S274,Conf!$K:$M,3,0))))</f>
        <v>REPOSITOR</v>
      </c>
      <c r="D274" s="72" t="str">
        <f ca="1">IFERROR(IF(TODAY()-K274&gt;365,"Inativo",IF(J274=2,"Férias",IF(J274=7,"Demitido","Afastamento"))),VLOOKUP(J274,Conf!$H:$I,2,0))</f>
        <v>Ativos</v>
      </c>
      <c r="E274" s="187">
        <v>3</v>
      </c>
      <c r="F274" s="187">
        <v>705</v>
      </c>
      <c r="G274" t="s">
        <v>507</v>
      </c>
      <c r="H274" s="71"/>
      <c r="I274" t="s">
        <v>220</v>
      </c>
      <c r="J274" s="187">
        <v>1</v>
      </c>
      <c r="K274" t="s">
        <v>1385</v>
      </c>
      <c r="L274" s="185"/>
      <c r="M274" s="188">
        <v>44908</v>
      </c>
      <c r="N274" s="71"/>
      <c r="O274" s="71"/>
      <c r="P274" s="71"/>
      <c r="Q274" s="71"/>
      <c r="R274" s="71"/>
      <c r="S274" t="s">
        <v>508</v>
      </c>
      <c r="T274" s="71"/>
    </row>
    <row r="275" spans="1:20" x14ac:dyDescent="0.3">
      <c r="A275" s="72">
        <f>IFERROR(VLOOKUP($G275,Conf!$B:$C,2,0),E275)</f>
        <v>3</v>
      </c>
      <c r="B275" s="72" t="str">
        <f ca="1">IF(D275="Inativo","Inativo",IFERROR(VLOOKUP($G275,Conf!$O:$Q,2,0),VLOOKUP($S275,Conf!$K:$M,2,0)))</f>
        <v>GERÊNCIA</v>
      </c>
      <c r="C275" s="72" t="str">
        <f ca="1">IF(D275="Inativo","Inativo",IFERROR(VLOOKUP($G275,Conf!$O:$Q,3,0),IFERROR(VLOOKUP($G275,Conf!$E:$F,2,0),VLOOKUP($S275,Conf!$K:$M,3,0))))</f>
        <v>GERENTE</v>
      </c>
      <c r="D275" s="72" t="str">
        <f ca="1">IFERROR(IF(TODAY()-K275&gt;365,"Inativo",IF(J275=2,"Férias",IF(J275=7,"Demitido","Afastamento"))),VLOOKUP(J275,Conf!$H:$I,2,0))</f>
        <v>Ativos</v>
      </c>
      <c r="E275" s="187">
        <v>6</v>
      </c>
      <c r="F275" s="187">
        <v>2404</v>
      </c>
      <c r="G275" t="s">
        <v>738</v>
      </c>
      <c r="H275" s="71"/>
      <c r="I275" t="s">
        <v>350</v>
      </c>
      <c r="J275" s="187">
        <v>1</v>
      </c>
      <c r="K275" t="s">
        <v>1385</v>
      </c>
      <c r="L275" s="185"/>
      <c r="M275" s="188">
        <v>46087</v>
      </c>
      <c r="N275" s="71"/>
      <c r="O275" s="71"/>
      <c r="P275" s="71"/>
      <c r="Q275" s="71"/>
      <c r="R275" s="71"/>
      <c r="S275" t="s">
        <v>351</v>
      </c>
      <c r="T275" s="71"/>
    </row>
    <row r="276" spans="1:20" x14ac:dyDescent="0.3">
      <c r="A276" s="72">
        <f>IFERROR(VLOOKUP($G276,Conf!$B:$C,2,0),E276)</f>
        <v>3</v>
      </c>
      <c r="B276" s="72" t="str">
        <f ca="1">IF(D276="Inativo","Inativo",IFERROR(VLOOKUP($G276,Conf!$O:$Q,2,0),VLOOKUP($S276,Conf!$K:$M,2,0)))</f>
        <v>GERÊNCIA</v>
      </c>
      <c r="C276" s="72" t="str">
        <f ca="1">IF(D276="Inativo","Inativo",IFERROR(VLOOKUP($G276,Conf!$O:$Q,3,0),IFERROR(VLOOKUP($G276,Conf!$E:$F,2,0),VLOOKUP($S276,Conf!$K:$M,3,0))))</f>
        <v>SUBGERENTE</v>
      </c>
      <c r="D276" s="72" t="str">
        <f ca="1">IFERROR(IF(TODAY()-K276&gt;365,"Inativo",IF(J276=2,"Férias",IF(J276=7,"Demitido","Afastamento"))),VLOOKUP(J276,Conf!$H:$I,2,0))</f>
        <v>Ativos</v>
      </c>
      <c r="E276" s="187">
        <v>3</v>
      </c>
      <c r="F276" s="187">
        <v>21</v>
      </c>
      <c r="G276" t="s">
        <v>1439</v>
      </c>
      <c r="H276" s="71"/>
      <c r="I276" t="s">
        <v>350</v>
      </c>
      <c r="J276" s="187">
        <v>1</v>
      </c>
      <c r="K276" t="s">
        <v>1385</v>
      </c>
      <c r="L276" s="185"/>
      <c r="M276" s="188">
        <v>46237</v>
      </c>
      <c r="N276" s="71"/>
      <c r="O276" s="71"/>
      <c r="P276" s="71"/>
      <c r="Q276" s="71"/>
      <c r="R276" s="71"/>
      <c r="S276" t="s">
        <v>527</v>
      </c>
      <c r="T276" s="71"/>
    </row>
    <row r="277" spans="1:20" x14ac:dyDescent="0.3">
      <c r="A277" s="72">
        <f>IFERROR(VLOOKUP($G277,Conf!$B:$C,2,0),E277)</f>
        <v>3</v>
      </c>
      <c r="B277" s="72" t="str">
        <f ca="1">IF(D277="Inativo","Inativo",IFERROR(VLOOKUP($G277,Conf!$O:$Q,2,0),VLOOKUP($S277,Conf!$K:$M,2,0)))</f>
        <v>HORTIFRUTI</v>
      </c>
      <c r="C277" s="72" t="str">
        <f ca="1">IF(D277="Inativo","Inativo",IFERROR(VLOOKUP($G277,Conf!$O:$Q,3,0),IFERROR(VLOOKUP($G277,Conf!$E:$F,2,0),VLOOKUP($S277,Conf!$K:$M,3,0))))</f>
        <v>ENCARREGADO</v>
      </c>
      <c r="D277" s="72" t="str">
        <f ca="1">IFERROR(IF(TODAY()-K277&gt;365,"Inativo",IF(J277=2,"Férias",IF(J277=7,"Demitido","Afastamento"))),VLOOKUP(J277,Conf!$H:$I,2,0))</f>
        <v>Ativos</v>
      </c>
      <c r="E277" s="187">
        <v>3</v>
      </c>
      <c r="F277" s="187">
        <v>46</v>
      </c>
      <c r="G277" t="s">
        <v>1374</v>
      </c>
      <c r="H277" s="71"/>
      <c r="I277" t="s">
        <v>222</v>
      </c>
      <c r="J277" s="187">
        <v>1</v>
      </c>
      <c r="K277" t="s">
        <v>1385</v>
      </c>
      <c r="L277" s="185"/>
      <c r="M277" s="188">
        <v>45617</v>
      </c>
      <c r="N277" s="71"/>
      <c r="Q277" s="71"/>
      <c r="R277" s="71"/>
      <c r="S277" t="s">
        <v>509</v>
      </c>
      <c r="T277" s="71"/>
    </row>
    <row r="278" spans="1:20" x14ac:dyDescent="0.3">
      <c r="A278" s="72">
        <f>IFERROR(VLOOKUP($G278,Conf!$B:$C,2,0),E278)</f>
        <v>3</v>
      </c>
      <c r="B278" s="72" t="str">
        <f ca="1">IF(D278="Inativo","Inativo",IFERROR(VLOOKUP($G278,Conf!$O:$Q,2,0),VLOOKUP($S278,Conf!$K:$M,2,0)))</f>
        <v>HORTIFRUTI</v>
      </c>
      <c r="C278" s="72" t="str">
        <f ca="1">IF(D278="Inativo","Inativo",IFERROR(VLOOKUP($G278,Conf!$O:$Q,3,0),IFERROR(VLOOKUP($G278,Conf!$E:$F,2,0),VLOOKUP($S278,Conf!$K:$M,3,0))))</f>
        <v>REPOSITOR</v>
      </c>
      <c r="D278" s="72" t="str">
        <f ca="1">IFERROR(IF(TODAY()-K278&gt;365,"Inativo",IF(J278=2,"Férias",IF(J278=7,"Demitido","Afastamento"))),VLOOKUP(J278,Conf!$H:$I,2,0))</f>
        <v>Ativos</v>
      </c>
      <c r="E278" s="187">
        <v>3</v>
      </c>
      <c r="F278" s="187">
        <v>196</v>
      </c>
      <c r="G278" t="s">
        <v>1377</v>
      </c>
      <c r="H278" s="71"/>
      <c r="I278" t="s">
        <v>220</v>
      </c>
      <c r="J278" s="187">
        <v>1</v>
      </c>
      <c r="K278" t="s">
        <v>1385</v>
      </c>
      <c r="L278" s="185"/>
      <c r="M278" s="188">
        <v>46077</v>
      </c>
      <c r="N278" s="71"/>
      <c r="O278" s="71"/>
      <c r="P278" s="71"/>
      <c r="Q278" s="71"/>
      <c r="R278" s="71"/>
      <c r="S278" t="s">
        <v>510</v>
      </c>
      <c r="T278" s="71"/>
    </row>
    <row r="279" spans="1:20" x14ac:dyDescent="0.3">
      <c r="A279" s="72">
        <f>IFERROR(VLOOKUP($G279,Conf!$B:$C,2,0),E279)</f>
        <v>3</v>
      </c>
      <c r="B279" s="72" t="str">
        <f ca="1">IF(D279="Inativo","Inativo",IFERROR(VLOOKUP($G279,Conf!$O:$Q,2,0),VLOOKUP($S279,Conf!$K:$M,2,0)))</f>
        <v>HORTIFRUTI</v>
      </c>
      <c r="C279" s="72" t="str">
        <f ca="1">IF(D279="Inativo","Inativo",IFERROR(VLOOKUP($G279,Conf!$O:$Q,3,0),IFERROR(VLOOKUP($G279,Conf!$E:$F,2,0),VLOOKUP($S279,Conf!$K:$M,3,0))))</f>
        <v>REPOSITOR</v>
      </c>
      <c r="D279" s="72" t="str">
        <f ca="1">IFERROR(IF(TODAY()-K279&gt;365,"Inativo",IF(J279=2,"Férias",IF(J279=7,"Demitido","Afastamento"))),VLOOKUP(J279,Conf!$H:$I,2,0))</f>
        <v>Ativos</v>
      </c>
      <c r="E279" s="187">
        <v>3</v>
      </c>
      <c r="F279" s="187">
        <v>112</v>
      </c>
      <c r="G279" t="s">
        <v>1376</v>
      </c>
      <c r="H279" s="71"/>
      <c r="I279" t="s">
        <v>296</v>
      </c>
      <c r="J279" s="187">
        <v>1</v>
      </c>
      <c r="K279" t="s">
        <v>1385</v>
      </c>
      <c r="L279" s="185"/>
      <c r="M279" s="188">
        <v>45818</v>
      </c>
      <c r="N279" s="71"/>
      <c r="Q279" s="71"/>
      <c r="R279" s="71"/>
      <c r="S279" t="s">
        <v>510</v>
      </c>
      <c r="T279" s="71"/>
    </row>
    <row r="280" spans="1:20" x14ac:dyDescent="0.3">
      <c r="A280" s="72">
        <f>IFERROR(VLOOKUP($G280,Conf!$B:$C,2,0),E280)</f>
        <v>3</v>
      </c>
      <c r="B280" s="72" t="str">
        <f ca="1">IF(D280="Inativo","Inativo",IFERROR(VLOOKUP($G280,Conf!$O:$Q,2,0),VLOOKUP($S280,Conf!$K:$M,2,0)))</f>
        <v>HORTIFRUTI</v>
      </c>
      <c r="C280" s="72" t="str">
        <f ca="1">IF(D280="Inativo","Inativo",IFERROR(VLOOKUP($G280,Conf!$O:$Q,3,0),IFERROR(VLOOKUP($G280,Conf!$E:$F,2,0),VLOOKUP($S280,Conf!$K:$M,3,0))))</f>
        <v>REPOSITOR</v>
      </c>
      <c r="D280" s="72" t="str">
        <f ca="1">IFERROR(IF(TODAY()-K280&gt;365,"Inativo",IF(J280=2,"Férias",IF(J280=7,"Demitido","Afastamento"))),VLOOKUP(J280,Conf!$H:$I,2,0))</f>
        <v>Ativos</v>
      </c>
      <c r="E280" s="187">
        <v>3</v>
      </c>
      <c r="F280" s="187">
        <v>96</v>
      </c>
      <c r="G280" t="s">
        <v>1375</v>
      </c>
      <c r="H280" s="71"/>
      <c r="I280" t="s">
        <v>220</v>
      </c>
      <c r="J280" s="187">
        <v>1</v>
      </c>
      <c r="K280" t="s">
        <v>1385</v>
      </c>
      <c r="L280" s="185"/>
      <c r="M280" s="188">
        <v>45762</v>
      </c>
      <c r="N280" s="71"/>
      <c r="O280" s="71"/>
      <c r="P280" s="71"/>
      <c r="Q280" s="71"/>
      <c r="R280" s="71"/>
      <c r="S280" t="s">
        <v>510</v>
      </c>
      <c r="T280" s="71"/>
    </row>
    <row r="281" spans="1:20" x14ac:dyDescent="0.3">
      <c r="A281" s="72">
        <f>IFERROR(VLOOKUP($G281,Conf!$B:$C,2,0),E281)</f>
        <v>3</v>
      </c>
      <c r="B281" s="72" t="str">
        <f ca="1">IF(D281="Inativo","Inativo",IFERROR(VLOOKUP($G281,Conf!$O:$Q,2,0),VLOOKUP($S281,Conf!$K:$M,2,0)))</f>
        <v>Inativo</v>
      </c>
      <c r="C281" s="72" t="str">
        <f ca="1">IF(D281="Inativo","Inativo",IFERROR(VLOOKUP($G281,Conf!$O:$Q,3,0),IFERROR(VLOOKUP($G281,Conf!$E:$F,2,0),VLOOKUP($S281,Conf!$K:$M,3,0))))</f>
        <v>Inativo</v>
      </c>
      <c r="D281" s="72" t="str">
        <f ca="1">IFERROR(IF(TODAY()-K281&gt;365,"Inativo",IF(J281=2,"Férias",IF(J281=7,"Demitido","Afastamento"))),VLOOKUP(J281,Conf!$H:$I,2,0))</f>
        <v>Inativo</v>
      </c>
      <c r="E281" s="187">
        <v>3</v>
      </c>
      <c r="F281" s="187">
        <v>273</v>
      </c>
      <c r="G281" t="s">
        <v>529</v>
      </c>
      <c r="H281" s="71"/>
      <c r="I281" t="s">
        <v>220</v>
      </c>
      <c r="J281" s="187">
        <v>3</v>
      </c>
      <c r="K281" t="s">
        <v>530</v>
      </c>
      <c r="L281" s="185"/>
      <c r="M281" s="188">
        <v>41709</v>
      </c>
      <c r="N281" s="71"/>
      <c r="Q281" s="71"/>
      <c r="R281" s="71"/>
      <c r="S281" t="s">
        <v>457</v>
      </c>
      <c r="T281" s="71"/>
    </row>
    <row r="282" spans="1:20" x14ac:dyDescent="0.3">
      <c r="A282" s="72">
        <f>IFERROR(VLOOKUP($G282,Conf!$B:$C,2,0),E282)</f>
        <v>3</v>
      </c>
      <c r="B282" s="72" t="str">
        <f ca="1">IF(D282="Inativo","Inativo",IFERROR(VLOOKUP($G282,Conf!$O:$Q,2,0),VLOOKUP($S282,Conf!$K:$M,2,0)))</f>
        <v>LOJA</v>
      </c>
      <c r="C282" s="72" t="str">
        <f ca="1">IF(D282="Inativo","Inativo",IFERROR(VLOOKUP($G282,Conf!$O:$Q,3,0),IFERROR(VLOOKUP($G282,Conf!$E:$F,2,0),VLOOKUP($S282,Conf!$K:$M,3,0))))</f>
        <v>CARTAZISTA</v>
      </c>
      <c r="D282" s="72" t="str">
        <f ca="1">IFERROR(IF(TODAY()-K282&gt;365,"Inativo",IF(J282=2,"Férias",IF(J282=7,"Demitido","Afastamento"))),VLOOKUP(J282,Conf!$H:$I,2,0))</f>
        <v>Ativos</v>
      </c>
      <c r="E282" s="187">
        <v>3</v>
      </c>
      <c r="F282" s="187">
        <v>672</v>
      </c>
      <c r="G282" t="s">
        <v>516</v>
      </c>
      <c r="H282" s="71"/>
      <c r="I282" t="s">
        <v>319</v>
      </c>
      <c r="J282" s="187">
        <v>1</v>
      </c>
      <c r="K282" t="s">
        <v>1385</v>
      </c>
      <c r="L282" s="185"/>
      <c r="M282" s="188">
        <v>44643</v>
      </c>
      <c r="N282" s="71"/>
      <c r="Q282" s="71"/>
      <c r="R282" s="71"/>
      <c r="S282" t="s">
        <v>346</v>
      </c>
      <c r="T282" s="71"/>
    </row>
    <row r="283" spans="1:20" x14ac:dyDescent="0.3">
      <c r="A283" s="72">
        <f>IFERROR(VLOOKUP($G283,Conf!$B:$C,2,0),E283)</f>
        <v>3</v>
      </c>
      <c r="B283" s="72" t="str">
        <f ca="1">IF(D283="Inativo","Inativo",IFERROR(VLOOKUP($G283,Conf!$O:$Q,2,0),VLOOKUP($S283,Conf!$K:$M,2,0)))</f>
        <v>LOJA</v>
      </c>
      <c r="C283" s="72" t="str">
        <f ca="1">IF(D283="Inativo","Inativo",IFERROR(VLOOKUP($G283,Conf!$O:$Q,3,0),IFERROR(VLOOKUP($G283,Conf!$E:$F,2,0),VLOOKUP($S283,Conf!$K:$M,3,0))))</f>
        <v>ENCARREGADO</v>
      </c>
      <c r="D283" s="72" t="str">
        <f ca="1">IFERROR(IF(TODAY()-K283&gt;365,"Inativo",IF(J283=2,"Férias",IF(J283=7,"Demitido","Afastamento"))),VLOOKUP(J283,Conf!$H:$I,2,0))</f>
        <v>Ativos</v>
      </c>
      <c r="E283" s="187">
        <v>3</v>
      </c>
      <c r="F283" s="187">
        <v>24</v>
      </c>
      <c r="G283" t="s">
        <v>1487</v>
      </c>
      <c r="H283" s="71"/>
      <c r="I283" t="s">
        <v>220</v>
      </c>
      <c r="J283" s="187">
        <v>1</v>
      </c>
      <c r="K283" t="s">
        <v>1385</v>
      </c>
      <c r="L283" s="185"/>
      <c r="M283" s="188">
        <v>46254</v>
      </c>
      <c r="N283" s="71"/>
      <c r="Q283" s="71"/>
      <c r="R283" s="71"/>
      <c r="S283" t="s">
        <v>1497</v>
      </c>
      <c r="T283" s="71"/>
    </row>
    <row r="284" spans="1:20" x14ac:dyDescent="0.3">
      <c r="A284" s="72">
        <f>IFERROR(VLOOKUP($G284,Conf!$B:$C,2,0),E284)</f>
        <v>3</v>
      </c>
      <c r="B284" s="72" t="str">
        <f ca="1">IF(D284="Inativo","Inativo",IFERROR(VLOOKUP($G284,Conf!$O:$Q,2,0),VLOOKUP($S284,Conf!$K:$M,2,0)))</f>
        <v>LOJA</v>
      </c>
      <c r="C284" s="72" t="str">
        <f ca="1">IF(D284="Inativo","Inativo",IFERROR(VLOOKUP($G284,Conf!$O:$Q,3,0),IFERROR(VLOOKUP($G284,Conf!$E:$F,2,0),VLOOKUP($S284,Conf!$K:$M,3,0))))</f>
        <v>ENCARREGADO</v>
      </c>
      <c r="D284" s="72" t="str">
        <f ca="1">IFERROR(IF(TODAY()-K284&gt;365,"Inativo",IF(J284=2,"Férias",IF(J284=7,"Demitido","Afastamento"))),VLOOKUP(J284,Conf!$H:$I,2,0))</f>
        <v>Ativos</v>
      </c>
      <c r="E284" s="187">
        <v>3</v>
      </c>
      <c r="F284" s="187">
        <v>737</v>
      </c>
      <c r="G284" t="s">
        <v>519</v>
      </c>
      <c r="H284" s="71"/>
      <c r="I284" t="s">
        <v>220</v>
      </c>
      <c r="J284" s="187">
        <v>1</v>
      </c>
      <c r="K284" t="s">
        <v>1385</v>
      </c>
      <c r="L284" s="185"/>
      <c r="M284" s="188">
        <v>45121</v>
      </c>
      <c r="N284" s="71"/>
      <c r="Q284" s="71"/>
      <c r="R284" s="71"/>
      <c r="S284" t="s">
        <v>348</v>
      </c>
      <c r="T284" s="71"/>
    </row>
    <row r="285" spans="1:20" x14ac:dyDescent="0.3">
      <c r="A285" s="72">
        <f>IFERROR(VLOOKUP($G285,Conf!$B:$C,2,0),E285)</f>
        <v>3</v>
      </c>
      <c r="B285" s="72" t="str">
        <f ca="1">IF(D285="Inativo","Inativo",IFERROR(VLOOKUP($G285,Conf!$O:$Q,2,0),VLOOKUP($S285,Conf!$K:$M,2,0)))</f>
        <v>LOJA</v>
      </c>
      <c r="C285" s="72" t="str">
        <f ca="1">IF(D285="Inativo","Inativo",IFERROR(VLOOKUP($G285,Conf!$O:$Q,3,0),IFERROR(VLOOKUP($G285,Conf!$E:$F,2,0),VLOOKUP($S285,Conf!$K:$M,3,0))))</f>
        <v>REPOSITOR</v>
      </c>
      <c r="D285" s="72" t="str">
        <f ca="1">IFERROR(IF(TODAY()-K285&gt;365,"Inativo",IF(J285=2,"Férias",IF(J285=7,"Demitido","Afastamento"))),VLOOKUP(J285,Conf!$H:$I,2,0))</f>
        <v>Ativos</v>
      </c>
      <c r="E285" s="187">
        <v>3</v>
      </c>
      <c r="F285" s="187">
        <v>142</v>
      </c>
      <c r="G285" t="s">
        <v>1371</v>
      </c>
      <c r="H285" s="71"/>
      <c r="I285" t="s">
        <v>357</v>
      </c>
      <c r="J285" s="187">
        <v>1</v>
      </c>
      <c r="K285" t="s">
        <v>1385</v>
      </c>
      <c r="L285" s="185"/>
      <c r="M285" s="188">
        <v>45909</v>
      </c>
      <c r="N285" s="71"/>
      <c r="O285" s="71"/>
      <c r="P285" s="71"/>
      <c r="Q285" s="71"/>
      <c r="R285" s="71"/>
      <c r="S285" t="s">
        <v>521</v>
      </c>
      <c r="T285" s="71"/>
    </row>
    <row r="286" spans="1:20" x14ac:dyDescent="0.3">
      <c r="A286" s="72">
        <f>IFERROR(VLOOKUP($G286,Conf!$B:$C,2,0),E286)</f>
        <v>3</v>
      </c>
      <c r="B286" s="72" t="str">
        <f ca="1">IF(D286="Inativo","Inativo",IFERROR(VLOOKUP($G286,Conf!$O:$Q,2,0),VLOOKUP($S286,Conf!$K:$M,2,0)))</f>
        <v>LOJA</v>
      </c>
      <c r="C286" s="72" t="str">
        <f ca="1">IF(D286="Inativo","Inativo",IFERROR(VLOOKUP($G286,Conf!$O:$Q,3,0),IFERROR(VLOOKUP($G286,Conf!$E:$F,2,0),VLOOKUP($S286,Conf!$K:$M,3,0))))</f>
        <v>REPOSITOR</v>
      </c>
      <c r="D286" s="72" t="str">
        <f ca="1">IFERROR(IF(TODAY()-K286&gt;365,"Inativo",IF(J286=2,"Férias",IF(J286=7,"Demitido","Afastamento"))),VLOOKUP(J286,Conf!$H:$I,2,0))</f>
        <v>Ativos</v>
      </c>
      <c r="E286" s="187">
        <v>3</v>
      </c>
      <c r="F286" s="187">
        <v>27</v>
      </c>
      <c r="G286" t="s">
        <v>1531</v>
      </c>
      <c r="H286" s="71"/>
      <c r="I286" t="s">
        <v>220</v>
      </c>
      <c r="J286" s="187">
        <v>1</v>
      </c>
      <c r="K286" t="s">
        <v>1385</v>
      </c>
      <c r="L286" s="185"/>
      <c r="M286" s="188">
        <v>46267</v>
      </c>
      <c r="N286" s="71"/>
      <c r="O286" s="71"/>
      <c r="P286" s="71"/>
      <c r="Q286" s="71"/>
      <c r="R286" s="71"/>
      <c r="S286" t="s">
        <v>522</v>
      </c>
      <c r="T286" s="71"/>
    </row>
    <row r="287" spans="1:20" x14ac:dyDescent="0.3">
      <c r="A287" s="72">
        <f>IFERROR(VLOOKUP($G287,Conf!$B:$C,2,0),E287)</f>
        <v>3</v>
      </c>
      <c r="B287" s="72" t="str">
        <f ca="1">IF(D287="Inativo","Inativo",IFERROR(VLOOKUP($G287,Conf!$O:$Q,2,0),VLOOKUP($S287,Conf!$K:$M,2,0)))</f>
        <v>LOJA</v>
      </c>
      <c r="C287" s="72" t="str">
        <f ca="1">IF(D287="Inativo","Inativo",IFERROR(VLOOKUP($G287,Conf!$O:$Q,3,0),IFERROR(VLOOKUP($G287,Conf!$E:$F,2,0),VLOOKUP($S287,Conf!$K:$M,3,0))))</f>
        <v>REPOSITOR</v>
      </c>
      <c r="D287" s="72" t="str">
        <f ca="1">IFERROR(IF(TODAY()-K287&gt;365,"Inativo",IF(J287=2,"Férias",IF(J287=7,"Demitido","Afastamento"))),VLOOKUP(J287,Conf!$H:$I,2,0))</f>
        <v>Demitido</v>
      </c>
      <c r="E287" s="187">
        <v>3</v>
      </c>
      <c r="F287" s="187">
        <v>26</v>
      </c>
      <c r="G287" t="s">
        <v>1518</v>
      </c>
      <c r="H287" s="71"/>
      <c r="I287" t="s">
        <v>220</v>
      </c>
      <c r="J287" s="187">
        <v>7</v>
      </c>
      <c r="K287" t="s">
        <v>1550</v>
      </c>
      <c r="L287" s="185"/>
      <c r="M287" s="188">
        <v>46266</v>
      </c>
      <c r="N287" s="71"/>
      <c r="Q287" s="71"/>
      <c r="R287" s="71"/>
      <c r="S287" t="s">
        <v>522</v>
      </c>
      <c r="T287" s="71"/>
    </row>
    <row r="288" spans="1:20" x14ac:dyDescent="0.3">
      <c r="A288" s="72">
        <f>IFERROR(VLOOKUP($G288,Conf!$B:$C,2,0),E288)</f>
        <v>3</v>
      </c>
      <c r="B288" s="72" t="str">
        <f ca="1">IF(D288="Inativo","Inativo",IFERROR(VLOOKUP($G288,Conf!$O:$Q,2,0),VLOOKUP($S288,Conf!$K:$M,2,0)))</f>
        <v>LOJA</v>
      </c>
      <c r="C288" s="72" t="str">
        <f ca="1">IF(D288="Inativo","Inativo",IFERROR(VLOOKUP($G288,Conf!$O:$Q,3,0),IFERROR(VLOOKUP($G288,Conf!$E:$F,2,0),VLOOKUP($S288,Conf!$K:$M,3,0))))</f>
        <v>REPOSITOR</v>
      </c>
      <c r="D288" s="72" t="str">
        <f ca="1">IFERROR(IF(TODAY()-K288&gt;365,"Inativo",IF(J288=2,"Férias",IF(J288=7,"Demitido","Afastamento"))),VLOOKUP(J288,Conf!$H:$I,2,0))</f>
        <v>Ativos</v>
      </c>
      <c r="E288" s="187">
        <v>3</v>
      </c>
      <c r="F288" s="187">
        <v>780</v>
      </c>
      <c r="G288" t="s">
        <v>523</v>
      </c>
      <c r="H288" s="71"/>
      <c r="I288" t="s">
        <v>220</v>
      </c>
      <c r="J288" s="187">
        <v>1</v>
      </c>
      <c r="K288" t="s">
        <v>1385</v>
      </c>
      <c r="L288" s="185"/>
      <c r="M288" s="188">
        <v>45327</v>
      </c>
      <c r="N288" s="71"/>
      <c r="Q288" s="71"/>
      <c r="R288" s="71"/>
      <c r="S288" t="s">
        <v>524</v>
      </c>
      <c r="T288" s="71"/>
    </row>
    <row r="289" spans="1:20" x14ac:dyDescent="0.3">
      <c r="A289" s="72">
        <f>IFERROR(VLOOKUP($G289,Conf!$B:$C,2,0),E289)</f>
        <v>3</v>
      </c>
      <c r="B289" s="72" t="str">
        <f ca="1">IF(D289="Inativo","Inativo",IFERROR(VLOOKUP($G289,Conf!$O:$Q,2,0),VLOOKUP($S289,Conf!$K:$M,2,0)))</f>
        <v>LOJA</v>
      </c>
      <c r="C289" s="72" t="str">
        <f ca="1">IF(D289="Inativo","Inativo",IFERROR(VLOOKUP($G289,Conf!$O:$Q,3,0),IFERROR(VLOOKUP($G289,Conf!$E:$F,2,0),VLOOKUP($S289,Conf!$K:$M,3,0))))</f>
        <v>REPOSITOR</v>
      </c>
      <c r="D289" s="72" t="str">
        <f ca="1">IFERROR(IF(TODAY()-K289&gt;365,"Inativo",IF(J289=2,"Férias",IF(J289=7,"Demitido","Afastamento"))),VLOOKUP(J289,Conf!$H:$I,2,0))</f>
        <v>Ativos</v>
      </c>
      <c r="E289" s="187">
        <v>3</v>
      </c>
      <c r="F289" s="187">
        <v>102</v>
      </c>
      <c r="G289" t="s">
        <v>1370</v>
      </c>
      <c r="H289" s="71"/>
      <c r="I289" t="s">
        <v>220</v>
      </c>
      <c r="J289" s="187">
        <v>1</v>
      </c>
      <c r="K289" t="s">
        <v>1385</v>
      </c>
      <c r="L289" s="185"/>
      <c r="M289" s="188">
        <v>45783</v>
      </c>
      <c r="N289" s="71"/>
      <c r="Q289" s="71"/>
      <c r="R289" s="71"/>
      <c r="S289" t="s">
        <v>521</v>
      </c>
      <c r="T289" s="71"/>
    </row>
    <row r="290" spans="1:20" x14ac:dyDescent="0.3">
      <c r="A290" s="72">
        <f>IFERROR(VLOOKUP($G290,Conf!$B:$C,2,0),E290)</f>
        <v>3</v>
      </c>
      <c r="B290" s="72" t="str">
        <f ca="1">IF(D290="Inativo","Inativo",IFERROR(VLOOKUP($G290,Conf!$O:$Q,2,0),VLOOKUP($S290,Conf!$K:$M,2,0)))</f>
        <v>LOJA</v>
      </c>
      <c r="C290" s="72" t="str">
        <f ca="1">IF(D290="Inativo","Inativo",IFERROR(VLOOKUP($G290,Conf!$O:$Q,3,0),IFERROR(VLOOKUP($G290,Conf!$E:$F,2,0),VLOOKUP($S290,Conf!$K:$M,3,0))))</f>
        <v>REPOSITOR</v>
      </c>
      <c r="D290" s="72" t="str">
        <f ca="1">IFERROR(IF(TODAY()-K290&gt;365,"Inativo",IF(J290=2,"Férias",IF(J290=7,"Demitido","Afastamento"))),VLOOKUP(J290,Conf!$H:$I,2,0))</f>
        <v>Ativos</v>
      </c>
      <c r="E290" s="187">
        <v>3</v>
      </c>
      <c r="F290" s="187">
        <v>8</v>
      </c>
      <c r="G290" t="s">
        <v>525</v>
      </c>
      <c r="H290" s="71"/>
      <c r="I290" t="s">
        <v>220</v>
      </c>
      <c r="J290" s="187">
        <v>1</v>
      </c>
      <c r="K290" t="s">
        <v>1385</v>
      </c>
      <c r="L290" s="185"/>
      <c r="M290" s="188">
        <v>46147</v>
      </c>
      <c r="N290" s="71"/>
      <c r="O290" s="71"/>
      <c r="P290" s="71"/>
      <c r="Q290" s="71"/>
      <c r="R290" s="71"/>
      <c r="S290" t="s">
        <v>522</v>
      </c>
      <c r="T290" s="71"/>
    </row>
    <row r="291" spans="1:20" x14ac:dyDescent="0.3">
      <c r="A291" s="72">
        <f>IFERROR(VLOOKUP($G291,Conf!$B:$C,2,0),E291)</f>
        <v>3</v>
      </c>
      <c r="B291" s="72" t="str">
        <f ca="1">IF(D291="Inativo","Inativo",IFERROR(VLOOKUP($G291,Conf!$O:$Q,2,0),VLOOKUP($S291,Conf!$K:$M,2,0)))</f>
        <v>LOJA</v>
      </c>
      <c r="C291" s="72" t="str">
        <f ca="1">IF(D291="Inativo","Inativo",IFERROR(VLOOKUP($G291,Conf!$O:$Q,3,0),IFERROR(VLOOKUP($G291,Conf!$E:$F,2,0),VLOOKUP($S291,Conf!$K:$M,3,0))))</f>
        <v>REPOSITOR</v>
      </c>
      <c r="D291" s="72" t="str">
        <f ca="1">IFERROR(IF(TODAY()-K291&gt;365,"Inativo",IF(J291=2,"Férias",IF(J291=7,"Demitido","Afastamento"))),VLOOKUP(J291,Conf!$H:$I,2,0))</f>
        <v>Ativos</v>
      </c>
      <c r="E291" s="187">
        <v>3</v>
      </c>
      <c r="F291" s="187">
        <v>31</v>
      </c>
      <c r="G291" t="s">
        <v>1647</v>
      </c>
      <c r="H291" s="71"/>
      <c r="I291" t="s">
        <v>220</v>
      </c>
      <c r="J291" s="187">
        <v>1</v>
      </c>
      <c r="K291" t="s">
        <v>1385</v>
      </c>
      <c r="L291" s="185"/>
      <c r="M291" s="188">
        <v>46304</v>
      </c>
      <c r="N291" s="71"/>
      <c r="Q291" s="71"/>
      <c r="R291" s="71"/>
      <c r="S291" t="s">
        <v>522</v>
      </c>
      <c r="T291" s="71"/>
    </row>
    <row r="292" spans="1:20" x14ac:dyDescent="0.3">
      <c r="A292" s="72">
        <f>IFERROR(VLOOKUP($G292,Conf!$B:$C,2,0),E292)</f>
        <v>3</v>
      </c>
      <c r="B292" s="72" t="str">
        <f ca="1">IF(D292="Inativo","Inativo",IFERROR(VLOOKUP($G292,Conf!$O:$Q,2,0),VLOOKUP($S292,Conf!$K:$M,2,0)))</f>
        <v>PADARIA</v>
      </c>
      <c r="C292" s="72" t="str">
        <f ca="1">IF(D292="Inativo","Inativo",IFERROR(VLOOKUP($G292,Conf!$O:$Q,3,0),IFERROR(VLOOKUP($G292,Conf!$E:$F,2,0),VLOOKUP($S292,Conf!$K:$M,3,0))))</f>
        <v>ATENDENTE</v>
      </c>
      <c r="D292" s="72" t="str">
        <f ca="1">IFERROR(IF(TODAY()-K292&gt;365,"Inativo",IF(J292=2,"Férias",IF(J292=7,"Demitido","Afastamento"))),VLOOKUP(J292,Conf!$H:$I,2,0))</f>
        <v>Ativos</v>
      </c>
      <c r="E292" s="187">
        <v>3</v>
      </c>
      <c r="F292" s="187">
        <v>178</v>
      </c>
      <c r="G292" t="s">
        <v>1380</v>
      </c>
      <c r="H292" s="71"/>
      <c r="I292" t="s">
        <v>220</v>
      </c>
      <c r="J292" s="187">
        <v>1</v>
      </c>
      <c r="K292" t="s">
        <v>1385</v>
      </c>
      <c r="L292" s="185"/>
      <c r="M292" s="188">
        <v>46009</v>
      </c>
      <c r="N292" s="71"/>
      <c r="O292" s="71"/>
      <c r="P292" s="71"/>
      <c r="Q292" s="71"/>
      <c r="R292" s="71"/>
      <c r="S292" t="s">
        <v>528</v>
      </c>
      <c r="T292" s="71"/>
    </row>
    <row r="293" spans="1:20" x14ac:dyDescent="0.3">
      <c r="A293" s="72">
        <f>IFERROR(VLOOKUP($G293,Conf!$B:$C,2,0),E293)</f>
        <v>3</v>
      </c>
      <c r="B293" s="72" t="str">
        <f ca="1">IF(D293="Inativo","Inativo",IFERROR(VLOOKUP($G293,Conf!$O:$Q,2,0),VLOOKUP($S293,Conf!$K:$M,2,0)))</f>
        <v>PADARIA</v>
      </c>
      <c r="C293" s="72" t="str">
        <f ca="1">IF(D293="Inativo","Inativo",IFERROR(VLOOKUP($G293,Conf!$O:$Q,3,0),IFERROR(VLOOKUP($G293,Conf!$E:$F,2,0),VLOOKUP($S293,Conf!$K:$M,3,0))))</f>
        <v>ATENDENTE</v>
      </c>
      <c r="D293" s="72" t="str">
        <f ca="1">IFERROR(IF(TODAY()-K293&gt;365,"Inativo",IF(J293=2,"Férias",IF(J293=7,"Demitido","Afastamento"))),VLOOKUP(J293,Conf!$H:$I,2,0))</f>
        <v>Ativos</v>
      </c>
      <c r="E293" s="187">
        <v>3</v>
      </c>
      <c r="F293" s="187">
        <v>19</v>
      </c>
      <c r="G293" t="s">
        <v>1413</v>
      </c>
      <c r="H293" s="71"/>
      <c r="I293" t="s">
        <v>220</v>
      </c>
      <c r="J293" s="187">
        <v>1</v>
      </c>
      <c r="K293" t="s">
        <v>1385</v>
      </c>
      <c r="L293" s="185"/>
      <c r="M293" s="188">
        <v>46218</v>
      </c>
      <c r="N293" s="71"/>
      <c r="Q293" s="71"/>
      <c r="R293" s="71"/>
      <c r="S293" t="s">
        <v>528</v>
      </c>
      <c r="T293" s="71"/>
    </row>
    <row r="294" spans="1:20" x14ac:dyDescent="0.3">
      <c r="A294" s="72">
        <f>IFERROR(VLOOKUP($G294,Conf!$B:$C,2,0),E294)</f>
        <v>3</v>
      </c>
      <c r="B294" s="72" t="str">
        <f ca="1">IF(D294="Inativo","Inativo",IFERROR(VLOOKUP($G294,Conf!$O:$Q,2,0),VLOOKUP($S294,Conf!$K:$M,2,0)))</f>
        <v>PADARIA</v>
      </c>
      <c r="C294" s="72" t="str">
        <f ca="1">IF(D294="Inativo","Inativo",IFERROR(VLOOKUP($G294,Conf!$O:$Q,3,0),IFERROR(VLOOKUP($G294,Conf!$E:$F,2,0),VLOOKUP($S294,Conf!$K:$M,3,0))))</f>
        <v>AUXILIAR</v>
      </c>
      <c r="D294" s="72" t="str">
        <f ca="1">IFERROR(IF(TODAY()-K294&gt;365,"Inativo",IF(J294=2,"Férias",IF(J294=7,"Demitido","Afastamento"))),VLOOKUP(J294,Conf!$H:$I,2,0))</f>
        <v>Ativos</v>
      </c>
      <c r="E294" s="187">
        <v>3</v>
      </c>
      <c r="F294" s="187">
        <v>30</v>
      </c>
      <c r="G294" t="s">
        <v>1618</v>
      </c>
      <c r="H294" s="71"/>
      <c r="I294" t="s">
        <v>220</v>
      </c>
      <c r="J294" s="187">
        <v>1</v>
      </c>
      <c r="K294" t="s">
        <v>1385</v>
      </c>
      <c r="L294" s="185"/>
      <c r="M294" s="188">
        <v>46296</v>
      </c>
      <c r="N294" s="71"/>
      <c r="Q294" s="71"/>
      <c r="R294" s="71"/>
      <c r="S294" t="s">
        <v>1243</v>
      </c>
      <c r="T294" s="71"/>
    </row>
    <row r="295" spans="1:20" x14ac:dyDescent="0.3">
      <c r="A295" s="72">
        <f>IFERROR(VLOOKUP($G295,Conf!$B:$C,2,0),E295)</f>
        <v>3</v>
      </c>
      <c r="B295" s="72" t="str">
        <f ca="1">IF(D295="Inativo","Inativo",IFERROR(VLOOKUP($G295,Conf!$O:$Q,2,0),VLOOKUP($S295,Conf!$K:$M,2,0)))</f>
        <v>PADARIA</v>
      </c>
      <c r="C295" s="72" t="str">
        <f ca="1">IF(D295="Inativo","Inativo",IFERROR(VLOOKUP($G295,Conf!$O:$Q,3,0),IFERROR(VLOOKUP($G295,Conf!$E:$F,2,0),VLOOKUP($S295,Conf!$K:$M,3,0))))</f>
        <v>ENCARREGADO</v>
      </c>
      <c r="D295" s="72" t="str">
        <f ca="1">IFERROR(IF(TODAY()-K295&gt;365,"Inativo",IF(J295=2,"Férias",IF(J295=7,"Demitido","Afastamento"))),VLOOKUP(J295,Conf!$H:$I,2,0))</f>
        <v>Ativos</v>
      </c>
      <c r="E295" s="187">
        <v>3</v>
      </c>
      <c r="F295" s="187">
        <v>38</v>
      </c>
      <c r="G295" t="s">
        <v>1378</v>
      </c>
      <c r="H295" s="71"/>
      <c r="I295" t="s">
        <v>220</v>
      </c>
      <c r="J295" s="187">
        <v>1</v>
      </c>
      <c r="K295" t="s">
        <v>1385</v>
      </c>
      <c r="L295" s="185"/>
      <c r="M295" s="188">
        <v>45576</v>
      </c>
      <c r="N295" s="71"/>
      <c r="Q295" s="71"/>
      <c r="R295" s="71"/>
      <c r="S295" t="s">
        <v>531</v>
      </c>
      <c r="T295" s="71"/>
    </row>
    <row r="296" spans="1:20" x14ac:dyDescent="0.3">
      <c r="A296" s="72">
        <f>IFERROR(VLOOKUP($G296,Conf!$B:$C,2,0),E296)</f>
        <v>3</v>
      </c>
      <c r="B296" s="72" t="str">
        <f ca="1">IF(D296="Inativo","Inativo",IFERROR(VLOOKUP($G296,Conf!$O:$Q,2,0),VLOOKUP($S296,Conf!$K:$M,2,0)))</f>
        <v>PADARIA</v>
      </c>
      <c r="C296" s="72" t="str">
        <f ca="1">IF(D296="Inativo","Inativo",IFERROR(VLOOKUP($G296,Conf!$O:$Q,3,0),IFERROR(VLOOKUP($G296,Conf!$E:$F,2,0),VLOOKUP($S296,Conf!$K:$M,3,0))))</f>
        <v>PADEIRO(A)</v>
      </c>
      <c r="D296" s="72" t="str">
        <f ca="1">IFERROR(IF(TODAY()-K296&gt;365,"Inativo",IF(J296=2,"Férias",IF(J296=7,"Demitido","Afastamento"))),VLOOKUP(J296,Conf!$H:$I,2,0))</f>
        <v>Ativos</v>
      </c>
      <c r="E296" s="187">
        <v>3</v>
      </c>
      <c r="F296" s="187">
        <v>53</v>
      </c>
      <c r="G296" t="s">
        <v>1379</v>
      </c>
      <c r="H296" s="71"/>
      <c r="I296" t="s">
        <v>220</v>
      </c>
      <c r="J296" s="187">
        <v>1</v>
      </c>
      <c r="K296" t="s">
        <v>1385</v>
      </c>
      <c r="L296" s="185"/>
      <c r="M296" s="188">
        <v>45630</v>
      </c>
      <c r="N296" s="71"/>
      <c r="Q296" s="71"/>
      <c r="R296" s="71"/>
      <c r="S296" t="s">
        <v>532</v>
      </c>
      <c r="T296" s="71"/>
    </row>
    <row r="297" spans="1:20" x14ac:dyDescent="0.3">
      <c r="A297" s="72">
        <f>IFERROR(VLOOKUP($G297,Conf!$B:$C,2,0),E297)</f>
        <v>3</v>
      </c>
      <c r="B297" s="72" t="str">
        <f ca="1">IF(D297="Inativo","Inativo",IFERROR(VLOOKUP($G297,Conf!$O:$Q,2,0),VLOOKUP($S297,Conf!$K:$M,2,0)))</f>
        <v>PADARIA</v>
      </c>
      <c r="C297" s="72" t="str">
        <f ca="1">IF(D297="Inativo","Inativo",IFERROR(VLOOKUP($G297,Conf!$O:$Q,3,0),IFERROR(VLOOKUP($G297,Conf!$E:$F,2,0),VLOOKUP($S297,Conf!$K:$M,3,0))))</f>
        <v>PADEIRO(A)</v>
      </c>
      <c r="D297" s="72" t="str">
        <f ca="1">IFERROR(IF(TODAY()-K297&gt;365,"Inativo",IF(J297=2,"Férias",IF(J297=7,"Demitido","Afastamento"))),VLOOKUP(J297,Conf!$H:$I,2,0))</f>
        <v>Ativos</v>
      </c>
      <c r="E297" s="187">
        <v>3</v>
      </c>
      <c r="F297" s="187">
        <v>765</v>
      </c>
      <c r="G297" t="s">
        <v>533</v>
      </c>
      <c r="H297" s="71"/>
      <c r="I297" t="s">
        <v>319</v>
      </c>
      <c r="J297" s="187">
        <v>1</v>
      </c>
      <c r="K297" t="s">
        <v>1385</v>
      </c>
      <c r="L297" s="185"/>
      <c r="M297" s="188">
        <v>45282</v>
      </c>
      <c r="N297" s="71"/>
      <c r="Q297" s="71"/>
      <c r="R297" s="71"/>
      <c r="S297" t="s">
        <v>384</v>
      </c>
      <c r="T297" s="71"/>
    </row>
    <row r="298" spans="1:20" x14ac:dyDescent="0.3">
      <c r="A298" s="72">
        <f>IFERROR(VLOOKUP($G298,Conf!$B:$C,2,0),E298)</f>
        <v>4</v>
      </c>
      <c r="B298" s="72" t="str">
        <f ca="1">IF(D298="Inativo","Inativo",IFERROR(VLOOKUP($G298,Conf!$O:$Q,2,0),VLOOKUP($S298,Conf!$K:$M,2,0)))</f>
        <v>AÇOUGUE</v>
      </c>
      <c r="C298" s="72" t="str">
        <f ca="1">IF(D298="Inativo","Inativo",IFERROR(VLOOKUP($G298,Conf!$O:$Q,3,0),IFERROR(VLOOKUP($G298,Conf!$E:$F,2,0),VLOOKUP($S298,Conf!$K:$M,3,0))))</f>
        <v>AÇOUGUEIRO</v>
      </c>
      <c r="D298" s="72" t="str">
        <f ca="1">IFERROR(IF(TODAY()-K298&gt;365,"Inativo",IF(J298=2,"Férias",IF(J298=7,"Demitido","Afastamento"))),VLOOKUP(J298,Conf!$H:$I,2,0))</f>
        <v>Ativos</v>
      </c>
      <c r="E298" s="187">
        <v>4</v>
      </c>
      <c r="F298" s="187">
        <v>178</v>
      </c>
      <c r="G298" t="s">
        <v>534</v>
      </c>
      <c r="H298" s="71"/>
      <c r="I298" t="s">
        <v>220</v>
      </c>
      <c r="J298" s="187">
        <v>1</v>
      </c>
      <c r="K298" t="s">
        <v>1385</v>
      </c>
      <c r="L298" s="185"/>
      <c r="M298" s="188">
        <v>45702</v>
      </c>
      <c r="N298" s="71"/>
      <c r="O298" s="71"/>
      <c r="P298" s="71"/>
      <c r="Q298" s="71"/>
      <c r="R298" s="71"/>
      <c r="S298" t="s">
        <v>535</v>
      </c>
      <c r="T298" s="71"/>
    </row>
    <row r="299" spans="1:20" x14ac:dyDescent="0.3">
      <c r="A299" s="72">
        <f>IFERROR(VLOOKUP($G299,Conf!$B:$C,2,0),E299)</f>
        <v>4</v>
      </c>
      <c r="B299" s="72" t="str">
        <f ca="1">IF(D299="Inativo","Inativo",IFERROR(VLOOKUP($G299,Conf!$O:$Q,2,0),VLOOKUP($S299,Conf!$K:$M,2,0)))</f>
        <v>AÇOUGUE</v>
      </c>
      <c r="C299" s="72" t="str">
        <f ca="1">IF(D299="Inativo","Inativo",IFERROR(VLOOKUP($G299,Conf!$O:$Q,3,0),IFERROR(VLOOKUP($G299,Conf!$E:$F,2,0),VLOOKUP($S299,Conf!$K:$M,3,0))))</f>
        <v>AÇOUGUEIRO</v>
      </c>
      <c r="D299" s="72" t="str">
        <f ca="1">IFERROR(IF(TODAY()-K299&gt;365,"Inativo",IF(J299=2,"Férias",IF(J299=7,"Demitido","Afastamento"))),VLOOKUP(J299,Conf!$H:$I,2,0))</f>
        <v>Ativos</v>
      </c>
      <c r="E299" s="187">
        <v>4</v>
      </c>
      <c r="F299" s="187">
        <v>386</v>
      </c>
      <c r="G299" t="s">
        <v>536</v>
      </c>
      <c r="H299" s="71"/>
      <c r="I299" t="s">
        <v>441</v>
      </c>
      <c r="J299" s="187">
        <v>1</v>
      </c>
      <c r="K299" t="s">
        <v>1385</v>
      </c>
      <c r="L299" s="185"/>
      <c r="M299" s="188">
        <v>44599</v>
      </c>
      <c r="N299" s="71"/>
      <c r="O299" s="71"/>
      <c r="P299" s="71"/>
      <c r="Q299" s="71"/>
      <c r="R299" s="71"/>
      <c r="S299" t="s">
        <v>223</v>
      </c>
      <c r="T299" s="71"/>
    </row>
    <row r="300" spans="1:20" x14ac:dyDescent="0.3">
      <c r="A300" s="72">
        <f>IFERROR(VLOOKUP($G300,Conf!$B:$C,2,0),E300)</f>
        <v>4</v>
      </c>
      <c r="B300" s="72" t="str">
        <f ca="1">IF(D300="Inativo","Inativo",IFERROR(VLOOKUP($G300,Conf!$O:$Q,2,0),VLOOKUP($S300,Conf!$K:$M,2,0)))</f>
        <v>AÇOUGUE</v>
      </c>
      <c r="C300" s="72" t="str">
        <f ca="1">IF(D300="Inativo","Inativo",IFERROR(VLOOKUP($G300,Conf!$O:$Q,3,0),IFERROR(VLOOKUP($G300,Conf!$E:$F,2,0),VLOOKUP($S300,Conf!$K:$M,3,0))))</f>
        <v>AÇOUGUEIRO</v>
      </c>
      <c r="D300" s="72" t="str">
        <f ca="1">IFERROR(IF(TODAY()-K300&gt;365,"Inativo",IF(J300=2,"Férias",IF(J300=7,"Demitido","Afastamento"))),VLOOKUP(J300,Conf!$H:$I,2,0))</f>
        <v>Ativos</v>
      </c>
      <c r="E300" s="187">
        <v>4</v>
      </c>
      <c r="F300" s="187">
        <v>44</v>
      </c>
      <c r="G300" t="s">
        <v>537</v>
      </c>
      <c r="H300" s="71"/>
      <c r="I300" t="s">
        <v>220</v>
      </c>
      <c r="J300" s="187">
        <v>1</v>
      </c>
      <c r="K300" t="s">
        <v>1385</v>
      </c>
      <c r="L300" s="185"/>
      <c r="M300" s="188">
        <v>45127</v>
      </c>
      <c r="N300" s="71"/>
      <c r="O300" s="71"/>
      <c r="P300" s="71"/>
      <c r="Q300" s="71"/>
      <c r="R300" s="71"/>
      <c r="S300" t="s">
        <v>535</v>
      </c>
      <c r="T300" s="71"/>
    </row>
    <row r="301" spans="1:20" x14ac:dyDescent="0.3">
      <c r="A301" s="72">
        <f>IFERROR(VLOOKUP($G301,Conf!$B:$C,2,0),E301)</f>
        <v>4</v>
      </c>
      <c r="B301" s="72" t="str">
        <f ca="1">IF(D301="Inativo","Inativo",IFERROR(VLOOKUP($G301,Conf!$O:$Q,2,0),VLOOKUP($S301,Conf!$K:$M,2,0)))</f>
        <v>AÇOUGUE</v>
      </c>
      <c r="C301" s="72" t="str">
        <f ca="1">IF(D301="Inativo","Inativo",IFERROR(VLOOKUP($G301,Conf!$O:$Q,3,0),IFERROR(VLOOKUP($G301,Conf!$E:$F,2,0),VLOOKUP($S301,Conf!$K:$M,3,0))))</f>
        <v>AÇOUGUEIRO</v>
      </c>
      <c r="D301" s="72" t="str">
        <f ca="1">IFERROR(IF(TODAY()-K301&gt;365,"Inativo",IF(J301=2,"Férias",IF(J301=7,"Demitido","Afastamento"))),VLOOKUP(J301,Conf!$H:$I,2,0))</f>
        <v>Ativos</v>
      </c>
      <c r="E301" s="187">
        <v>4</v>
      </c>
      <c r="F301" s="187">
        <v>205</v>
      </c>
      <c r="G301" t="s">
        <v>538</v>
      </c>
      <c r="H301" s="71"/>
      <c r="I301" t="s">
        <v>390</v>
      </c>
      <c r="J301" s="187">
        <v>1</v>
      </c>
      <c r="K301" t="s">
        <v>1385</v>
      </c>
      <c r="L301" s="185"/>
      <c r="M301" s="188">
        <v>45782</v>
      </c>
      <c r="N301" s="71"/>
      <c r="Q301" s="71"/>
      <c r="R301" s="71"/>
      <c r="S301" t="s">
        <v>535</v>
      </c>
      <c r="T301" s="71"/>
    </row>
    <row r="302" spans="1:20" x14ac:dyDescent="0.3">
      <c r="A302" s="72">
        <f>IFERROR(VLOOKUP($G302,Conf!$B:$C,2,0),E302)</f>
        <v>4</v>
      </c>
      <c r="B302" s="72" t="str">
        <f ca="1">IF(D302="Inativo","Inativo",IFERROR(VLOOKUP($G302,Conf!$O:$Q,2,0),VLOOKUP($S302,Conf!$K:$M,2,0)))</f>
        <v>AÇOUGUE</v>
      </c>
      <c r="C302" s="72" t="str">
        <f ca="1">IF(D302="Inativo","Inativo",IFERROR(VLOOKUP($G302,Conf!$O:$Q,3,0),IFERROR(VLOOKUP($G302,Conf!$E:$F,2,0),VLOOKUP($S302,Conf!$K:$M,3,0))))</f>
        <v>BALCONISTA</v>
      </c>
      <c r="D302" s="72" t="str">
        <f ca="1">IFERROR(IF(TODAY()-K302&gt;365,"Inativo",IF(J302=2,"Férias",IF(J302=7,"Demitido","Afastamento"))),VLOOKUP(J302,Conf!$H:$I,2,0))</f>
        <v>Ativos</v>
      </c>
      <c r="E302" s="187">
        <v>4</v>
      </c>
      <c r="F302" s="187">
        <v>8</v>
      </c>
      <c r="G302" t="s">
        <v>1532</v>
      </c>
      <c r="H302" s="71"/>
      <c r="I302" t="s">
        <v>220</v>
      </c>
      <c r="J302" s="187">
        <v>1</v>
      </c>
      <c r="K302" t="s">
        <v>1385</v>
      </c>
      <c r="L302" s="185"/>
      <c r="M302" s="188">
        <v>46267</v>
      </c>
      <c r="N302" s="71"/>
      <c r="Q302" s="71"/>
      <c r="R302" s="71"/>
      <c r="S302" t="s">
        <v>1249</v>
      </c>
      <c r="T302" s="71"/>
    </row>
    <row r="303" spans="1:20" x14ac:dyDescent="0.3">
      <c r="A303" s="72">
        <f>IFERROR(VLOOKUP($G303,Conf!$B:$C,2,0),E303)</f>
        <v>4</v>
      </c>
      <c r="B303" s="72" t="str">
        <f ca="1">IF(D303="Inativo","Inativo",IFERROR(VLOOKUP($G303,Conf!$O:$Q,2,0),VLOOKUP($S303,Conf!$K:$M,2,0)))</f>
        <v>AÇOUGUE</v>
      </c>
      <c r="C303" s="72" t="str">
        <f ca="1">IF(D303="Inativo","Inativo",IFERROR(VLOOKUP($G303,Conf!$O:$Q,3,0),IFERROR(VLOOKUP($G303,Conf!$E:$F,2,0),VLOOKUP($S303,Conf!$K:$M,3,0))))</f>
        <v>DESOSSADOR</v>
      </c>
      <c r="D303" s="72" t="str">
        <f ca="1">IFERROR(IF(TODAY()-K303&gt;365,"Inativo",IF(J303=2,"Férias",IF(J303=7,"Demitido","Afastamento"))),VLOOKUP(J303,Conf!$H:$I,2,0))</f>
        <v>Ativos</v>
      </c>
      <c r="E303" s="187">
        <v>4</v>
      </c>
      <c r="F303" s="187">
        <v>5</v>
      </c>
      <c r="G303" t="s">
        <v>1399</v>
      </c>
      <c r="H303" s="71"/>
      <c r="I303" t="s">
        <v>220</v>
      </c>
      <c r="J303" s="187">
        <v>1</v>
      </c>
      <c r="K303" t="s">
        <v>1385</v>
      </c>
      <c r="L303" s="185"/>
      <c r="M303" s="188">
        <v>46210</v>
      </c>
      <c r="N303" s="71"/>
      <c r="Q303" s="71"/>
      <c r="R303" s="71"/>
      <c r="S303" t="s">
        <v>539</v>
      </c>
      <c r="T303" s="71"/>
    </row>
    <row r="304" spans="1:20" x14ac:dyDescent="0.3">
      <c r="A304" s="72">
        <f>IFERROR(VLOOKUP($G304,Conf!$B:$C,2,0),E304)</f>
        <v>4</v>
      </c>
      <c r="B304" s="72" t="str">
        <f ca="1">IF(D304="Inativo","Inativo",IFERROR(VLOOKUP($G304,Conf!$O:$Q,2,0),VLOOKUP($S304,Conf!$K:$M,2,0)))</f>
        <v>AÇOUGUE</v>
      </c>
      <c r="C304" s="72" t="str">
        <f ca="1">IF(D304="Inativo","Inativo",IFERROR(VLOOKUP($G304,Conf!$O:$Q,3,0),IFERROR(VLOOKUP($G304,Conf!$E:$F,2,0),VLOOKUP($S304,Conf!$K:$M,3,0))))</f>
        <v>DESOSSADOR</v>
      </c>
      <c r="D304" s="72" t="str">
        <f ca="1">IFERROR(IF(TODAY()-K304&gt;365,"Inativo",IF(J304=2,"Férias",IF(J304=7,"Demitido","Afastamento"))),VLOOKUP(J304,Conf!$H:$I,2,0))</f>
        <v>Ativos</v>
      </c>
      <c r="E304" s="187">
        <v>4</v>
      </c>
      <c r="F304" s="187">
        <v>274</v>
      </c>
      <c r="G304" t="s">
        <v>540</v>
      </c>
      <c r="H304" s="71"/>
      <c r="I304" t="s">
        <v>319</v>
      </c>
      <c r="J304" s="187">
        <v>1</v>
      </c>
      <c r="K304" t="s">
        <v>1385</v>
      </c>
      <c r="L304" s="185"/>
      <c r="M304" s="188">
        <v>46034</v>
      </c>
      <c r="N304" s="71"/>
      <c r="O304" s="71"/>
      <c r="P304" s="71"/>
      <c r="Q304" s="71"/>
      <c r="R304" s="71"/>
      <c r="S304" t="s">
        <v>539</v>
      </c>
      <c r="T304" s="71"/>
    </row>
    <row r="305" spans="1:20" x14ac:dyDescent="0.3">
      <c r="A305" s="72">
        <f>IFERROR(VLOOKUP($G305,Conf!$B:$C,2,0),E305)</f>
        <v>4</v>
      </c>
      <c r="B305" s="72" t="str">
        <f ca="1">IF(D305="Inativo","Inativo",IFERROR(VLOOKUP($G305,Conf!$O:$Q,2,0),VLOOKUP($S305,Conf!$K:$M,2,0)))</f>
        <v>ADMINISTRATIVO</v>
      </c>
      <c r="C305" s="72" t="str">
        <f ca="1">IF(D305="Inativo","Inativo",IFERROR(VLOOKUP($G305,Conf!$O:$Q,3,0),IFERROR(VLOOKUP($G305,Conf!$E:$F,2,0),VLOOKUP($S305,Conf!$K:$M,3,0))))</f>
        <v>APRENDIZ</v>
      </c>
      <c r="D305" s="72" t="str">
        <f ca="1">IFERROR(IF(TODAY()-K305&gt;365,"Inativo",IF(J305=2,"Férias",IF(J305=7,"Demitido","Afastamento"))),VLOOKUP(J305,Conf!$H:$I,2,0))</f>
        <v>Ativos</v>
      </c>
      <c r="E305" s="187">
        <v>4</v>
      </c>
      <c r="F305" s="187">
        <v>499</v>
      </c>
      <c r="G305" t="s">
        <v>567</v>
      </c>
      <c r="H305" s="71"/>
      <c r="I305" t="s">
        <v>568</v>
      </c>
      <c r="J305" s="187">
        <v>1</v>
      </c>
      <c r="K305" t="s">
        <v>1385</v>
      </c>
      <c r="L305" s="185"/>
      <c r="M305" s="188">
        <v>46077</v>
      </c>
      <c r="N305" s="71"/>
      <c r="Q305" s="71"/>
      <c r="R305" s="71"/>
      <c r="S305" t="s">
        <v>337</v>
      </c>
      <c r="T305" s="71"/>
    </row>
    <row r="306" spans="1:20" x14ac:dyDescent="0.3">
      <c r="A306" s="72">
        <f>IFERROR(VLOOKUP($G306,Conf!$B:$C,2,0),E306)</f>
        <v>4</v>
      </c>
      <c r="B306" s="72" t="str">
        <f ca="1">IF(D306="Inativo","Inativo",IFERROR(VLOOKUP($G306,Conf!$O:$Q,2,0),VLOOKUP($S306,Conf!$K:$M,2,0)))</f>
        <v>ADMINISTRATIVO</v>
      </c>
      <c r="C306" s="72" t="str">
        <f ca="1">IF(D306="Inativo","Inativo",IFERROR(VLOOKUP($G306,Conf!$O:$Q,3,0),IFERROR(VLOOKUP($G306,Conf!$E:$F,2,0),VLOOKUP($S306,Conf!$K:$M,3,0))))</f>
        <v>APRENDIZ</v>
      </c>
      <c r="D306" s="72" t="str">
        <f ca="1">IFERROR(IF(TODAY()-K306&gt;365,"Inativo",IF(J306=2,"Férias",IF(J306=7,"Demitido","Afastamento"))),VLOOKUP(J306,Conf!$H:$I,2,0))</f>
        <v>Ativos</v>
      </c>
      <c r="E306" s="187">
        <v>4</v>
      </c>
      <c r="F306" s="187">
        <v>295</v>
      </c>
      <c r="G306" t="s">
        <v>569</v>
      </c>
      <c r="H306" s="71"/>
      <c r="I306" t="s">
        <v>568</v>
      </c>
      <c r="J306" s="187">
        <v>1</v>
      </c>
      <c r="K306" t="s">
        <v>1385</v>
      </c>
      <c r="L306" s="185"/>
      <c r="M306" s="188">
        <v>46077</v>
      </c>
      <c r="N306" s="71"/>
      <c r="O306" s="71"/>
      <c r="P306" s="71"/>
      <c r="Q306" s="71"/>
      <c r="R306" s="71"/>
      <c r="S306" t="s">
        <v>570</v>
      </c>
      <c r="T306" s="71"/>
    </row>
    <row r="307" spans="1:20" x14ac:dyDescent="0.3">
      <c r="A307" s="72">
        <f>IFERROR(VLOOKUP($G307,Conf!$B:$C,2,0),E307)</f>
        <v>4</v>
      </c>
      <c r="B307" s="72" t="str">
        <f ca="1">IF(D307="Inativo","Inativo",IFERROR(VLOOKUP($G307,Conf!$O:$Q,2,0),VLOOKUP($S307,Conf!$K:$M,2,0)))</f>
        <v>ADMINISTRATIVO</v>
      </c>
      <c r="C307" s="72" t="str">
        <f ca="1">IF(D307="Inativo","Inativo",IFERROR(VLOOKUP($G307,Conf!$O:$Q,3,0),IFERROR(VLOOKUP($G307,Conf!$E:$F,2,0),VLOOKUP($S307,Conf!$K:$M,3,0))))</f>
        <v>APRENDIZ</v>
      </c>
      <c r="D307" s="72" t="str">
        <f ca="1">IFERROR(IF(TODAY()-K307&gt;365,"Inativo",IF(J307=2,"Férias",IF(J307=7,"Demitido","Afastamento"))),VLOOKUP(J307,Conf!$H:$I,2,0))</f>
        <v>Ativos</v>
      </c>
      <c r="E307" s="187">
        <v>4</v>
      </c>
      <c r="F307" s="187">
        <v>293</v>
      </c>
      <c r="G307" t="s">
        <v>571</v>
      </c>
      <c r="H307" s="71"/>
      <c r="I307" t="s">
        <v>568</v>
      </c>
      <c r="J307" s="187">
        <v>1</v>
      </c>
      <c r="K307" t="s">
        <v>1385</v>
      </c>
      <c r="L307" s="185"/>
      <c r="M307" s="188">
        <v>46077</v>
      </c>
      <c r="N307" s="71"/>
      <c r="Q307" s="71"/>
      <c r="R307" s="71"/>
      <c r="S307" t="s">
        <v>570</v>
      </c>
      <c r="T307" s="71"/>
    </row>
    <row r="308" spans="1:20" x14ac:dyDescent="0.3">
      <c r="A308" s="72">
        <f>IFERROR(VLOOKUP($G308,Conf!$B:$C,2,0),E308)</f>
        <v>4</v>
      </c>
      <c r="B308" s="72" t="str">
        <f ca="1">IF(D308="Inativo","Inativo",IFERROR(VLOOKUP($G308,Conf!$O:$Q,2,0),VLOOKUP($S308,Conf!$K:$M,2,0)))</f>
        <v>ADMINISTRATIVO</v>
      </c>
      <c r="C308" s="72" t="str">
        <f ca="1">IF(D308="Inativo","Inativo",IFERROR(VLOOKUP($G308,Conf!$O:$Q,3,0),IFERROR(VLOOKUP($G308,Conf!$E:$F,2,0),VLOOKUP($S308,Conf!$K:$M,3,0))))</f>
        <v>APRENDIZ</v>
      </c>
      <c r="D308" s="72" t="str">
        <f ca="1">IFERROR(IF(TODAY()-K308&gt;365,"Inativo",IF(J308=2,"Férias",IF(J308=7,"Demitido","Afastamento"))),VLOOKUP(J308,Conf!$H:$I,2,0))</f>
        <v>Ativos</v>
      </c>
      <c r="E308" s="187">
        <v>4</v>
      </c>
      <c r="F308" s="187">
        <v>498</v>
      </c>
      <c r="G308" t="s">
        <v>572</v>
      </c>
      <c r="H308" s="71"/>
      <c r="I308" t="s">
        <v>568</v>
      </c>
      <c r="J308" s="187">
        <v>1</v>
      </c>
      <c r="K308" t="s">
        <v>1385</v>
      </c>
      <c r="L308" s="185"/>
      <c r="M308" s="188">
        <v>46077</v>
      </c>
      <c r="N308" s="71"/>
      <c r="O308" s="71"/>
      <c r="P308" s="71"/>
      <c r="Q308" s="71"/>
      <c r="R308" s="71"/>
      <c r="S308" t="s">
        <v>337</v>
      </c>
      <c r="T308" s="71"/>
    </row>
    <row r="309" spans="1:20" x14ac:dyDescent="0.3">
      <c r="A309" s="72">
        <f>IFERROR(VLOOKUP($G309,Conf!$B:$C,2,0),E309)</f>
        <v>4</v>
      </c>
      <c r="B309" s="72" t="str">
        <f ca="1">IF(D309="Inativo","Inativo",IFERROR(VLOOKUP($G309,Conf!$O:$Q,2,0),VLOOKUP($S309,Conf!$K:$M,2,0)))</f>
        <v>ADMINISTRATIVO</v>
      </c>
      <c r="C309" s="72" t="str">
        <f ca="1">IF(D309="Inativo","Inativo",IFERROR(VLOOKUP($G309,Conf!$O:$Q,3,0),IFERROR(VLOOKUP($G309,Conf!$E:$F,2,0),VLOOKUP($S309,Conf!$K:$M,3,0))))</f>
        <v>LIMPEZA</v>
      </c>
      <c r="D309" s="72" t="str">
        <f ca="1">IFERROR(IF(TODAY()-K309&gt;365,"Inativo",IF(J309=2,"Férias",IF(J309=7,"Demitido","Afastamento"))),VLOOKUP(J309,Conf!$H:$I,2,0))</f>
        <v>Ativos</v>
      </c>
      <c r="E309" s="187">
        <v>4</v>
      </c>
      <c r="F309" s="187">
        <v>220</v>
      </c>
      <c r="G309" t="s">
        <v>566</v>
      </c>
      <c r="H309" s="71"/>
      <c r="I309" t="s">
        <v>220</v>
      </c>
      <c r="J309" s="187">
        <v>1</v>
      </c>
      <c r="K309" t="s">
        <v>1385</v>
      </c>
      <c r="L309" s="185"/>
      <c r="M309" s="188">
        <v>45848</v>
      </c>
      <c r="N309" s="71"/>
      <c r="O309" s="71"/>
      <c r="P309" s="71"/>
      <c r="Q309" s="71"/>
      <c r="R309" s="71"/>
      <c r="S309" t="s">
        <v>565</v>
      </c>
      <c r="T309" s="71"/>
    </row>
    <row r="310" spans="1:20" x14ac:dyDescent="0.3">
      <c r="A310" s="72">
        <f>IFERROR(VLOOKUP($G310,Conf!$B:$C,2,0),E310)</f>
        <v>4</v>
      </c>
      <c r="B310" s="72" t="str">
        <f ca="1">IF(D310="Inativo","Inativo",IFERROR(VLOOKUP($G310,Conf!$O:$Q,2,0),VLOOKUP($S310,Conf!$K:$M,2,0)))</f>
        <v>CONFEITARIA</v>
      </c>
      <c r="C310" s="72" t="str">
        <f ca="1">IF(D310="Inativo","Inativo",IFERROR(VLOOKUP($G310,Conf!$O:$Q,3,0),IFERROR(VLOOKUP($G310,Conf!$E:$F,2,0),VLOOKUP($S310,Conf!$K:$M,3,0))))</f>
        <v>CONFEITEIRO(A)</v>
      </c>
      <c r="D310" s="72" t="str">
        <f ca="1">IFERROR(IF(TODAY()-K310&gt;365,"Inativo",IF(J310=2,"Férias",IF(J310=7,"Demitido","Afastamento"))),VLOOKUP(J310,Conf!$H:$I,2,0))</f>
        <v>Ativos</v>
      </c>
      <c r="E310" s="187">
        <v>4</v>
      </c>
      <c r="F310" s="187">
        <v>270</v>
      </c>
      <c r="G310" t="s">
        <v>586</v>
      </c>
      <c r="H310" s="71"/>
      <c r="I310" t="s">
        <v>222</v>
      </c>
      <c r="J310" s="187">
        <v>1</v>
      </c>
      <c r="K310" t="s">
        <v>1385</v>
      </c>
      <c r="L310" s="185"/>
      <c r="M310" s="188">
        <v>46009</v>
      </c>
      <c r="N310" s="71"/>
      <c r="Q310" s="71"/>
      <c r="R310" s="71"/>
      <c r="S310" t="s">
        <v>543</v>
      </c>
      <c r="T310" s="71"/>
    </row>
    <row r="311" spans="1:20" x14ac:dyDescent="0.3">
      <c r="A311" s="72">
        <f>IFERROR(VLOOKUP($G311,Conf!$B:$C,2,0),E311)</f>
        <v>4</v>
      </c>
      <c r="B311" s="72" t="str">
        <f ca="1">IF(D311="Inativo","Inativo",IFERROR(VLOOKUP($G311,Conf!$O:$Q,2,0),VLOOKUP($S311,Conf!$K:$M,2,0)))</f>
        <v>CONFEITARIA</v>
      </c>
      <c r="C311" s="72" t="str">
        <f ca="1">IF(D311="Inativo","Inativo",IFERROR(VLOOKUP($G311,Conf!$O:$Q,3,0),IFERROR(VLOOKUP($G311,Conf!$E:$F,2,0),VLOOKUP($S311,Conf!$K:$M,3,0))))</f>
        <v>CONFEITEIRO(A)</v>
      </c>
      <c r="D311" s="72" t="str">
        <f ca="1">IFERROR(IF(TODAY()-K311&gt;365,"Inativo",IF(J311=2,"Férias",IF(J311=7,"Demitido","Afastamento"))),VLOOKUP(J311,Conf!$H:$I,2,0))</f>
        <v>Ativos</v>
      </c>
      <c r="E311" s="187">
        <v>4</v>
      </c>
      <c r="F311" s="187">
        <v>88</v>
      </c>
      <c r="G311" t="s">
        <v>542</v>
      </c>
      <c r="H311" s="71"/>
      <c r="I311" t="s">
        <v>296</v>
      </c>
      <c r="J311" s="187">
        <v>1</v>
      </c>
      <c r="K311" t="s">
        <v>1385</v>
      </c>
      <c r="L311" s="185"/>
      <c r="M311" s="188">
        <v>45355</v>
      </c>
      <c r="N311" s="71"/>
      <c r="O311" s="71"/>
      <c r="P311" s="71"/>
      <c r="Q311" s="71"/>
      <c r="R311" s="71"/>
      <c r="S311" t="s">
        <v>543</v>
      </c>
      <c r="T311" s="71"/>
    </row>
    <row r="312" spans="1:20" x14ac:dyDescent="0.3">
      <c r="A312" s="72">
        <f>IFERROR(VLOOKUP($G312,Conf!$B:$C,2,0),E312)</f>
        <v>4</v>
      </c>
      <c r="B312" s="72" t="str">
        <f ca="1">IF(D312="Inativo","Inativo",IFERROR(VLOOKUP($G312,Conf!$O:$Q,2,0),VLOOKUP($S312,Conf!$K:$M,2,0)))</f>
        <v>DEPOSITO</v>
      </c>
      <c r="C312" s="72" t="str">
        <f ca="1">IF(D312="Inativo","Inativo",IFERROR(VLOOKUP($G312,Conf!$O:$Q,3,0),IFERROR(VLOOKUP($G312,Conf!$E:$F,2,0),VLOOKUP($S312,Conf!$K:$M,3,0))))</f>
        <v>AUXILIAR</v>
      </c>
      <c r="D312" s="72" t="str">
        <f ca="1">IFERROR(IF(TODAY()-K312&gt;365,"Inativo",IF(J312=2,"Férias",IF(J312=7,"Demitido","Afastamento"))),VLOOKUP(J312,Conf!$H:$I,2,0))</f>
        <v>Ativos</v>
      </c>
      <c r="E312" s="187">
        <v>4</v>
      </c>
      <c r="F312" s="187">
        <v>6</v>
      </c>
      <c r="G312" t="s">
        <v>1427</v>
      </c>
      <c r="H312" s="71"/>
      <c r="I312" t="s">
        <v>296</v>
      </c>
      <c r="J312" s="187">
        <v>1</v>
      </c>
      <c r="K312" t="s">
        <v>1385</v>
      </c>
      <c r="L312" s="185"/>
      <c r="M312" s="188">
        <v>46220</v>
      </c>
      <c r="N312" s="71"/>
      <c r="Q312" s="71"/>
      <c r="R312" s="71"/>
      <c r="S312" t="s">
        <v>546</v>
      </c>
      <c r="T312" s="71"/>
    </row>
    <row r="313" spans="1:20" x14ac:dyDescent="0.3">
      <c r="A313" s="72">
        <f>IFERROR(VLOOKUP($G313,Conf!$B:$C,2,0),E313)</f>
        <v>4</v>
      </c>
      <c r="B313" s="72" t="str">
        <f ca="1">IF(D313="Inativo","Inativo",IFERROR(VLOOKUP($G313,Conf!$O:$Q,2,0),VLOOKUP($S313,Conf!$K:$M,2,0)))</f>
        <v>DEPOSITO</v>
      </c>
      <c r="C313" s="72" t="str">
        <f ca="1">IF(D313="Inativo","Inativo",IFERROR(VLOOKUP($G313,Conf!$O:$Q,3,0),IFERROR(VLOOKUP($G313,Conf!$E:$F,2,0),VLOOKUP($S313,Conf!$K:$M,3,0))))</f>
        <v>AUXILIAR</v>
      </c>
      <c r="D313" s="72" t="str">
        <f ca="1">IFERROR(IF(TODAY()-K313&gt;365,"Inativo",IF(J313=2,"Férias",IF(J313=7,"Demitido","Afastamento"))),VLOOKUP(J313,Conf!$H:$I,2,0))</f>
        <v>Ativos</v>
      </c>
      <c r="E313" s="187">
        <v>4</v>
      </c>
      <c r="F313" s="187">
        <v>184</v>
      </c>
      <c r="G313" t="s">
        <v>545</v>
      </c>
      <c r="H313" s="71"/>
      <c r="I313" t="s">
        <v>220</v>
      </c>
      <c r="J313" s="187">
        <v>1</v>
      </c>
      <c r="K313" t="s">
        <v>1385</v>
      </c>
      <c r="L313" s="185"/>
      <c r="M313" s="188">
        <v>45719</v>
      </c>
      <c r="N313" s="71"/>
      <c r="O313" s="71"/>
      <c r="P313" s="71"/>
      <c r="Q313" s="71"/>
      <c r="R313" s="71"/>
      <c r="S313" t="s">
        <v>546</v>
      </c>
      <c r="T313" s="71"/>
    </row>
    <row r="314" spans="1:20" x14ac:dyDescent="0.3">
      <c r="A314" s="72">
        <f>IFERROR(VLOOKUP($G314,Conf!$B:$C,2,0),E314)</f>
        <v>4</v>
      </c>
      <c r="B314" s="72" t="str">
        <f ca="1">IF(D314="Inativo","Inativo",IFERROR(VLOOKUP($G314,Conf!$O:$Q,2,0),VLOOKUP($S314,Conf!$K:$M,2,0)))</f>
        <v>DEPOSITO</v>
      </c>
      <c r="C314" s="72" t="str">
        <f ca="1">IF(D314="Inativo","Inativo",IFERROR(VLOOKUP($G314,Conf!$O:$Q,3,0),IFERROR(VLOOKUP($G314,Conf!$E:$F,2,0),VLOOKUP($S314,Conf!$K:$M,3,0))))</f>
        <v>CONFERENTE</v>
      </c>
      <c r="D314" s="72" t="str">
        <f ca="1">IFERROR(IF(TODAY()-K314&gt;365,"Inativo",IF(J314=2,"Férias",IF(J314=7,"Demitido","Afastamento"))),VLOOKUP(J314,Conf!$H:$I,2,0))</f>
        <v>Ativos</v>
      </c>
      <c r="E314" s="187">
        <v>4</v>
      </c>
      <c r="F314" s="187">
        <v>486</v>
      </c>
      <c r="G314" t="s">
        <v>544</v>
      </c>
      <c r="H314" s="71"/>
      <c r="I314" t="s">
        <v>247</v>
      </c>
      <c r="J314" s="187">
        <v>1</v>
      </c>
      <c r="K314" t="s">
        <v>1385</v>
      </c>
      <c r="L314" s="185"/>
      <c r="M314" s="188">
        <v>45952</v>
      </c>
      <c r="N314" s="71"/>
      <c r="O314" s="71"/>
      <c r="P314" s="71"/>
      <c r="Q314" s="71"/>
      <c r="R314" s="71"/>
      <c r="S314" t="s">
        <v>251</v>
      </c>
      <c r="T314" s="71"/>
    </row>
    <row r="315" spans="1:20" x14ac:dyDescent="0.3">
      <c r="A315" s="72">
        <f>IFERROR(VLOOKUP($G315,Conf!$B:$C,2,0),E315)</f>
        <v>4</v>
      </c>
      <c r="B315" s="72" t="str">
        <f ca="1">IF(D315="Inativo","Inativo",IFERROR(VLOOKUP($G315,Conf!$O:$Q,2,0),VLOOKUP($S315,Conf!$K:$M,2,0)))</f>
        <v>DEPOSITO</v>
      </c>
      <c r="C315" s="72" t="str">
        <f ca="1">IF(D315="Inativo","Inativo",IFERROR(VLOOKUP($G315,Conf!$O:$Q,3,0),IFERROR(VLOOKUP($G315,Conf!$E:$F,2,0),VLOOKUP($S315,Conf!$K:$M,3,0))))</f>
        <v>ENCARREGADO</v>
      </c>
      <c r="D315" s="72" t="str">
        <f ca="1">IFERROR(IF(TODAY()-K315&gt;365,"Inativo",IF(J315=2,"Férias",IF(J315=7,"Demitido","Afastamento"))),VLOOKUP(J315,Conf!$H:$I,2,0))</f>
        <v>Ativos</v>
      </c>
      <c r="E315" s="187">
        <v>4</v>
      </c>
      <c r="F315" s="187">
        <v>429</v>
      </c>
      <c r="G315" t="s">
        <v>547</v>
      </c>
      <c r="H315" s="71"/>
      <c r="I315" t="s">
        <v>396</v>
      </c>
      <c r="J315" s="187">
        <v>1</v>
      </c>
      <c r="K315" t="s">
        <v>1385</v>
      </c>
      <c r="L315" s="185"/>
      <c r="M315" s="188">
        <v>44972</v>
      </c>
      <c r="N315" s="71"/>
      <c r="O315" s="71"/>
      <c r="P315" s="71"/>
      <c r="Q315" s="71"/>
      <c r="R315" s="71"/>
      <c r="S315" t="s">
        <v>260</v>
      </c>
      <c r="T315" s="71"/>
    </row>
    <row r="316" spans="1:20" x14ac:dyDescent="0.3">
      <c r="A316" s="72">
        <f>IFERROR(VLOOKUP($G316,Conf!$B:$C,2,0),E316)</f>
        <v>4</v>
      </c>
      <c r="B316" s="72" t="str">
        <f ca="1">IF(D316="Inativo","Inativo",IFERROR(VLOOKUP($G316,Conf!$O:$Q,2,0),VLOOKUP($S316,Conf!$K:$M,2,0)))</f>
        <v>FRENTE DE CAIXA</v>
      </c>
      <c r="C316" s="72" t="str">
        <f ca="1">IF(D316="Inativo","Inativo",IFERROR(VLOOKUP($G316,Conf!$O:$Q,3,0),IFERROR(VLOOKUP($G316,Conf!$E:$F,2,0),VLOOKUP($S316,Conf!$K:$M,3,0))))</f>
        <v>ENTREGADOR</v>
      </c>
      <c r="D316" s="72" t="str">
        <f ca="1">IFERROR(IF(TODAY()-K316&gt;365,"Inativo",IF(J316=2,"Férias",IF(J316=7,"Demitido","Afastamento"))),VLOOKUP(J316,Conf!$H:$I,2,0))</f>
        <v>Ativos</v>
      </c>
      <c r="E316" s="187">
        <v>4</v>
      </c>
      <c r="F316" s="187">
        <v>451</v>
      </c>
      <c r="G316" t="s">
        <v>548</v>
      </c>
      <c r="H316" s="71"/>
      <c r="I316" t="s">
        <v>405</v>
      </c>
      <c r="J316" s="187">
        <v>1</v>
      </c>
      <c r="K316" t="s">
        <v>1385</v>
      </c>
      <c r="L316" s="185"/>
      <c r="M316" s="188">
        <v>45338</v>
      </c>
      <c r="N316" s="71"/>
      <c r="Q316" s="71"/>
      <c r="R316" s="71"/>
      <c r="S316" t="s">
        <v>404</v>
      </c>
      <c r="T316" s="71"/>
    </row>
    <row r="317" spans="1:20" x14ac:dyDescent="0.3">
      <c r="A317" s="72">
        <f>IFERROR(VLOOKUP($G317,Conf!$B:$C,2,0),E317)</f>
        <v>4</v>
      </c>
      <c r="B317" s="72" t="str">
        <f ca="1">IF(D317="Inativo","Inativo",IFERROR(VLOOKUP($G317,Conf!$O:$Q,2,0),VLOOKUP($S317,Conf!$K:$M,2,0)))</f>
        <v>FRENTE DE CAIXA</v>
      </c>
      <c r="C317" s="72" t="str">
        <f ca="1">IF(D317="Inativo","Inativo",IFERROR(VLOOKUP($G317,Conf!$O:$Q,3,0),IFERROR(VLOOKUP($G317,Conf!$E:$F,2,0),VLOOKUP($S317,Conf!$K:$M,3,0))))</f>
        <v>FISCAL DE CAIXA</v>
      </c>
      <c r="D317" s="72" t="str">
        <f ca="1">IFERROR(IF(TODAY()-K317&gt;365,"Inativo",IF(J317=2,"Férias",IF(J317=7,"Demitido","Afastamento"))),VLOOKUP(J317,Conf!$H:$I,2,0))</f>
        <v>Ativos</v>
      </c>
      <c r="E317" s="187">
        <v>4</v>
      </c>
      <c r="F317" s="187">
        <v>457</v>
      </c>
      <c r="G317" t="s">
        <v>549</v>
      </c>
      <c r="H317" s="71"/>
      <c r="I317" t="s">
        <v>220</v>
      </c>
      <c r="J317" s="187">
        <v>1</v>
      </c>
      <c r="K317" t="s">
        <v>1385</v>
      </c>
      <c r="L317" s="185"/>
      <c r="M317" s="188">
        <v>45383</v>
      </c>
      <c r="N317" s="71"/>
      <c r="Q317" s="71"/>
      <c r="R317" s="71"/>
      <c r="S317" t="s">
        <v>278</v>
      </c>
      <c r="T317" s="71"/>
    </row>
    <row r="318" spans="1:20" x14ac:dyDescent="0.3">
      <c r="A318" s="72">
        <f>IFERROR(VLOOKUP($G318,Conf!$B:$C,2,0),E318)</f>
        <v>4</v>
      </c>
      <c r="B318" s="72" t="str">
        <f ca="1">IF(D318="Inativo","Inativo",IFERROR(VLOOKUP($G318,Conf!$O:$Q,2,0),VLOOKUP($S318,Conf!$K:$M,2,0)))</f>
        <v>FRENTE DE CAIXA</v>
      </c>
      <c r="C318" s="72" t="str">
        <f ca="1">IF(D318="Inativo","Inativo",IFERROR(VLOOKUP($G318,Conf!$O:$Q,3,0),IFERROR(VLOOKUP($G318,Conf!$E:$F,2,0),VLOOKUP($S318,Conf!$K:$M,3,0))))</f>
        <v>OPERADOR CAIXA</v>
      </c>
      <c r="D318" s="72" t="str">
        <f ca="1">IFERROR(IF(TODAY()-K318&gt;365,"Inativo",IF(J318=2,"Férias",IF(J318=7,"Demitido","Afastamento"))),VLOOKUP(J318,Conf!$H:$I,2,0))</f>
        <v>Ativos</v>
      </c>
      <c r="E318" s="187">
        <v>4</v>
      </c>
      <c r="F318" s="187">
        <v>504</v>
      </c>
      <c r="G318" t="s">
        <v>550</v>
      </c>
      <c r="H318" s="71"/>
      <c r="I318" t="s">
        <v>220</v>
      </c>
      <c r="J318" s="187">
        <v>1</v>
      </c>
      <c r="K318" t="s">
        <v>1385</v>
      </c>
      <c r="L318" s="185"/>
      <c r="M318" s="188">
        <v>46113</v>
      </c>
      <c r="N318" s="71"/>
      <c r="O318" s="71"/>
      <c r="P318" s="71"/>
      <c r="Q318" s="71"/>
      <c r="R318" s="71"/>
      <c r="S318" t="s">
        <v>281</v>
      </c>
      <c r="T318" s="71"/>
    </row>
    <row r="319" spans="1:20" x14ac:dyDescent="0.3">
      <c r="A319" s="72">
        <f>IFERROR(VLOOKUP($G319,Conf!$B:$C,2,0),E319)</f>
        <v>4</v>
      </c>
      <c r="B319" s="72" t="str">
        <f ca="1">IF(D319="Inativo","Inativo",IFERROR(VLOOKUP($G319,Conf!$O:$Q,2,0),VLOOKUP($S319,Conf!$K:$M,2,0)))</f>
        <v>FRENTE DE CAIXA</v>
      </c>
      <c r="C319" s="72" t="str">
        <f ca="1">IF(D319="Inativo","Inativo",IFERROR(VLOOKUP($G319,Conf!$O:$Q,3,0),IFERROR(VLOOKUP($G319,Conf!$E:$F,2,0),VLOOKUP($S319,Conf!$K:$M,3,0))))</f>
        <v>OPERADOR CAIXA</v>
      </c>
      <c r="D319" s="72" t="str">
        <f ca="1">IFERROR(IF(TODAY()-K319&gt;365,"Inativo",IF(J319=2,"Férias",IF(J319=7,"Demitido","Afastamento"))),VLOOKUP(J319,Conf!$H:$I,2,0))</f>
        <v>Demitido</v>
      </c>
      <c r="E319" s="187">
        <v>4</v>
      </c>
      <c r="F319" s="187">
        <v>516</v>
      </c>
      <c r="G319" t="s">
        <v>1454</v>
      </c>
      <c r="H319" s="71"/>
      <c r="I319" t="s">
        <v>220</v>
      </c>
      <c r="J319" s="187">
        <v>7</v>
      </c>
      <c r="K319" t="s">
        <v>1550</v>
      </c>
      <c r="L319" s="185"/>
      <c r="M319" s="188">
        <v>46241</v>
      </c>
      <c r="N319" s="71"/>
      <c r="Q319" s="71"/>
      <c r="R319" s="71"/>
      <c r="S319" t="s">
        <v>281</v>
      </c>
      <c r="T319" s="71"/>
    </row>
    <row r="320" spans="1:20" x14ac:dyDescent="0.3">
      <c r="A320" s="72">
        <f>IFERROR(VLOOKUP($G320,Conf!$B:$C,2,0),E320)</f>
        <v>4</v>
      </c>
      <c r="B320" s="72" t="str">
        <f ca="1">IF(D320="Inativo","Inativo",IFERROR(VLOOKUP($G320,Conf!$O:$Q,2,0),VLOOKUP($S320,Conf!$K:$M,2,0)))</f>
        <v>FRENTE DE CAIXA</v>
      </c>
      <c r="C320" s="72" t="str">
        <f ca="1">IF(D320="Inativo","Inativo",IFERROR(VLOOKUP($G320,Conf!$O:$Q,3,0),IFERROR(VLOOKUP($G320,Conf!$E:$F,2,0),VLOOKUP($S320,Conf!$K:$M,3,0))))</f>
        <v>OPERADOR CAIXA</v>
      </c>
      <c r="D320" s="72" t="str">
        <f ca="1">IFERROR(IF(TODAY()-K320&gt;365,"Inativo",IF(J320=2,"Férias",IF(J320=7,"Demitido","Afastamento"))),VLOOKUP(J320,Conf!$H:$I,2,0))</f>
        <v>Ativos</v>
      </c>
      <c r="E320" s="187">
        <v>4</v>
      </c>
      <c r="F320" s="187">
        <v>519</v>
      </c>
      <c r="G320" t="s">
        <v>1583</v>
      </c>
      <c r="H320" s="71"/>
      <c r="I320" t="s">
        <v>220</v>
      </c>
      <c r="J320" s="187">
        <v>1</v>
      </c>
      <c r="K320" t="s">
        <v>1385</v>
      </c>
      <c r="L320" s="185"/>
      <c r="M320" s="188">
        <v>46286</v>
      </c>
      <c r="N320" s="71"/>
      <c r="Q320" s="71"/>
      <c r="R320" s="71"/>
      <c r="S320" t="s">
        <v>281</v>
      </c>
      <c r="T320" s="71"/>
    </row>
    <row r="321" spans="1:20" x14ac:dyDescent="0.3">
      <c r="A321" s="72">
        <f>IFERROR(VLOOKUP($G321,Conf!$B:$C,2,0),E321)</f>
        <v>4</v>
      </c>
      <c r="B321" s="72" t="str">
        <f ca="1">IF(D321="Inativo","Inativo",IFERROR(VLOOKUP($G321,Conf!$O:$Q,2,0),VLOOKUP($S321,Conf!$K:$M,2,0)))</f>
        <v>FRENTE DE CAIXA</v>
      </c>
      <c r="C321" s="72" t="str">
        <f ca="1">IF(D321="Inativo","Inativo",IFERROR(VLOOKUP($G321,Conf!$O:$Q,3,0),IFERROR(VLOOKUP($G321,Conf!$E:$F,2,0),VLOOKUP($S321,Conf!$K:$M,3,0))))</f>
        <v>OPERADOR CAIXA</v>
      </c>
      <c r="D321" s="72" t="str">
        <f ca="1">IFERROR(IF(TODAY()-K321&gt;365,"Inativo",IF(J321=2,"Férias",IF(J321=7,"Demitido","Afastamento"))),VLOOKUP(J321,Conf!$H:$I,2,0))</f>
        <v>Ativos</v>
      </c>
      <c r="E321" s="187">
        <v>4</v>
      </c>
      <c r="F321" s="187">
        <v>471</v>
      </c>
      <c r="G321" t="s">
        <v>551</v>
      </c>
      <c r="H321" s="71"/>
      <c r="I321" t="s">
        <v>220</v>
      </c>
      <c r="J321" s="187">
        <v>1</v>
      </c>
      <c r="K321" t="s">
        <v>1385</v>
      </c>
      <c r="L321" s="185"/>
      <c r="M321" s="188">
        <v>45674</v>
      </c>
      <c r="N321" s="71"/>
      <c r="Q321" s="71"/>
      <c r="R321" s="71"/>
      <c r="S321" t="s">
        <v>281</v>
      </c>
      <c r="T321" s="71"/>
    </row>
    <row r="322" spans="1:20" x14ac:dyDescent="0.3">
      <c r="A322" s="72">
        <f>IFERROR(VLOOKUP($G322,Conf!$B:$C,2,0),E322)</f>
        <v>4</v>
      </c>
      <c r="B322" s="72" t="str">
        <f ca="1">IF(D322="Inativo","Inativo",IFERROR(VLOOKUP($G322,Conf!$O:$Q,2,0),VLOOKUP($S322,Conf!$K:$M,2,0)))</f>
        <v>FRENTE DE CAIXA</v>
      </c>
      <c r="C322" s="72" t="str">
        <f ca="1">IF(D322="Inativo","Inativo",IFERROR(VLOOKUP($G322,Conf!$O:$Q,3,0),IFERROR(VLOOKUP($G322,Conf!$E:$F,2,0),VLOOKUP($S322,Conf!$K:$M,3,0))))</f>
        <v>OPERADOR CAIXA</v>
      </c>
      <c r="D322" s="72" t="str">
        <f ca="1">IFERROR(IF(TODAY()-K322&gt;365,"Inativo",IF(J322=2,"Férias",IF(J322=7,"Demitido","Afastamento"))),VLOOKUP(J322,Conf!$H:$I,2,0))</f>
        <v>Ativos</v>
      </c>
      <c r="E322" s="187">
        <v>4</v>
      </c>
      <c r="F322" s="187">
        <v>511</v>
      </c>
      <c r="G322" t="s">
        <v>1328</v>
      </c>
      <c r="H322" s="71"/>
      <c r="I322" t="s">
        <v>220</v>
      </c>
      <c r="J322" s="187">
        <v>1</v>
      </c>
      <c r="K322" t="s">
        <v>1385</v>
      </c>
      <c r="L322" s="185"/>
      <c r="M322" s="188">
        <v>46190</v>
      </c>
      <c r="N322" s="71"/>
      <c r="Q322" s="71"/>
      <c r="R322" s="71"/>
      <c r="S322" t="s">
        <v>281</v>
      </c>
      <c r="T322" s="71"/>
    </row>
    <row r="323" spans="1:20" x14ac:dyDescent="0.3">
      <c r="A323" s="72">
        <f>IFERROR(VLOOKUP($G323,Conf!$B:$C,2,0),E323)</f>
        <v>4</v>
      </c>
      <c r="B323" s="72" t="str">
        <f ca="1">IF(D323="Inativo","Inativo",IFERROR(VLOOKUP($G323,Conf!$O:$Q,2,0),VLOOKUP($S323,Conf!$K:$M,2,0)))</f>
        <v>FRENTE DE CAIXA</v>
      </c>
      <c r="C323" s="72" t="str">
        <f ca="1">IF(D323="Inativo","Inativo",IFERROR(VLOOKUP($G323,Conf!$O:$Q,3,0),IFERROR(VLOOKUP($G323,Conf!$E:$F,2,0),VLOOKUP($S323,Conf!$K:$M,3,0))))</f>
        <v>OPERADOR CAIXA</v>
      </c>
      <c r="D323" s="72" t="str">
        <f ca="1">IFERROR(IF(TODAY()-K323&gt;365,"Inativo",IF(J323=2,"Férias",IF(J323=7,"Demitido","Afastamento"))),VLOOKUP(J323,Conf!$H:$I,2,0))</f>
        <v>Ativos</v>
      </c>
      <c r="E323" s="187">
        <v>4</v>
      </c>
      <c r="F323" s="187">
        <v>446</v>
      </c>
      <c r="G323" t="s">
        <v>552</v>
      </c>
      <c r="H323" s="71"/>
      <c r="I323" t="s">
        <v>225</v>
      </c>
      <c r="J323" s="187">
        <v>1</v>
      </c>
      <c r="K323" t="s">
        <v>1385</v>
      </c>
      <c r="L323" s="185"/>
      <c r="M323" s="188">
        <v>45261</v>
      </c>
      <c r="N323" s="71"/>
      <c r="Q323" s="71"/>
      <c r="R323" s="71"/>
      <c r="S323" t="s">
        <v>281</v>
      </c>
      <c r="T323" s="71"/>
    </row>
    <row r="324" spans="1:20" x14ac:dyDescent="0.3">
      <c r="A324" s="72">
        <f>IFERROR(VLOOKUP($G324,Conf!$B:$C,2,0),E324)</f>
        <v>4</v>
      </c>
      <c r="B324" s="72" t="str">
        <f ca="1">IF(D324="Inativo","Inativo",IFERROR(VLOOKUP($G324,Conf!$O:$Q,2,0),VLOOKUP($S324,Conf!$K:$M,2,0)))</f>
        <v>FRENTE DE CAIXA</v>
      </c>
      <c r="C324" s="72" t="str">
        <f ca="1">IF(D324="Inativo","Inativo",IFERROR(VLOOKUP($G324,Conf!$O:$Q,3,0),IFERROR(VLOOKUP($G324,Conf!$E:$F,2,0),VLOOKUP($S324,Conf!$K:$M,3,0))))</f>
        <v>OPERADOR CAIXA</v>
      </c>
      <c r="D324" s="72" t="str">
        <f ca="1">IFERROR(IF(TODAY()-K324&gt;365,"Inativo",IF(J324=2,"Férias",IF(J324=7,"Demitido","Afastamento"))),VLOOKUP(J324,Conf!$H:$I,2,0))</f>
        <v>Ativos</v>
      </c>
      <c r="E324" s="187">
        <v>4</v>
      </c>
      <c r="F324" s="187">
        <v>514</v>
      </c>
      <c r="G324" t="s">
        <v>1442</v>
      </c>
      <c r="H324" s="71"/>
      <c r="I324" t="s">
        <v>220</v>
      </c>
      <c r="J324" s="187">
        <v>1</v>
      </c>
      <c r="K324" t="s">
        <v>1385</v>
      </c>
      <c r="L324" s="185"/>
      <c r="M324" s="188">
        <v>46237</v>
      </c>
      <c r="N324" s="71"/>
      <c r="Q324" s="71"/>
      <c r="R324" s="71"/>
      <c r="S324" t="s">
        <v>281</v>
      </c>
      <c r="T324" s="71"/>
    </row>
    <row r="325" spans="1:20" x14ac:dyDescent="0.3">
      <c r="A325" s="72">
        <f>IFERROR(VLOOKUP($G325,Conf!$B:$C,2,0),E325)</f>
        <v>4</v>
      </c>
      <c r="B325" s="72" t="str">
        <f ca="1">IF(D325="Inativo","Inativo",IFERROR(VLOOKUP($G325,Conf!$O:$Q,2,0),VLOOKUP($S325,Conf!$K:$M,2,0)))</f>
        <v>FRENTE DE CAIXA</v>
      </c>
      <c r="C325" s="72" t="str">
        <f ca="1">IF(D325="Inativo","Inativo",IFERROR(VLOOKUP($G325,Conf!$O:$Q,3,0),IFERROR(VLOOKUP($G325,Conf!$E:$F,2,0),VLOOKUP($S325,Conf!$K:$M,3,0))))</f>
        <v>OPERADOR CAIXA</v>
      </c>
      <c r="D325" s="72" t="str">
        <f ca="1">IFERROR(IF(TODAY()-K325&gt;365,"Inativo",IF(J325=2,"Férias",IF(J325=7,"Demitido","Afastamento"))),VLOOKUP(J325,Conf!$H:$I,2,0))</f>
        <v>Ativos</v>
      </c>
      <c r="E325" s="187">
        <v>4</v>
      </c>
      <c r="F325" s="187">
        <v>517</v>
      </c>
      <c r="G325" t="s">
        <v>1533</v>
      </c>
      <c r="H325" s="71"/>
      <c r="I325" t="s">
        <v>220</v>
      </c>
      <c r="J325" s="187">
        <v>1</v>
      </c>
      <c r="K325" t="s">
        <v>1385</v>
      </c>
      <c r="L325" s="185"/>
      <c r="M325" s="188">
        <v>46267</v>
      </c>
      <c r="N325" s="71"/>
      <c r="O325" s="71"/>
      <c r="P325" s="71"/>
      <c r="Q325" s="71"/>
      <c r="R325" s="71"/>
      <c r="S325" t="s">
        <v>281</v>
      </c>
      <c r="T325" s="71"/>
    </row>
    <row r="326" spans="1:20" x14ac:dyDescent="0.3">
      <c r="A326" s="72">
        <f>IFERROR(VLOOKUP($G326,Conf!$B:$C,2,0),E326)</f>
        <v>4</v>
      </c>
      <c r="B326" s="72" t="str">
        <f ca="1">IF(D326="Inativo","Inativo",IFERROR(VLOOKUP($G326,Conf!$O:$Q,2,0),VLOOKUP($S326,Conf!$K:$M,2,0)))</f>
        <v>FRENTE DE CAIXA</v>
      </c>
      <c r="C326" s="72" t="str">
        <f ca="1">IF(D326="Inativo","Inativo",IFERROR(VLOOKUP($G326,Conf!$O:$Q,3,0),IFERROR(VLOOKUP($G326,Conf!$E:$F,2,0),VLOOKUP($S326,Conf!$K:$M,3,0))))</f>
        <v>OPERADOR CAIXA</v>
      </c>
      <c r="D326" s="72" t="str">
        <f ca="1">IFERROR(IF(TODAY()-K326&gt;365,"Inativo",IF(J326=2,"Férias",IF(J326=7,"Demitido","Afastamento"))),VLOOKUP(J326,Conf!$H:$I,2,0))</f>
        <v>Ativos</v>
      </c>
      <c r="E326" s="187">
        <v>4</v>
      </c>
      <c r="F326" s="187">
        <v>492</v>
      </c>
      <c r="G326" t="s">
        <v>553</v>
      </c>
      <c r="H326" s="71"/>
      <c r="I326" t="s">
        <v>225</v>
      </c>
      <c r="J326" s="187">
        <v>1</v>
      </c>
      <c r="K326" t="s">
        <v>1385</v>
      </c>
      <c r="L326" s="185"/>
      <c r="M326" s="188">
        <v>46038</v>
      </c>
      <c r="N326" s="71"/>
      <c r="Q326" s="71"/>
      <c r="R326" s="71"/>
      <c r="S326" t="s">
        <v>281</v>
      </c>
      <c r="T326" s="71"/>
    </row>
    <row r="327" spans="1:20" x14ac:dyDescent="0.3">
      <c r="A327" s="72">
        <f>IFERROR(VLOOKUP($G327,Conf!$B:$C,2,0),E327)</f>
        <v>4</v>
      </c>
      <c r="B327" s="72" t="str">
        <f ca="1">IF(D327="Inativo","Inativo",IFERROR(VLOOKUP($G327,Conf!$O:$Q,2,0),VLOOKUP($S327,Conf!$K:$M,2,0)))</f>
        <v>FRENTE DE CAIXA</v>
      </c>
      <c r="C327" s="72" t="str">
        <f ca="1">IF(D327="Inativo","Inativo",IFERROR(VLOOKUP($G327,Conf!$O:$Q,3,0),IFERROR(VLOOKUP($G327,Conf!$E:$F,2,0),VLOOKUP($S327,Conf!$K:$M,3,0))))</f>
        <v>OPERADOR CAIXA</v>
      </c>
      <c r="D327" s="72" t="str">
        <f ca="1">IFERROR(IF(TODAY()-K327&gt;365,"Inativo",IF(J327=2,"Férias",IF(J327=7,"Demitido","Afastamento"))),VLOOKUP(J327,Conf!$H:$I,2,0))</f>
        <v>Afastamento</v>
      </c>
      <c r="E327" s="187">
        <v>4</v>
      </c>
      <c r="F327" s="187">
        <v>445</v>
      </c>
      <c r="G327" t="s">
        <v>554</v>
      </c>
      <c r="H327" s="71"/>
      <c r="I327" t="s">
        <v>233</v>
      </c>
      <c r="J327" s="187">
        <v>5</v>
      </c>
      <c r="K327" t="s">
        <v>555</v>
      </c>
      <c r="L327" s="185"/>
      <c r="M327" s="188">
        <v>45261</v>
      </c>
      <c r="N327" s="71"/>
      <c r="Q327" s="71"/>
      <c r="R327" s="71"/>
      <c r="S327" t="s">
        <v>281</v>
      </c>
      <c r="T327" s="71"/>
    </row>
    <row r="328" spans="1:20" x14ac:dyDescent="0.3">
      <c r="A328" s="72">
        <f>IFERROR(VLOOKUP($G328,Conf!$B:$C,2,0),E328)</f>
        <v>4</v>
      </c>
      <c r="B328" s="72" t="str">
        <f ca="1">IF(D328="Inativo","Inativo",IFERROR(VLOOKUP($G328,Conf!$O:$Q,2,0),VLOOKUP($S328,Conf!$K:$M,2,0)))</f>
        <v>FRENTE DE CAIXA</v>
      </c>
      <c r="C328" s="72" t="str">
        <f ca="1">IF(D328="Inativo","Inativo",IFERROR(VLOOKUP($G328,Conf!$O:$Q,3,0),IFERROR(VLOOKUP($G328,Conf!$E:$F,2,0),VLOOKUP($S328,Conf!$K:$M,3,0))))</f>
        <v>OPERADOR CAIXA</v>
      </c>
      <c r="D328" s="72" t="str">
        <f ca="1">IFERROR(IF(TODAY()-K328&gt;365,"Inativo",IF(J328=2,"Férias",IF(J328=7,"Demitido","Afastamento"))),VLOOKUP(J328,Conf!$H:$I,2,0))</f>
        <v>Ativos</v>
      </c>
      <c r="E328" s="187">
        <v>4</v>
      </c>
      <c r="F328" s="187">
        <v>491</v>
      </c>
      <c r="G328" t="s">
        <v>556</v>
      </c>
      <c r="H328" s="71"/>
      <c r="I328" t="s">
        <v>511</v>
      </c>
      <c r="J328" s="187">
        <v>1</v>
      </c>
      <c r="K328" t="s">
        <v>1385</v>
      </c>
      <c r="L328" s="185"/>
      <c r="M328" s="188">
        <v>46036</v>
      </c>
      <c r="N328" s="71"/>
      <c r="Q328" s="71"/>
      <c r="R328" s="71"/>
      <c r="S328" t="s">
        <v>281</v>
      </c>
      <c r="T328" s="71"/>
    </row>
    <row r="329" spans="1:20" x14ac:dyDescent="0.3">
      <c r="A329" s="72">
        <f>IFERROR(VLOOKUP($G329,Conf!$B:$C,2,0),E329)</f>
        <v>4</v>
      </c>
      <c r="B329" s="72" t="str">
        <f ca="1">IF(D329="Inativo","Inativo",IFERROR(VLOOKUP($G329,Conf!$O:$Q,2,0),VLOOKUP($S329,Conf!$K:$M,2,0)))</f>
        <v>FRENTE DE CAIXA</v>
      </c>
      <c r="C329" s="72" t="str">
        <f ca="1">IF(D329="Inativo","Inativo",IFERROR(VLOOKUP($G329,Conf!$O:$Q,3,0),IFERROR(VLOOKUP($G329,Conf!$E:$F,2,0),VLOOKUP($S329,Conf!$K:$M,3,0))))</f>
        <v>OPERADOR CAIXA</v>
      </c>
      <c r="D329" s="72" t="str">
        <f ca="1">IFERROR(IF(TODAY()-K329&gt;365,"Inativo",IF(J329=2,"Férias",IF(J329=7,"Demitido","Afastamento"))),VLOOKUP(J329,Conf!$H:$I,2,0))</f>
        <v>Ativos</v>
      </c>
      <c r="E329" s="187">
        <v>4</v>
      </c>
      <c r="F329" s="187">
        <v>509</v>
      </c>
      <c r="G329" t="s">
        <v>1296</v>
      </c>
      <c r="H329" s="71"/>
      <c r="I329" t="s">
        <v>220</v>
      </c>
      <c r="J329" s="187">
        <v>1</v>
      </c>
      <c r="K329" t="s">
        <v>1385</v>
      </c>
      <c r="L329" s="185"/>
      <c r="M329" s="188">
        <v>46183</v>
      </c>
      <c r="N329" s="71"/>
      <c r="Q329" s="71"/>
      <c r="R329" s="71"/>
      <c r="S329" t="s">
        <v>281</v>
      </c>
      <c r="T329" s="71"/>
    </row>
    <row r="330" spans="1:20" x14ac:dyDescent="0.3">
      <c r="A330" s="72">
        <f>IFERROR(VLOOKUP($G330,Conf!$B:$C,2,0),E330)</f>
        <v>4</v>
      </c>
      <c r="B330" s="72" t="str">
        <f ca="1">IF(D330="Inativo","Inativo",IFERROR(VLOOKUP($G330,Conf!$O:$Q,2,0),VLOOKUP($S330,Conf!$K:$M,2,0)))</f>
        <v>FRENTE DE CAIXA</v>
      </c>
      <c r="C330" s="72" t="str">
        <f ca="1">IF(D330="Inativo","Inativo",IFERROR(VLOOKUP($G330,Conf!$O:$Q,3,0),IFERROR(VLOOKUP($G330,Conf!$E:$F,2,0),VLOOKUP($S330,Conf!$K:$M,3,0))))</f>
        <v>OPERADOR CAIXA</v>
      </c>
      <c r="D330" s="72" t="str">
        <f ca="1">IFERROR(IF(TODAY()-K330&gt;365,"Inativo",IF(J330=2,"Férias",IF(J330=7,"Demitido","Afastamento"))),VLOOKUP(J330,Conf!$H:$I,2,0))</f>
        <v>Ativos</v>
      </c>
      <c r="E330" s="187">
        <v>4</v>
      </c>
      <c r="F330" s="187">
        <v>513</v>
      </c>
      <c r="G330" t="s">
        <v>1361</v>
      </c>
      <c r="H330" s="71"/>
      <c r="I330" t="s">
        <v>220</v>
      </c>
      <c r="J330" s="187">
        <v>1</v>
      </c>
      <c r="K330" t="s">
        <v>1385</v>
      </c>
      <c r="L330" s="185"/>
      <c r="M330" s="188">
        <v>46205</v>
      </c>
      <c r="N330" s="71"/>
      <c r="Q330" s="71"/>
      <c r="R330" s="71"/>
      <c r="S330" t="s">
        <v>281</v>
      </c>
      <c r="T330" s="71"/>
    </row>
    <row r="331" spans="1:20" x14ac:dyDescent="0.3">
      <c r="A331" s="72">
        <f>IFERROR(VLOOKUP($G331,Conf!$B:$C,2,0),E331)</f>
        <v>4</v>
      </c>
      <c r="B331" s="72" t="str">
        <f ca="1">IF(D331="Inativo","Inativo",IFERROR(VLOOKUP($G331,Conf!$O:$Q,2,0),VLOOKUP($S331,Conf!$K:$M,2,0)))</f>
        <v>FRENTE DE CAIXA</v>
      </c>
      <c r="C331" s="72" t="str">
        <f ca="1">IF(D331="Inativo","Inativo",IFERROR(VLOOKUP($G331,Conf!$O:$Q,3,0),IFERROR(VLOOKUP($G331,Conf!$E:$F,2,0),VLOOKUP($S331,Conf!$K:$M,3,0))))</f>
        <v>OPERADOR CAIXA</v>
      </c>
      <c r="D331" s="72" t="str">
        <f ca="1">IFERROR(IF(TODAY()-K331&gt;365,"Inativo",IF(J331=2,"Férias",IF(J331=7,"Demitido","Afastamento"))),VLOOKUP(J331,Conf!$H:$I,2,0))</f>
        <v>Ativos</v>
      </c>
      <c r="E331" s="187">
        <v>4</v>
      </c>
      <c r="F331" s="187">
        <v>518</v>
      </c>
      <c r="G331" t="s">
        <v>1541</v>
      </c>
      <c r="H331" s="71"/>
      <c r="I331" t="s">
        <v>220</v>
      </c>
      <c r="J331" s="187">
        <v>1</v>
      </c>
      <c r="K331" t="s">
        <v>1385</v>
      </c>
      <c r="L331" s="185"/>
      <c r="M331" s="188">
        <v>46274</v>
      </c>
      <c r="N331" s="71"/>
      <c r="O331" s="71"/>
      <c r="P331" s="71"/>
      <c r="Q331" s="71"/>
      <c r="R331" s="71"/>
      <c r="S331" t="s">
        <v>281</v>
      </c>
      <c r="T331" s="71"/>
    </row>
    <row r="332" spans="1:20" x14ac:dyDescent="0.3">
      <c r="A332" s="72">
        <f>IFERROR(VLOOKUP($G332,Conf!$B:$C,2,0),E332)</f>
        <v>4</v>
      </c>
      <c r="B332" s="72" t="str">
        <f ca="1">IF(D332="Inativo","Inativo",IFERROR(VLOOKUP($G332,Conf!$O:$Q,2,0),VLOOKUP($S332,Conf!$K:$M,2,0)))</f>
        <v>FRENTE DE CAIXA</v>
      </c>
      <c r="C332" s="72" t="str">
        <f ca="1">IF(D332="Inativo","Inativo",IFERROR(VLOOKUP($G332,Conf!$O:$Q,3,0),IFERROR(VLOOKUP($G332,Conf!$E:$F,2,0),VLOOKUP($S332,Conf!$K:$M,3,0))))</f>
        <v>OPERADOR CAIXA</v>
      </c>
      <c r="D332" s="72" t="str">
        <f ca="1">IFERROR(IF(TODAY()-K332&gt;365,"Inativo",IF(J332=2,"Férias",IF(J332=7,"Demitido","Afastamento"))),VLOOKUP(J332,Conf!$H:$I,2,0))</f>
        <v>Ativos</v>
      </c>
      <c r="E332" s="187">
        <v>4</v>
      </c>
      <c r="F332" s="187">
        <v>515</v>
      </c>
      <c r="G332" t="s">
        <v>1453</v>
      </c>
      <c r="H332" s="71"/>
      <c r="I332" t="s">
        <v>220</v>
      </c>
      <c r="J332" s="187">
        <v>1</v>
      </c>
      <c r="K332" t="s">
        <v>1385</v>
      </c>
      <c r="L332" s="185"/>
      <c r="M332" s="188">
        <v>46239</v>
      </c>
      <c r="N332" s="71"/>
      <c r="Q332" s="71"/>
      <c r="R332" s="71"/>
      <c r="S332" t="s">
        <v>281</v>
      </c>
      <c r="T332" s="71"/>
    </row>
    <row r="333" spans="1:20" x14ac:dyDescent="0.3">
      <c r="A333" s="72">
        <f>IFERROR(VLOOKUP($G333,Conf!$B:$C,2,0),E333)</f>
        <v>4</v>
      </c>
      <c r="B333" s="72" t="str">
        <f ca="1">IF(D333="Inativo","Inativo",IFERROR(VLOOKUP($G333,Conf!$O:$Q,2,0),VLOOKUP($S333,Conf!$K:$M,2,0)))</f>
        <v>FRENTE DE CAIXA</v>
      </c>
      <c r="C333" s="72" t="str">
        <f ca="1">IF(D333="Inativo","Inativo",IFERROR(VLOOKUP($G333,Conf!$O:$Q,3,0),IFERROR(VLOOKUP($G333,Conf!$E:$F,2,0),VLOOKUP($S333,Conf!$K:$M,3,0))))</f>
        <v>OPERADOR CAIXA</v>
      </c>
      <c r="D333" s="72" t="str">
        <f ca="1">IFERROR(IF(TODAY()-K333&gt;365,"Inativo",IF(J333=2,"Férias",IF(J333=7,"Demitido","Afastamento"))),VLOOKUP(J333,Conf!$H:$I,2,0))</f>
        <v>Ativos</v>
      </c>
      <c r="E333" s="187">
        <v>4</v>
      </c>
      <c r="F333" s="187">
        <v>520</v>
      </c>
      <c r="G333" t="s">
        <v>1635</v>
      </c>
      <c r="H333" s="71"/>
      <c r="I333" t="s">
        <v>220</v>
      </c>
      <c r="J333" s="187">
        <v>1</v>
      </c>
      <c r="K333" t="s">
        <v>1385</v>
      </c>
      <c r="L333" s="185"/>
      <c r="M333" s="188">
        <v>46300</v>
      </c>
      <c r="N333" s="71"/>
      <c r="O333" s="71"/>
      <c r="P333" s="71"/>
      <c r="Q333" s="71"/>
      <c r="R333" s="71"/>
      <c r="S333" t="s">
        <v>281</v>
      </c>
      <c r="T333" s="71"/>
    </row>
    <row r="334" spans="1:20" x14ac:dyDescent="0.3">
      <c r="A334" s="72">
        <f>IFERROR(VLOOKUP($G334,Conf!$B:$C,2,0),E334)</f>
        <v>4</v>
      </c>
      <c r="B334" s="72" t="str">
        <f ca="1">IF(D334="Inativo","Inativo",IFERROR(VLOOKUP($G334,Conf!$O:$Q,2,0),VLOOKUP($S334,Conf!$K:$M,2,0)))</f>
        <v>FRENTE DE CAIXA</v>
      </c>
      <c r="C334" s="72" t="str">
        <f ca="1">IF(D334="Inativo","Inativo",IFERROR(VLOOKUP($G334,Conf!$O:$Q,3,0),IFERROR(VLOOKUP($G334,Conf!$E:$F,2,0),VLOOKUP($S334,Conf!$K:$M,3,0))))</f>
        <v>OPERADOR CAIXA</v>
      </c>
      <c r="D334" s="72" t="str">
        <f ca="1">IFERROR(IF(TODAY()-K334&gt;365,"Inativo",IF(J334=2,"Férias",IF(J334=7,"Demitido","Afastamento"))),VLOOKUP(J334,Conf!$H:$I,2,0))</f>
        <v>Afastamento</v>
      </c>
      <c r="E334" s="187">
        <v>4</v>
      </c>
      <c r="F334" s="187">
        <v>456</v>
      </c>
      <c r="G334" t="s">
        <v>557</v>
      </c>
      <c r="H334" s="71"/>
      <c r="I334" t="s">
        <v>424</v>
      </c>
      <c r="J334" s="187">
        <v>3</v>
      </c>
      <c r="K334" t="s">
        <v>1588</v>
      </c>
      <c r="L334" s="185"/>
      <c r="M334" s="188">
        <v>45371</v>
      </c>
      <c r="N334" s="71"/>
      <c r="O334" s="71"/>
      <c r="P334" s="71"/>
      <c r="Q334" s="71"/>
      <c r="R334" s="71"/>
      <c r="S334" t="s">
        <v>281</v>
      </c>
      <c r="T334" s="71"/>
    </row>
    <row r="335" spans="1:20" x14ac:dyDescent="0.3">
      <c r="A335" s="72">
        <f>IFERROR(VLOOKUP($G335,Conf!$B:$C,2,0),E335)</f>
        <v>4</v>
      </c>
      <c r="B335" s="72" t="str">
        <f ca="1">IF(D335="Inativo","Inativo",IFERROR(VLOOKUP($G335,Conf!$O:$Q,2,0),VLOOKUP($S335,Conf!$K:$M,2,0)))</f>
        <v>FRIOS</v>
      </c>
      <c r="C335" s="72" t="str">
        <f ca="1">IF(D335="Inativo","Inativo",IFERROR(VLOOKUP($G335,Conf!$O:$Q,3,0),IFERROR(VLOOKUP($G335,Conf!$E:$F,2,0),VLOOKUP($S335,Conf!$K:$M,3,0))))</f>
        <v>REPOSITOR</v>
      </c>
      <c r="D335" s="72" t="str">
        <f ca="1">IFERROR(IF(TODAY()-K335&gt;365,"Inativo",IF(J335=2,"Férias",IF(J335=7,"Demitido","Afastamento"))),VLOOKUP(J335,Conf!$H:$I,2,0))</f>
        <v>Ativos</v>
      </c>
      <c r="E335" s="187">
        <v>4</v>
      </c>
      <c r="F335" s="187">
        <v>210</v>
      </c>
      <c r="G335" t="s">
        <v>558</v>
      </c>
      <c r="H335" s="71"/>
      <c r="I335" t="s">
        <v>220</v>
      </c>
      <c r="J335" s="187">
        <v>1</v>
      </c>
      <c r="K335" t="s">
        <v>1385</v>
      </c>
      <c r="L335" s="185"/>
      <c r="M335" s="188">
        <v>42437</v>
      </c>
      <c r="N335" s="71"/>
      <c r="Q335" s="71"/>
      <c r="R335" s="71"/>
      <c r="S335" t="s">
        <v>508</v>
      </c>
      <c r="T335" s="71"/>
    </row>
    <row r="336" spans="1:20" x14ac:dyDescent="0.3">
      <c r="A336" s="72">
        <f>IFERROR(VLOOKUP($G336,Conf!$B:$C,2,0),E336)</f>
        <v>4</v>
      </c>
      <c r="B336" s="72" t="str">
        <f ca="1">IF(D336="Inativo","Inativo",IFERROR(VLOOKUP($G336,Conf!$O:$Q,2,0),VLOOKUP($S336,Conf!$K:$M,2,0)))</f>
        <v>GERÊNCIA</v>
      </c>
      <c r="C336" s="72" t="str">
        <f ca="1">IF(D336="Inativo","Inativo",IFERROR(VLOOKUP($G336,Conf!$O:$Q,3,0),IFERROR(VLOOKUP($G336,Conf!$E:$F,2,0),VLOOKUP($S336,Conf!$K:$M,3,0))))</f>
        <v>GERENTE</v>
      </c>
      <c r="D336" s="72" t="str">
        <f ca="1">IFERROR(IF(TODAY()-K336&gt;365,"Inativo",IF(J336=2,"Férias",IF(J336=7,"Demitido","Afastamento"))),VLOOKUP(J336,Conf!$H:$I,2,0))</f>
        <v>Ativos</v>
      </c>
      <c r="E336" s="187">
        <v>4</v>
      </c>
      <c r="F336" s="187">
        <v>448</v>
      </c>
      <c r="G336" t="s">
        <v>576</v>
      </c>
      <c r="H336" s="71"/>
      <c r="I336" t="s">
        <v>350</v>
      </c>
      <c r="J336" s="187">
        <v>1</v>
      </c>
      <c r="K336" t="s">
        <v>1385</v>
      </c>
      <c r="L336" s="185"/>
      <c r="M336" s="188">
        <v>45293</v>
      </c>
      <c r="N336" s="71"/>
      <c r="O336" s="71"/>
      <c r="P336" s="71"/>
      <c r="Q336" s="71"/>
      <c r="R336" s="71"/>
      <c r="S336" t="s">
        <v>351</v>
      </c>
      <c r="T336" s="71"/>
    </row>
    <row r="337" spans="1:20" x14ac:dyDescent="0.3">
      <c r="A337" s="72">
        <f>IFERROR(VLOOKUP($G337,Conf!$B:$C,2,0),E337)</f>
        <v>4</v>
      </c>
      <c r="B337" s="72" t="str">
        <f ca="1">IF(D337="Inativo","Inativo",IFERROR(VLOOKUP($G337,Conf!$O:$Q,2,0),VLOOKUP($S337,Conf!$K:$M,2,0)))</f>
        <v>GERÊNCIA</v>
      </c>
      <c r="C337" s="72" t="str">
        <f ca="1">IF(D337="Inativo","Inativo",IFERROR(VLOOKUP($G337,Conf!$O:$Q,3,0),IFERROR(VLOOKUP($G337,Conf!$E:$F,2,0),VLOOKUP($S337,Conf!$K:$M,3,0))))</f>
        <v>SUBGERENTE</v>
      </c>
      <c r="D337" s="72" t="str">
        <f ca="1">IFERROR(IF(TODAY()-K337&gt;365,"Inativo",IF(J337=2,"Férias",IF(J337=7,"Demitido","Afastamento"))),VLOOKUP(J337,Conf!$H:$I,2,0))</f>
        <v>Ativos</v>
      </c>
      <c r="E337" s="187">
        <v>4</v>
      </c>
      <c r="F337" s="187">
        <v>11</v>
      </c>
      <c r="G337" t="s">
        <v>1621</v>
      </c>
      <c r="H337" s="71"/>
      <c r="I337" t="s">
        <v>350</v>
      </c>
      <c r="J337" s="187">
        <v>1</v>
      </c>
      <c r="K337" t="s">
        <v>1385</v>
      </c>
      <c r="L337" s="185"/>
      <c r="M337" s="188">
        <v>46296</v>
      </c>
      <c r="N337" s="71"/>
      <c r="O337" s="71"/>
      <c r="P337" s="71"/>
      <c r="Q337" s="71"/>
      <c r="R337" s="71"/>
      <c r="S337" t="s">
        <v>1257</v>
      </c>
      <c r="T337" s="71"/>
    </row>
    <row r="338" spans="1:20" x14ac:dyDescent="0.3">
      <c r="A338" s="72">
        <f>IFERROR(VLOOKUP($G338,Conf!$B:$C,2,0),E338)</f>
        <v>4</v>
      </c>
      <c r="B338" s="72" t="str">
        <f ca="1">IF(D338="Inativo","Inativo",IFERROR(VLOOKUP($G338,Conf!$O:$Q,2,0),VLOOKUP($S338,Conf!$K:$M,2,0)))</f>
        <v>GERÊNCIA</v>
      </c>
      <c r="C338" s="72" t="str">
        <f ca="1">IF(D338="Inativo","Inativo",IFERROR(VLOOKUP($G338,Conf!$O:$Q,3,0),IFERROR(VLOOKUP($G338,Conf!$E:$F,2,0),VLOOKUP($S338,Conf!$K:$M,3,0))))</f>
        <v>SUBGERENTE</v>
      </c>
      <c r="D338" s="72" t="str">
        <f ca="1">IFERROR(IF(TODAY()-K338&gt;365,"Inativo",IF(J338=2,"Férias",IF(J338=7,"Demitido","Afastamento"))),VLOOKUP(J338,Conf!$H:$I,2,0))</f>
        <v>Ativos</v>
      </c>
      <c r="E338" s="187">
        <v>3</v>
      </c>
      <c r="F338" s="187">
        <v>20</v>
      </c>
      <c r="G338" t="s">
        <v>1426</v>
      </c>
      <c r="H338" s="71"/>
      <c r="I338" t="s">
        <v>350</v>
      </c>
      <c r="J338" s="187">
        <v>1</v>
      </c>
      <c r="K338" t="s">
        <v>1385</v>
      </c>
      <c r="L338" s="185"/>
      <c r="M338" s="188">
        <v>46219</v>
      </c>
      <c r="N338" s="71"/>
      <c r="Q338" s="71"/>
      <c r="R338" s="71"/>
      <c r="S338" t="s">
        <v>527</v>
      </c>
      <c r="T338" s="71"/>
    </row>
    <row r="339" spans="1:20" x14ac:dyDescent="0.3">
      <c r="A339" s="72">
        <f>IFERROR(VLOOKUP($G339,Conf!$B:$C,2,0),E339)</f>
        <v>4</v>
      </c>
      <c r="B339" s="72" t="str">
        <f ca="1">IF(D339="Inativo","Inativo",IFERROR(VLOOKUP($G339,Conf!$O:$Q,2,0),VLOOKUP($S339,Conf!$K:$M,2,0)))</f>
        <v>HORTIFRUTI</v>
      </c>
      <c r="C339" s="72" t="str">
        <f ca="1">IF(D339="Inativo","Inativo",IFERROR(VLOOKUP($G339,Conf!$O:$Q,3,0),IFERROR(VLOOKUP($G339,Conf!$E:$F,2,0),VLOOKUP($S339,Conf!$K:$M,3,0))))</f>
        <v>ENCARREGADO</v>
      </c>
      <c r="D339" s="72" t="str">
        <f ca="1">IFERROR(IF(TODAY()-K339&gt;365,"Inativo",IF(J339=2,"Férias",IF(J339=7,"Demitido","Afastamento"))),VLOOKUP(J339,Conf!$H:$I,2,0))</f>
        <v>Ativos</v>
      </c>
      <c r="E339" s="187">
        <v>4</v>
      </c>
      <c r="F339" s="187">
        <v>130</v>
      </c>
      <c r="G339" t="s">
        <v>559</v>
      </c>
      <c r="H339" s="71"/>
      <c r="I339" t="s">
        <v>401</v>
      </c>
      <c r="J339" s="187">
        <v>1</v>
      </c>
      <c r="K339" t="s">
        <v>1385</v>
      </c>
      <c r="L339" s="185"/>
      <c r="M339" s="188">
        <v>45531</v>
      </c>
      <c r="N339" s="71"/>
      <c r="Q339" s="71"/>
      <c r="R339" s="71"/>
      <c r="S339" t="s">
        <v>560</v>
      </c>
      <c r="T339" s="71"/>
    </row>
    <row r="340" spans="1:20" x14ac:dyDescent="0.3">
      <c r="A340" s="72">
        <f>IFERROR(VLOOKUP($G340,Conf!$B:$C,2,0),E340)</f>
        <v>4</v>
      </c>
      <c r="B340" s="72" t="str">
        <f ca="1">IF(D340="Inativo","Inativo",IFERROR(VLOOKUP($G340,Conf!$O:$Q,2,0),VLOOKUP($S340,Conf!$K:$M,2,0)))</f>
        <v>HORTIFRUTI</v>
      </c>
      <c r="C340" s="72" t="str">
        <f ca="1">IF(D340="Inativo","Inativo",IFERROR(VLOOKUP($G340,Conf!$O:$Q,3,0),IFERROR(VLOOKUP($G340,Conf!$E:$F,2,0),VLOOKUP($S340,Conf!$K:$M,3,0))))</f>
        <v>REPOSITOR</v>
      </c>
      <c r="D340" s="72" t="str">
        <f ca="1">IFERROR(IF(TODAY()-K340&gt;365,"Inativo",IF(J340=2,"Férias",IF(J340=7,"Demitido","Afastamento"))),VLOOKUP(J340,Conf!$H:$I,2,0))</f>
        <v>Ativos</v>
      </c>
      <c r="E340" s="187">
        <v>4</v>
      </c>
      <c r="F340" s="187">
        <v>188</v>
      </c>
      <c r="G340" t="s">
        <v>562</v>
      </c>
      <c r="H340" s="71"/>
      <c r="I340" t="s">
        <v>319</v>
      </c>
      <c r="J340" s="187">
        <v>1</v>
      </c>
      <c r="K340" t="s">
        <v>1385</v>
      </c>
      <c r="L340" s="185"/>
      <c r="M340" s="188">
        <v>45728</v>
      </c>
      <c r="N340" s="71"/>
      <c r="Q340" s="71"/>
      <c r="R340" s="71"/>
      <c r="S340" t="s">
        <v>561</v>
      </c>
      <c r="T340" s="71"/>
    </row>
    <row r="341" spans="1:20" x14ac:dyDescent="0.3">
      <c r="A341" s="72">
        <f>IFERROR(VLOOKUP($G341,Conf!$B:$C,2,0),E341)</f>
        <v>4</v>
      </c>
      <c r="B341" s="72" t="str">
        <f ca="1">IF(D341="Inativo","Inativo",IFERROR(VLOOKUP($G341,Conf!$O:$Q,2,0),VLOOKUP($S341,Conf!$K:$M,2,0)))</f>
        <v>HORTIFRUTI</v>
      </c>
      <c r="C341" s="72" t="str">
        <f ca="1">IF(D341="Inativo","Inativo",IFERROR(VLOOKUP($G341,Conf!$O:$Q,3,0),IFERROR(VLOOKUP($G341,Conf!$E:$F,2,0),VLOOKUP($S341,Conf!$K:$M,3,0))))</f>
        <v>REPOSITOR</v>
      </c>
      <c r="D341" s="72" t="str">
        <f ca="1">IFERROR(IF(TODAY()-K341&gt;365,"Inativo",IF(J341=2,"Férias",IF(J341=7,"Demitido","Afastamento"))),VLOOKUP(J341,Conf!$H:$I,2,0))</f>
        <v>Ativos</v>
      </c>
      <c r="E341" s="187">
        <v>4</v>
      </c>
      <c r="F341" s="187">
        <v>24</v>
      </c>
      <c r="G341" t="s">
        <v>563</v>
      </c>
      <c r="H341" s="71"/>
      <c r="I341" t="s">
        <v>409</v>
      </c>
      <c r="J341" s="187">
        <v>1</v>
      </c>
      <c r="K341" t="s">
        <v>1385</v>
      </c>
      <c r="L341" s="185"/>
      <c r="M341" s="188">
        <v>45048</v>
      </c>
      <c r="N341" s="71"/>
      <c r="Q341" s="71"/>
      <c r="R341" s="71"/>
      <c r="S341" t="s">
        <v>561</v>
      </c>
      <c r="T341" s="71"/>
    </row>
    <row r="342" spans="1:20" x14ac:dyDescent="0.3">
      <c r="A342" s="72">
        <f>IFERROR(VLOOKUP($G342,Conf!$B:$C,2,0),E342)</f>
        <v>4</v>
      </c>
      <c r="B342" s="72" t="str">
        <f ca="1">IF(D342="Inativo","Inativo",IFERROR(VLOOKUP($G342,Conf!$O:$Q,2,0),VLOOKUP($S342,Conf!$K:$M,2,0)))</f>
        <v>HORTIFRUTI</v>
      </c>
      <c r="C342" s="72" t="str">
        <f ca="1">IF(D342="Inativo","Inativo",IFERROR(VLOOKUP($G342,Conf!$O:$Q,3,0),IFERROR(VLOOKUP($G342,Conf!$E:$F,2,0),VLOOKUP($S342,Conf!$K:$M,3,0))))</f>
        <v>REPOSITOR</v>
      </c>
      <c r="D342" s="72" t="str">
        <f ca="1">IFERROR(IF(TODAY()-K342&gt;365,"Inativo",IF(J342=2,"Férias",IF(J342=7,"Demitido","Afastamento"))),VLOOKUP(J342,Conf!$H:$I,2,0))</f>
        <v>Ativos</v>
      </c>
      <c r="E342" s="187">
        <v>4</v>
      </c>
      <c r="F342" s="187">
        <v>10</v>
      </c>
      <c r="G342" t="s">
        <v>1620</v>
      </c>
      <c r="H342" s="71"/>
      <c r="I342" t="s">
        <v>220</v>
      </c>
      <c r="J342" s="187">
        <v>1</v>
      </c>
      <c r="K342" t="s">
        <v>1385</v>
      </c>
      <c r="L342" s="185"/>
      <c r="M342" s="188">
        <v>46296</v>
      </c>
      <c r="N342" s="71"/>
      <c r="Q342" s="71"/>
      <c r="R342" s="71"/>
      <c r="S342" t="s">
        <v>561</v>
      </c>
      <c r="T342" s="71"/>
    </row>
    <row r="343" spans="1:20" x14ac:dyDescent="0.3">
      <c r="A343" s="72">
        <f>IFERROR(VLOOKUP($G343,Conf!$B:$C,2,0),E343)</f>
        <v>4</v>
      </c>
      <c r="B343" s="72" t="str">
        <f ca="1">IF(D343="Inativo","Inativo",IFERROR(VLOOKUP($G343,Conf!$O:$Q,2,0),VLOOKUP($S343,Conf!$K:$M,2,0)))</f>
        <v>LOJA</v>
      </c>
      <c r="C343" s="72" t="str">
        <f ca="1">IF(D343="Inativo","Inativo",IFERROR(VLOOKUP($G343,Conf!$O:$Q,3,0),IFERROR(VLOOKUP($G343,Conf!$E:$F,2,0),VLOOKUP($S343,Conf!$K:$M,3,0))))</f>
        <v>CARTAZISTA</v>
      </c>
      <c r="D343" s="72" t="str">
        <f ca="1">IFERROR(IF(TODAY()-K343&gt;365,"Inativo",IF(J343=2,"Férias",IF(J343=7,"Demitido","Afastamento"))),VLOOKUP(J343,Conf!$H:$I,2,0))</f>
        <v>Ativos</v>
      </c>
      <c r="E343" s="187">
        <v>4</v>
      </c>
      <c r="F343" s="187">
        <v>228</v>
      </c>
      <c r="G343" t="s">
        <v>573</v>
      </c>
      <c r="H343" s="71"/>
      <c r="I343" t="s">
        <v>396</v>
      </c>
      <c r="J343" s="187">
        <v>1</v>
      </c>
      <c r="K343" t="s">
        <v>1385</v>
      </c>
      <c r="L343" s="185"/>
      <c r="M343" s="188">
        <v>45881</v>
      </c>
      <c r="N343" s="71"/>
      <c r="O343" s="71"/>
      <c r="P343" s="71"/>
      <c r="Q343" s="71"/>
      <c r="R343" s="71"/>
      <c r="S343" t="s">
        <v>574</v>
      </c>
      <c r="T343" s="71"/>
    </row>
    <row r="344" spans="1:20" x14ac:dyDescent="0.3">
      <c r="A344" s="72">
        <f>IFERROR(VLOOKUP($G344,Conf!$B:$C,2,0),E344)</f>
        <v>4</v>
      </c>
      <c r="B344" s="72" t="str">
        <f ca="1">IF(D344="Inativo","Inativo",IFERROR(VLOOKUP($G344,Conf!$O:$Q,2,0),VLOOKUP($S344,Conf!$K:$M,2,0)))</f>
        <v>LOJA</v>
      </c>
      <c r="C344" s="72" t="str">
        <f ca="1">IF(D344="Inativo","Inativo",IFERROR(VLOOKUP($G344,Conf!$O:$Q,3,0),IFERROR(VLOOKUP($G344,Conf!$E:$F,2,0),VLOOKUP($S344,Conf!$K:$M,3,0))))</f>
        <v>ENCARREGADO</v>
      </c>
      <c r="D344" s="72" t="str">
        <f ca="1">IFERROR(IF(TODAY()-K344&gt;365,"Inativo",IF(J344=2,"Férias",IF(J344=7,"Demitido","Afastamento"))),VLOOKUP(J344,Conf!$H:$I,2,0))</f>
        <v>Ativos</v>
      </c>
      <c r="E344" s="187">
        <v>4</v>
      </c>
      <c r="F344" s="187">
        <v>358</v>
      </c>
      <c r="G344" t="s">
        <v>575</v>
      </c>
      <c r="H344" s="71"/>
      <c r="I344" t="s">
        <v>466</v>
      </c>
      <c r="J344" s="187">
        <v>1</v>
      </c>
      <c r="K344" t="s">
        <v>1385</v>
      </c>
      <c r="L344" s="185"/>
      <c r="M344" s="188">
        <v>44169</v>
      </c>
      <c r="N344" s="71"/>
      <c r="Q344" s="71"/>
      <c r="R344" s="71"/>
      <c r="S344" t="s">
        <v>348</v>
      </c>
      <c r="T344" s="71"/>
    </row>
    <row r="345" spans="1:20" x14ac:dyDescent="0.3">
      <c r="A345" s="72">
        <f>IFERROR(VLOOKUP($G345,Conf!$B:$C,2,0),E345)</f>
        <v>4</v>
      </c>
      <c r="B345" s="72" t="str">
        <f ca="1">IF(D345="Inativo","Inativo",IFERROR(VLOOKUP($G345,Conf!$O:$Q,2,0),VLOOKUP($S345,Conf!$K:$M,2,0)))</f>
        <v>LOJA</v>
      </c>
      <c r="C345" s="72" t="str">
        <f ca="1">IF(D345="Inativo","Inativo",IFERROR(VLOOKUP($G345,Conf!$O:$Q,3,0),IFERROR(VLOOKUP($G345,Conf!$E:$F,2,0),VLOOKUP($S345,Conf!$K:$M,3,0))))</f>
        <v>REPOSITOR</v>
      </c>
      <c r="D345" s="72" t="str">
        <f ca="1">IFERROR(IF(TODAY()-K345&gt;365,"Inativo",IF(J345=2,"Férias",IF(J345=7,"Demitido","Afastamento"))),VLOOKUP(J345,Conf!$H:$I,2,0))</f>
        <v>Demitido</v>
      </c>
      <c r="E345" s="187">
        <v>4</v>
      </c>
      <c r="F345" s="187">
        <v>4</v>
      </c>
      <c r="G345" t="s">
        <v>1315</v>
      </c>
      <c r="H345" s="71"/>
      <c r="I345" t="s">
        <v>220</v>
      </c>
      <c r="J345" s="187">
        <v>7</v>
      </c>
      <c r="K345" t="s">
        <v>1576</v>
      </c>
      <c r="L345" s="185"/>
      <c r="M345" s="188">
        <v>46191</v>
      </c>
      <c r="N345" s="71"/>
      <c r="O345" s="71"/>
      <c r="P345" s="71"/>
      <c r="Q345" s="71"/>
      <c r="R345" s="71"/>
      <c r="S345" t="s">
        <v>581</v>
      </c>
      <c r="T345" s="71"/>
    </row>
    <row r="346" spans="1:20" x14ac:dyDescent="0.3">
      <c r="A346" s="72">
        <f>IFERROR(VLOOKUP($G346,Conf!$B:$C,2,0),E346)</f>
        <v>4</v>
      </c>
      <c r="B346" s="72" t="str">
        <f ca="1">IF(D346="Inativo","Inativo",IFERROR(VLOOKUP($G346,Conf!$O:$Q,2,0),VLOOKUP($S346,Conf!$K:$M,2,0)))</f>
        <v>LOJA</v>
      </c>
      <c r="C346" s="72" t="str">
        <f ca="1">IF(D346="Inativo","Inativo",IFERROR(VLOOKUP($G346,Conf!$O:$Q,3,0),IFERROR(VLOOKUP($G346,Conf!$E:$F,2,0),VLOOKUP($S346,Conf!$K:$M,3,0))))</f>
        <v>REPOSITOR</v>
      </c>
      <c r="D346" s="72" t="str">
        <f ca="1">IFERROR(IF(TODAY()-K346&gt;365,"Inativo",IF(J346=2,"Férias",IF(J346=7,"Demitido","Afastamento"))),VLOOKUP(J346,Conf!$H:$I,2,0))</f>
        <v>Ativos</v>
      </c>
      <c r="E346" s="187">
        <v>4</v>
      </c>
      <c r="F346" s="187">
        <v>226</v>
      </c>
      <c r="G346" t="s">
        <v>577</v>
      </c>
      <c r="H346" s="71"/>
      <c r="I346" t="s">
        <v>220</v>
      </c>
      <c r="J346" s="187">
        <v>1</v>
      </c>
      <c r="K346" t="s">
        <v>1385</v>
      </c>
      <c r="L346" s="185"/>
      <c r="M346" s="188">
        <v>45873</v>
      </c>
      <c r="N346" s="71"/>
      <c r="Q346" s="71"/>
      <c r="R346" s="71"/>
      <c r="S346" t="s">
        <v>578</v>
      </c>
      <c r="T346" s="71"/>
    </row>
    <row r="347" spans="1:20" x14ac:dyDescent="0.3">
      <c r="A347" s="72">
        <f>IFERROR(VLOOKUP($G347,Conf!$B:$C,2,0),E347)</f>
        <v>4</v>
      </c>
      <c r="B347" s="72" t="str">
        <f ca="1">IF(D347="Inativo","Inativo",IFERROR(VLOOKUP($G347,Conf!$O:$Q,2,0),VLOOKUP($S347,Conf!$K:$M,2,0)))</f>
        <v>LOJA</v>
      </c>
      <c r="C347" s="72" t="str">
        <f ca="1">IF(D347="Inativo","Inativo",IFERROR(VLOOKUP($G347,Conf!$O:$Q,3,0),IFERROR(VLOOKUP($G347,Conf!$E:$F,2,0),VLOOKUP($S347,Conf!$K:$M,3,0))))</f>
        <v>REPOSITOR</v>
      </c>
      <c r="D347" s="72" t="str">
        <f ca="1">IFERROR(IF(TODAY()-K347&gt;365,"Inativo",IF(J347=2,"Férias",IF(J347=7,"Demitido","Afastamento"))),VLOOKUP(J347,Conf!$H:$I,2,0))</f>
        <v>Demitido</v>
      </c>
      <c r="E347" s="187">
        <v>4</v>
      </c>
      <c r="F347" s="187">
        <v>3</v>
      </c>
      <c r="G347" t="s">
        <v>1327</v>
      </c>
      <c r="H347" s="71"/>
      <c r="I347" t="s">
        <v>220</v>
      </c>
      <c r="J347" s="187">
        <v>7</v>
      </c>
      <c r="K347" t="s">
        <v>1575</v>
      </c>
      <c r="L347" s="185"/>
      <c r="M347" s="188">
        <v>46189</v>
      </c>
      <c r="N347" s="71"/>
      <c r="Q347" s="71"/>
      <c r="R347" s="71"/>
      <c r="S347" t="s">
        <v>581</v>
      </c>
      <c r="T347" s="71"/>
    </row>
    <row r="348" spans="1:20" x14ac:dyDescent="0.3">
      <c r="A348" s="72">
        <f>IFERROR(VLOOKUP($G348,Conf!$B:$C,2,0),E348)</f>
        <v>4</v>
      </c>
      <c r="B348" s="72" t="str">
        <f ca="1">IF(D348="Inativo","Inativo",IFERROR(VLOOKUP($G348,Conf!$O:$Q,2,0),VLOOKUP($S348,Conf!$K:$M,2,0)))</f>
        <v>LOJA</v>
      </c>
      <c r="C348" s="72" t="str">
        <f ca="1">IF(D348="Inativo","Inativo",IFERROR(VLOOKUP($G348,Conf!$O:$Q,3,0),IFERROR(VLOOKUP($G348,Conf!$E:$F,2,0),VLOOKUP($S348,Conf!$K:$M,3,0))))</f>
        <v>REPOSITOR</v>
      </c>
      <c r="D348" s="72" t="str">
        <f ca="1">IFERROR(IF(TODAY()-K348&gt;365,"Inativo",IF(J348=2,"Férias",IF(J348=7,"Demitido","Afastamento"))),VLOOKUP(J348,Conf!$H:$I,2,0))</f>
        <v>Ativos</v>
      </c>
      <c r="E348" s="187">
        <v>4</v>
      </c>
      <c r="F348" s="187">
        <v>9</v>
      </c>
      <c r="G348" t="s">
        <v>1582</v>
      </c>
      <c r="H348" s="71"/>
      <c r="I348" t="s">
        <v>220</v>
      </c>
      <c r="J348" s="187">
        <v>1</v>
      </c>
      <c r="K348" t="s">
        <v>1385</v>
      </c>
      <c r="L348" s="185"/>
      <c r="M348" s="188">
        <v>46283</v>
      </c>
      <c r="N348" s="71"/>
      <c r="Q348" s="71"/>
      <c r="R348" s="71"/>
      <c r="S348" t="s">
        <v>581</v>
      </c>
      <c r="T348" s="71"/>
    </row>
    <row r="349" spans="1:20" x14ac:dyDescent="0.3">
      <c r="A349" s="72">
        <f>IFERROR(VLOOKUP($G349,Conf!$B:$C,2,0),E349)</f>
        <v>4</v>
      </c>
      <c r="B349" s="72" t="str">
        <f ca="1">IF(D349="Inativo","Inativo",IFERROR(VLOOKUP($G349,Conf!$O:$Q,2,0),VLOOKUP($S349,Conf!$K:$M,2,0)))</f>
        <v>LOJA</v>
      </c>
      <c r="C349" s="72" t="str">
        <f ca="1">IF(D349="Inativo","Inativo",IFERROR(VLOOKUP($G349,Conf!$O:$Q,3,0),IFERROR(VLOOKUP($G349,Conf!$E:$F,2,0),VLOOKUP($S349,Conf!$K:$M,3,0))))</f>
        <v>REPOSITOR</v>
      </c>
      <c r="D349" s="72" t="str">
        <f ca="1">IFERROR(IF(TODAY()-K349&gt;365,"Inativo",IF(J349=2,"Férias",IF(J349=7,"Demitido","Afastamento"))),VLOOKUP(J349,Conf!$H:$I,2,0))</f>
        <v>Ativos</v>
      </c>
      <c r="E349" s="187">
        <v>4</v>
      </c>
      <c r="F349" s="187">
        <v>384</v>
      </c>
      <c r="G349" t="s">
        <v>579</v>
      </c>
      <c r="H349" s="71"/>
      <c r="I349" t="s">
        <v>319</v>
      </c>
      <c r="J349" s="187">
        <v>1</v>
      </c>
      <c r="K349" t="s">
        <v>1385</v>
      </c>
      <c r="L349" s="185"/>
      <c r="M349" s="188">
        <v>44580</v>
      </c>
      <c r="N349" s="71"/>
      <c r="Q349" s="71"/>
      <c r="R349" s="71"/>
      <c r="S349" t="s">
        <v>580</v>
      </c>
      <c r="T349" s="71"/>
    </row>
    <row r="350" spans="1:20" x14ac:dyDescent="0.3">
      <c r="A350" s="72">
        <f>IFERROR(VLOOKUP($G350,Conf!$B:$C,2,0),E350)</f>
        <v>4</v>
      </c>
      <c r="B350" s="72" t="str">
        <f ca="1">IF(D350="Inativo","Inativo",IFERROR(VLOOKUP($G350,Conf!$O:$Q,2,0),VLOOKUP($S350,Conf!$K:$M,2,0)))</f>
        <v>PADARIA</v>
      </c>
      <c r="C350" s="72" t="str">
        <f ca="1">IF(D350="Inativo","Inativo",IFERROR(VLOOKUP($G350,Conf!$O:$Q,3,0),IFERROR(VLOOKUP($G350,Conf!$E:$F,2,0),VLOOKUP($S350,Conf!$K:$M,3,0))))</f>
        <v>ATENDENTE</v>
      </c>
      <c r="D350" s="72" t="str">
        <f ca="1">IFERROR(IF(TODAY()-K350&gt;365,"Inativo",IF(J350=2,"Férias",IF(J350=7,"Demitido","Afastamento"))),VLOOKUP(J350,Conf!$H:$I,2,0))</f>
        <v>Ativos</v>
      </c>
      <c r="E350" s="187">
        <v>4</v>
      </c>
      <c r="F350" s="187">
        <v>7</v>
      </c>
      <c r="G350" t="s">
        <v>1441</v>
      </c>
      <c r="H350" s="71"/>
      <c r="I350" t="s">
        <v>220</v>
      </c>
      <c r="J350" s="187">
        <v>1</v>
      </c>
      <c r="K350" t="s">
        <v>1385</v>
      </c>
      <c r="L350" s="185"/>
      <c r="M350" s="188">
        <v>46237</v>
      </c>
      <c r="N350" s="71"/>
      <c r="Q350" s="71"/>
      <c r="R350" s="71"/>
      <c r="S350" t="s">
        <v>588</v>
      </c>
      <c r="T350" s="71"/>
    </row>
    <row r="351" spans="1:20" x14ac:dyDescent="0.3">
      <c r="A351" s="72">
        <f>IFERROR(VLOOKUP($G351,Conf!$B:$C,2,0),E351)</f>
        <v>4</v>
      </c>
      <c r="B351" s="72" t="str">
        <f ca="1">IF(D351="Inativo","Inativo",IFERROR(VLOOKUP($G351,Conf!$O:$Q,2,0),VLOOKUP($S351,Conf!$K:$M,2,0)))</f>
        <v>PADARIA</v>
      </c>
      <c r="C351" s="72" t="str">
        <f ca="1">IF(D351="Inativo","Inativo",IFERROR(VLOOKUP($G351,Conf!$O:$Q,3,0),IFERROR(VLOOKUP($G351,Conf!$E:$F,2,0),VLOOKUP($S351,Conf!$K:$M,3,0))))</f>
        <v>ATENDENTE</v>
      </c>
      <c r="D351" s="72" t="str">
        <f ca="1">IFERROR(IF(TODAY()-K351&gt;365,"Inativo",IF(J351=2,"Férias",IF(J351=7,"Demitido","Afastamento"))),VLOOKUP(J351,Conf!$H:$I,2,0))</f>
        <v>Ativos</v>
      </c>
      <c r="E351" s="187">
        <v>4</v>
      </c>
      <c r="F351" s="187">
        <v>285</v>
      </c>
      <c r="G351" t="s">
        <v>587</v>
      </c>
      <c r="H351" s="71"/>
      <c r="I351" t="s">
        <v>319</v>
      </c>
      <c r="J351" s="187">
        <v>1</v>
      </c>
      <c r="K351" t="s">
        <v>1385</v>
      </c>
      <c r="L351" s="185"/>
      <c r="M351" s="188">
        <v>46057</v>
      </c>
      <c r="N351" s="71"/>
      <c r="Q351" s="71"/>
      <c r="R351" s="71"/>
      <c r="S351" t="s">
        <v>588</v>
      </c>
      <c r="T351" s="71"/>
    </row>
    <row r="352" spans="1:20" x14ac:dyDescent="0.3">
      <c r="A352" s="72">
        <f>IFERROR(VLOOKUP($G352,Conf!$B:$C,2,0),E352)</f>
        <v>4</v>
      </c>
      <c r="B352" s="72" t="str">
        <f ca="1">IF(D352="Inativo","Inativo",IFERROR(VLOOKUP($G352,Conf!$O:$Q,2,0),VLOOKUP($S352,Conf!$K:$M,2,0)))</f>
        <v>PADARIA</v>
      </c>
      <c r="C352" s="72" t="str">
        <f ca="1">IF(D352="Inativo","Inativo",IFERROR(VLOOKUP($G352,Conf!$O:$Q,3,0),IFERROR(VLOOKUP($G352,Conf!$E:$F,2,0),VLOOKUP($S352,Conf!$K:$M,3,0))))</f>
        <v>ATENDENTE</v>
      </c>
      <c r="D352" s="72" t="str">
        <f ca="1">IFERROR(IF(TODAY()-K352&gt;365,"Inativo",IF(J352=2,"Férias",IF(J352=7,"Demitido","Afastamento"))),VLOOKUP(J352,Conf!$H:$I,2,0))</f>
        <v>Ativos</v>
      </c>
      <c r="E352" s="187">
        <v>4</v>
      </c>
      <c r="F352" s="187">
        <v>34</v>
      </c>
      <c r="G352" t="s">
        <v>564</v>
      </c>
      <c r="H352" s="71"/>
      <c r="I352" t="s">
        <v>319</v>
      </c>
      <c r="J352" s="187">
        <v>1</v>
      </c>
      <c r="K352" t="s">
        <v>1385</v>
      </c>
      <c r="L352" s="185"/>
      <c r="M352" s="188">
        <v>45089</v>
      </c>
      <c r="N352" s="71"/>
      <c r="Q352" s="71"/>
      <c r="R352" s="71"/>
      <c r="S352" t="s">
        <v>588</v>
      </c>
      <c r="T352" s="71"/>
    </row>
    <row r="353" spans="1:20" x14ac:dyDescent="0.3">
      <c r="A353" s="72">
        <f>IFERROR(VLOOKUP($G353,Conf!$B:$C,2,0),E353)</f>
        <v>4</v>
      </c>
      <c r="B353" s="72" t="str">
        <f ca="1">IF(D353="Inativo","Inativo",IFERROR(VLOOKUP($G353,Conf!$O:$Q,2,0),VLOOKUP($S353,Conf!$K:$M,2,0)))</f>
        <v>PADARIA</v>
      </c>
      <c r="C353" s="72" t="str">
        <f ca="1">IF(D353="Inativo","Inativo",IFERROR(VLOOKUP($G353,Conf!$O:$Q,3,0),IFERROR(VLOOKUP($G353,Conf!$E:$F,2,0),VLOOKUP($S353,Conf!$K:$M,3,0))))</f>
        <v>AUXILIAR</v>
      </c>
      <c r="D353" s="72" t="str">
        <f ca="1">IFERROR(IF(TODAY()-K353&gt;365,"Inativo",IF(J353=2,"Férias",IF(J353=7,"Demitido","Afastamento"))),VLOOKUP(J353,Conf!$H:$I,2,0))</f>
        <v>Ativos</v>
      </c>
      <c r="E353" s="187">
        <v>4</v>
      </c>
      <c r="F353" s="187">
        <v>263</v>
      </c>
      <c r="G353" t="s">
        <v>584</v>
      </c>
      <c r="H353" s="71"/>
      <c r="I353" t="s">
        <v>222</v>
      </c>
      <c r="J353" s="187">
        <v>1</v>
      </c>
      <c r="K353" t="s">
        <v>1385</v>
      </c>
      <c r="L353" s="185"/>
      <c r="M353" s="188">
        <v>45986</v>
      </c>
      <c r="N353" s="71"/>
      <c r="O353" s="71"/>
      <c r="P353" s="71"/>
      <c r="Q353" s="71"/>
      <c r="R353" s="71"/>
      <c r="S353" t="s">
        <v>585</v>
      </c>
      <c r="T353" s="71"/>
    </row>
    <row r="354" spans="1:20" x14ac:dyDescent="0.3">
      <c r="A354" s="72">
        <f>IFERROR(VLOOKUP($G354,Conf!$B:$C,2,0),E354)</f>
        <v>4</v>
      </c>
      <c r="B354" s="72" t="str">
        <f ca="1">IF(D354="Inativo","Inativo",IFERROR(VLOOKUP($G354,Conf!$O:$Q,2,0),VLOOKUP($S354,Conf!$K:$M,2,0)))</f>
        <v>PADARIA</v>
      </c>
      <c r="C354" s="72" t="str">
        <f ca="1">IF(D354="Inativo","Inativo",IFERROR(VLOOKUP($G354,Conf!$O:$Q,3,0),IFERROR(VLOOKUP($G354,Conf!$E:$F,2,0),VLOOKUP($S354,Conf!$K:$M,3,0))))</f>
        <v>ENCARREGADO</v>
      </c>
      <c r="D354" s="72" t="str">
        <f ca="1">IFERROR(IF(TODAY()-K354&gt;365,"Inativo",IF(J354=2,"Férias",IF(J354=7,"Demitido","Afastamento"))),VLOOKUP(J354,Conf!$H:$I,2,0))</f>
        <v>Ativos</v>
      </c>
      <c r="E354" s="187">
        <v>4</v>
      </c>
      <c r="F354" s="187">
        <v>81</v>
      </c>
      <c r="G354" t="s">
        <v>590</v>
      </c>
      <c r="H354" s="71"/>
      <c r="I354" t="s">
        <v>244</v>
      </c>
      <c r="J354" s="187">
        <v>1</v>
      </c>
      <c r="K354" t="s">
        <v>1385</v>
      </c>
      <c r="L354" s="185"/>
      <c r="M354" s="188">
        <v>45323</v>
      </c>
      <c r="N354" s="71"/>
      <c r="O354" s="71"/>
      <c r="P354" s="71"/>
      <c r="Q354" s="71"/>
      <c r="R354" s="71"/>
      <c r="S354" t="s">
        <v>591</v>
      </c>
      <c r="T354" s="71"/>
    </row>
    <row r="355" spans="1:20" x14ac:dyDescent="0.3">
      <c r="A355" s="72">
        <f>IFERROR(VLOOKUP($G355,Conf!$B:$C,2,0),E355)</f>
        <v>4</v>
      </c>
      <c r="B355" s="72" t="str">
        <f ca="1">IF(D355="Inativo","Inativo",IFERROR(VLOOKUP($G355,Conf!$O:$Q,2,0),VLOOKUP($S355,Conf!$K:$M,2,0)))</f>
        <v>PADARIA</v>
      </c>
      <c r="C355" s="72" t="str">
        <f ca="1">IF(D355="Inativo","Inativo",IFERROR(VLOOKUP($G355,Conf!$O:$Q,3,0),IFERROR(VLOOKUP($G355,Conf!$E:$F,2,0),VLOOKUP($S355,Conf!$K:$M,3,0))))</f>
        <v>PADEIRO(A)</v>
      </c>
      <c r="D355" s="72" t="str">
        <f ca="1">IFERROR(IF(TODAY()-K355&gt;365,"Inativo",IF(J355=2,"Férias",IF(J355=7,"Demitido","Afastamento"))),VLOOKUP(J355,Conf!$H:$I,2,0))</f>
        <v>Ativos</v>
      </c>
      <c r="E355" s="187">
        <v>4</v>
      </c>
      <c r="F355" s="187">
        <v>308</v>
      </c>
      <c r="G355" t="s">
        <v>592</v>
      </c>
      <c r="H355" s="71"/>
      <c r="I355" t="s">
        <v>319</v>
      </c>
      <c r="J355" s="187">
        <v>1</v>
      </c>
      <c r="K355" t="s">
        <v>1385</v>
      </c>
      <c r="L355" s="185"/>
      <c r="M355" s="188">
        <v>43626</v>
      </c>
      <c r="N355" s="71"/>
      <c r="Q355" s="71"/>
      <c r="R355" s="71"/>
      <c r="S355" t="s">
        <v>464</v>
      </c>
      <c r="T355" s="71"/>
    </row>
    <row r="356" spans="1:20" x14ac:dyDescent="0.3">
      <c r="A356" s="72">
        <f>IFERROR(VLOOKUP($G356,Conf!$B:$C,2,0),E356)</f>
        <v>5</v>
      </c>
      <c r="B356" s="72" t="str">
        <f ca="1">IF(D356="Inativo","Inativo",IFERROR(VLOOKUP($G356,Conf!$O:$Q,2,0),VLOOKUP($S356,Conf!$K:$M,2,0)))</f>
        <v>AÇOUGUE</v>
      </c>
      <c r="C356" s="72" t="str">
        <f ca="1">IF(D356="Inativo","Inativo",IFERROR(VLOOKUP($G356,Conf!$O:$Q,3,0),IFERROR(VLOOKUP($G356,Conf!$E:$F,2,0),VLOOKUP($S356,Conf!$K:$M,3,0))))</f>
        <v>AÇOUGUEIRO</v>
      </c>
      <c r="D356" s="72" t="str">
        <f ca="1">IFERROR(IF(TODAY()-K356&gt;365,"Inativo",IF(J356=2,"Férias",IF(J356=7,"Demitido","Afastamento"))),VLOOKUP(J356,Conf!$H:$I,2,0))</f>
        <v>Ativos</v>
      </c>
      <c r="E356" s="187">
        <v>5</v>
      </c>
      <c r="F356" s="187">
        <v>1698</v>
      </c>
      <c r="G356" t="s">
        <v>593</v>
      </c>
      <c r="H356" s="71"/>
      <c r="I356" t="s">
        <v>220</v>
      </c>
      <c r="J356" s="187">
        <v>1</v>
      </c>
      <c r="K356" t="s">
        <v>1385</v>
      </c>
      <c r="L356" s="185"/>
      <c r="M356" s="188">
        <v>46013</v>
      </c>
      <c r="N356" s="71"/>
      <c r="Q356" s="71"/>
      <c r="R356" s="71"/>
      <c r="S356" t="s">
        <v>394</v>
      </c>
      <c r="T356" s="71"/>
    </row>
    <row r="357" spans="1:20" x14ac:dyDescent="0.3">
      <c r="A357" s="72">
        <f>IFERROR(VLOOKUP($G357,Conf!$B:$C,2,0),E357)</f>
        <v>5</v>
      </c>
      <c r="B357" s="72" t="str">
        <f ca="1">IF(D357="Inativo","Inativo",IFERROR(VLOOKUP($G357,Conf!$O:$Q,2,0),VLOOKUP($S357,Conf!$K:$M,2,0)))</f>
        <v>AÇOUGUE</v>
      </c>
      <c r="C357" s="72" t="str">
        <f ca="1">IF(D357="Inativo","Inativo",IFERROR(VLOOKUP($G357,Conf!$O:$Q,3,0),IFERROR(VLOOKUP($G357,Conf!$E:$F,2,0),VLOOKUP($S357,Conf!$K:$M,3,0))))</f>
        <v>AÇOUGUEIRO</v>
      </c>
      <c r="D357" s="72" t="str">
        <f ca="1">IFERROR(IF(TODAY()-K357&gt;365,"Inativo",IF(J357=2,"Férias",IF(J357=7,"Demitido","Afastamento"))),VLOOKUP(J357,Conf!$H:$I,2,0))</f>
        <v>Ativos</v>
      </c>
      <c r="E357" s="187">
        <v>5</v>
      </c>
      <c r="F357" s="187">
        <v>1782</v>
      </c>
      <c r="G357" t="s">
        <v>1595</v>
      </c>
      <c r="H357" s="71"/>
      <c r="I357" t="s">
        <v>220</v>
      </c>
      <c r="J357" s="187">
        <v>1</v>
      </c>
      <c r="K357" t="s">
        <v>1385</v>
      </c>
      <c r="L357" s="185"/>
      <c r="M357" s="188">
        <v>46288</v>
      </c>
      <c r="N357" s="71"/>
      <c r="Q357" s="71"/>
      <c r="R357" s="71"/>
      <c r="S357" t="s">
        <v>394</v>
      </c>
      <c r="T357" s="71"/>
    </row>
    <row r="358" spans="1:20" x14ac:dyDescent="0.3">
      <c r="A358" s="72">
        <f>IFERROR(VLOOKUP($G358,Conf!$B:$C,2,0),E358)</f>
        <v>5</v>
      </c>
      <c r="B358" s="72" t="str">
        <f ca="1">IF(D358="Inativo","Inativo",IFERROR(VLOOKUP($G358,Conf!$O:$Q,2,0),VLOOKUP($S358,Conf!$K:$M,2,0)))</f>
        <v>AÇOUGUE</v>
      </c>
      <c r="C358" s="72" t="str">
        <f ca="1">IF(D358="Inativo","Inativo",IFERROR(VLOOKUP($G358,Conf!$O:$Q,3,0),IFERROR(VLOOKUP($G358,Conf!$E:$F,2,0),VLOOKUP($S358,Conf!$K:$M,3,0))))</f>
        <v>AÇOUGUEIRO</v>
      </c>
      <c r="D358" s="72" t="str">
        <f ca="1">IFERROR(IF(TODAY()-K358&gt;365,"Inativo",IF(J358=2,"Férias",IF(J358=7,"Demitido","Afastamento"))),VLOOKUP(J358,Conf!$H:$I,2,0))</f>
        <v>Ativos</v>
      </c>
      <c r="E358" s="187">
        <v>5</v>
      </c>
      <c r="F358" s="187">
        <v>1607</v>
      </c>
      <c r="G358" t="s">
        <v>594</v>
      </c>
      <c r="H358" s="71"/>
      <c r="I358" t="s">
        <v>220</v>
      </c>
      <c r="J358" s="187">
        <v>1</v>
      </c>
      <c r="K358" t="s">
        <v>1385</v>
      </c>
      <c r="L358" s="185"/>
      <c r="M358" s="188">
        <v>45730</v>
      </c>
      <c r="N358" s="71"/>
      <c r="Q358" s="71"/>
      <c r="R358" s="71"/>
      <c r="S358" t="s">
        <v>394</v>
      </c>
      <c r="T358" s="71"/>
    </row>
    <row r="359" spans="1:20" x14ac:dyDescent="0.3">
      <c r="A359" s="72">
        <f>IFERROR(VLOOKUP($G359,Conf!$B:$C,2,0),E359)</f>
        <v>5</v>
      </c>
      <c r="B359" s="72" t="str">
        <f ca="1">IF(D359="Inativo","Inativo",IFERROR(VLOOKUP($G359,Conf!$O:$Q,2,0),VLOOKUP($S359,Conf!$K:$M,2,0)))</f>
        <v>AÇOUGUE</v>
      </c>
      <c r="C359" s="72" t="str">
        <f ca="1">IF(D359="Inativo","Inativo",IFERROR(VLOOKUP($G359,Conf!$O:$Q,3,0),IFERROR(VLOOKUP($G359,Conf!$E:$F,2,0),VLOOKUP($S359,Conf!$K:$M,3,0))))</f>
        <v>AÇOUGUEIRO</v>
      </c>
      <c r="D359" s="72" t="str">
        <f ca="1">IFERROR(IF(TODAY()-K359&gt;365,"Inativo",IF(J359=2,"Férias",IF(J359=7,"Demitido","Afastamento"))),VLOOKUP(J359,Conf!$H:$I,2,0))</f>
        <v>Ativos</v>
      </c>
      <c r="E359" s="187">
        <v>5</v>
      </c>
      <c r="F359" s="187">
        <v>1663</v>
      </c>
      <c r="G359" t="s">
        <v>596</v>
      </c>
      <c r="H359" s="71"/>
      <c r="I359" t="s">
        <v>220</v>
      </c>
      <c r="J359" s="187">
        <v>1</v>
      </c>
      <c r="K359" t="s">
        <v>1385</v>
      </c>
      <c r="L359" s="185"/>
      <c r="M359" s="188">
        <v>45940</v>
      </c>
      <c r="N359" s="71"/>
      <c r="O359" s="71"/>
      <c r="P359" s="71"/>
      <c r="Q359" s="71"/>
      <c r="R359" s="71"/>
      <c r="S359" t="s">
        <v>394</v>
      </c>
      <c r="T359" s="71"/>
    </row>
    <row r="360" spans="1:20" x14ac:dyDescent="0.3">
      <c r="A360" s="72">
        <f>IFERROR(VLOOKUP($G360,Conf!$B:$C,2,0),E360)</f>
        <v>5</v>
      </c>
      <c r="B360" s="72" t="str">
        <f ca="1">IF(D360="Inativo","Inativo",IFERROR(VLOOKUP($G360,Conf!$O:$Q,2,0),VLOOKUP($S360,Conf!$K:$M,2,0)))</f>
        <v>AÇOUGUE</v>
      </c>
      <c r="C360" s="72" t="str">
        <f ca="1">IF(D360="Inativo","Inativo",IFERROR(VLOOKUP($G360,Conf!$O:$Q,3,0),IFERROR(VLOOKUP($G360,Conf!$E:$F,2,0),VLOOKUP($S360,Conf!$K:$M,3,0))))</f>
        <v>BALCONISTA</v>
      </c>
      <c r="D360" s="72" t="str">
        <f ca="1">IFERROR(IF(TODAY()-K360&gt;365,"Inativo",IF(J360=2,"Férias",IF(J360=7,"Demitido","Afastamento"))),VLOOKUP(J360,Conf!$H:$I,2,0))</f>
        <v>Ativos</v>
      </c>
      <c r="E360" s="187">
        <v>5</v>
      </c>
      <c r="F360" s="187">
        <v>1729</v>
      </c>
      <c r="G360" t="s">
        <v>623</v>
      </c>
      <c r="H360" s="71"/>
      <c r="I360" t="s">
        <v>220</v>
      </c>
      <c r="J360" s="187">
        <v>1</v>
      </c>
      <c r="K360" t="s">
        <v>1385</v>
      </c>
      <c r="L360" s="185"/>
      <c r="M360" s="188">
        <v>46099</v>
      </c>
      <c r="N360" s="71"/>
      <c r="O360" s="71"/>
      <c r="P360" s="71"/>
      <c r="Q360" s="71"/>
      <c r="R360" s="71"/>
      <c r="S360" t="s">
        <v>329</v>
      </c>
      <c r="T360" s="71"/>
    </row>
    <row r="361" spans="1:20" x14ac:dyDescent="0.3">
      <c r="A361" s="72">
        <f>IFERROR(VLOOKUP($G361,Conf!$B:$C,2,0),E361)</f>
        <v>5</v>
      </c>
      <c r="B361" s="72" t="str">
        <f ca="1">IF(D361="Inativo","Inativo",IFERROR(VLOOKUP($G361,Conf!$O:$Q,2,0),VLOOKUP($S361,Conf!$K:$M,2,0)))</f>
        <v>AÇOUGUE</v>
      </c>
      <c r="C361" s="72" t="str">
        <f ca="1">IF(D361="Inativo","Inativo",IFERROR(VLOOKUP($G361,Conf!$O:$Q,3,0),IFERROR(VLOOKUP($G361,Conf!$E:$F,2,0),VLOOKUP($S361,Conf!$K:$M,3,0))))</f>
        <v>DESOSSADOR</v>
      </c>
      <c r="D361" s="72" t="str">
        <f ca="1">IFERROR(IF(TODAY()-K361&gt;365,"Inativo",IF(J361=2,"Férias",IF(J361=7,"Demitido","Afastamento"))),VLOOKUP(J361,Conf!$H:$I,2,0))</f>
        <v>Ativos</v>
      </c>
      <c r="E361" s="187">
        <v>5</v>
      </c>
      <c r="F361" s="187">
        <v>1769</v>
      </c>
      <c r="G361" t="s">
        <v>1486</v>
      </c>
      <c r="H361" s="71"/>
      <c r="I361" t="s">
        <v>656</v>
      </c>
      <c r="J361" s="187">
        <v>1</v>
      </c>
      <c r="K361" t="s">
        <v>1385</v>
      </c>
      <c r="L361" s="185"/>
      <c r="M361" s="188">
        <v>46255</v>
      </c>
      <c r="N361" s="71"/>
      <c r="O361" s="71"/>
      <c r="P361" s="71"/>
      <c r="Q361" s="71"/>
      <c r="R361" s="71"/>
      <c r="S361" t="s">
        <v>474</v>
      </c>
      <c r="T361" s="71"/>
    </row>
    <row r="362" spans="1:20" x14ac:dyDescent="0.3">
      <c r="A362" s="72">
        <f>IFERROR(VLOOKUP($G362,Conf!$B:$C,2,0),E362)</f>
        <v>5</v>
      </c>
      <c r="B362" s="72" t="str">
        <f ca="1">IF(D362="Inativo","Inativo",IFERROR(VLOOKUP($G362,Conf!$O:$Q,2,0),VLOOKUP($S362,Conf!$K:$M,2,0)))</f>
        <v>AÇOUGUE</v>
      </c>
      <c r="C362" s="72" t="str">
        <f ca="1">IF(D362="Inativo","Inativo",IFERROR(VLOOKUP($G362,Conf!$O:$Q,3,0),IFERROR(VLOOKUP($G362,Conf!$E:$F,2,0),VLOOKUP($S362,Conf!$K:$M,3,0))))</f>
        <v>DESOSSADOR</v>
      </c>
      <c r="D362" s="72" t="str">
        <f ca="1">IFERROR(IF(TODAY()-K362&gt;365,"Inativo",IF(J362=2,"Férias",IF(J362=7,"Demitido","Afastamento"))),VLOOKUP(J362,Conf!$H:$I,2,0))</f>
        <v>Ativos</v>
      </c>
      <c r="E362" s="187">
        <v>5</v>
      </c>
      <c r="F362" s="187">
        <v>839</v>
      </c>
      <c r="G362" t="s">
        <v>597</v>
      </c>
      <c r="H362" s="71"/>
      <c r="I362" t="s">
        <v>244</v>
      </c>
      <c r="J362" s="187">
        <v>1</v>
      </c>
      <c r="K362" t="s">
        <v>1385</v>
      </c>
      <c r="L362" s="185"/>
      <c r="M362" s="188">
        <v>43166</v>
      </c>
      <c r="N362" s="71"/>
      <c r="Q362" s="71"/>
      <c r="R362" s="71"/>
      <c r="S362" t="s">
        <v>474</v>
      </c>
      <c r="T362" s="71"/>
    </row>
    <row r="363" spans="1:20" x14ac:dyDescent="0.3">
      <c r="A363" s="72">
        <f>IFERROR(VLOOKUP($G363,Conf!$B:$C,2,0),E363)</f>
        <v>5</v>
      </c>
      <c r="B363" s="72" t="str">
        <f ca="1">IF(D363="Inativo","Inativo",IFERROR(VLOOKUP($G363,Conf!$O:$Q,2,0),VLOOKUP($S363,Conf!$K:$M,2,0)))</f>
        <v>AÇOUGUE</v>
      </c>
      <c r="C363" s="72" t="str">
        <f ca="1">IF(D363="Inativo","Inativo",IFERROR(VLOOKUP($G363,Conf!$O:$Q,3,0),IFERROR(VLOOKUP($G363,Conf!$E:$F,2,0),VLOOKUP($S363,Conf!$K:$M,3,0))))</f>
        <v>DESOSSADOR</v>
      </c>
      <c r="D363" s="72" t="str">
        <f ca="1">IFERROR(IF(TODAY()-K363&gt;365,"Inativo",IF(J363=2,"Férias",IF(J363=7,"Demitido","Afastamento"))),VLOOKUP(J363,Conf!$H:$I,2,0))</f>
        <v>Ativos</v>
      </c>
      <c r="E363" s="187">
        <v>5</v>
      </c>
      <c r="F363" s="187">
        <v>1266</v>
      </c>
      <c r="G363" t="s">
        <v>598</v>
      </c>
      <c r="H363" s="71"/>
      <c r="I363" t="s">
        <v>236</v>
      </c>
      <c r="J363" s="187">
        <v>1</v>
      </c>
      <c r="K363" t="s">
        <v>1385</v>
      </c>
      <c r="L363" s="185"/>
      <c r="M363" s="188">
        <v>44826</v>
      </c>
      <c r="N363" s="71"/>
      <c r="Q363" s="71"/>
      <c r="R363" s="71"/>
      <c r="S363" t="s">
        <v>474</v>
      </c>
      <c r="T363" s="71"/>
    </row>
    <row r="364" spans="1:20" x14ac:dyDescent="0.3">
      <c r="A364" s="72">
        <f>IFERROR(VLOOKUP($G364,Conf!$B:$C,2,0),E364)</f>
        <v>5</v>
      </c>
      <c r="B364" s="72" t="str">
        <f ca="1">IF(D364="Inativo","Inativo",IFERROR(VLOOKUP($G364,Conf!$O:$Q,2,0),VLOOKUP($S364,Conf!$K:$M,2,0)))</f>
        <v>AÇOUGUE</v>
      </c>
      <c r="C364" s="72" t="str">
        <f ca="1">IF(D364="Inativo","Inativo",IFERROR(VLOOKUP($G364,Conf!$O:$Q,3,0),IFERROR(VLOOKUP($G364,Conf!$E:$F,2,0),VLOOKUP($S364,Conf!$K:$M,3,0))))</f>
        <v>DESOSSADOR</v>
      </c>
      <c r="D364" s="72" t="str">
        <f ca="1">IFERROR(IF(TODAY()-K364&gt;365,"Inativo",IF(J364=2,"Férias",IF(J364=7,"Demitido","Afastamento"))),VLOOKUP(J364,Conf!$H:$I,2,0))</f>
        <v>Afastamento</v>
      </c>
      <c r="E364" s="187">
        <v>5</v>
      </c>
      <c r="F364" s="187">
        <v>1411</v>
      </c>
      <c r="G364" t="s">
        <v>595</v>
      </c>
      <c r="H364" s="71"/>
      <c r="I364" t="s">
        <v>244</v>
      </c>
      <c r="J364" s="187">
        <v>14</v>
      </c>
      <c r="K364" t="s">
        <v>1656</v>
      </c>
      <c r="L364" s="185"/>
      <c r="M364" s="188">
        <v>45261</v>
      </c>
      <c r="N364" s="71"/>
      <c r="O364" s="71"/>
      <c r="P364" s="71"/>
      <c r="Q364" s="71"/>
      <c r="R364" s="71"/>
      <c r="S364" t="s">
        <v>474</v>
      </c>
      <c r="T364" s="71"/>
    </row>
    <row r="365" spans="1:20" x14ac:dyDescent="0.3">
      <c r="A365" s="72">
        <f>IFERROR(VLOOKUP($G365,Conf!$B:$C,2,0),E365)</f>
        <v>5</v>
      </c>
      <c r="B365" s="72" t="str">
        <f ca="1">IF(D365="Inativo","Inativo",IFERROR(VLOOKUP($G365,Conf!$O:$Q,2,0),VLOOKUP($S365,Conf!$K:$M,2,0)))</f>
        <v>AÇOUGUE</v>
      </c>
      <c r="C365" s="72" t="str">
        <f ca="1">IF(D365="Inativo","Inativo",IFERROR(VLOOKUP($G365,Conf!$O:$Q,3,0),IFERROR(VLOOKUP($G365,Conf!$E:$F,2,0),VLOOKUP($S365,Conf!$K:$M,3,0))))</f>
        <v>ENCARREGADO</v>
      </c>
      <c r="D365" s="72" t="str">
        <f ca="1">IFERROR(IF(TODAY()-K365&gt;365,"Inativo",IF(J365=2,"Férias",IF(J365=7,"Demitido","Afastamento"))),VLOOKUP(J365,Conf!$H:$I,2,0))</f>
        <v>Ativos</v>
      </c>
      <c r="E365" s="187">
        <v>5</v>
      </c>
      <c r="F365" s="187">
        <v>1700</v>
      </c>
      <c r="G365" t="s">
        <v>599</v>
      </c>
      <c r="H365" s="71"/>
      <c r="I365" t="s">
        <v>319</v>
      </c>
      <c r="J365" s="187">
        <v>1</v>
      </c>
      <c r="K365" t="s">
        <v>1385</v>
      </c>
      <c r="L365" s="185"/>
      <c r="M365" s="188">
        <v>46028</v>
      </c>
      <c r="N365" s="71"/>
      <c r="Q365" s="71"/>
      <c r="R365" s="71"/>
      <c r="S365" t="s">
        <v>600</v>
      </c>
      <c r="T365" s="71"/>
    </row>
    <row r="366" spans="1:20" x14ac:dyDescent="0.3">
      <c r="A366" s="72">
        <f>IFERROR(VLOOKUP($G366,Conf!$B:$C,2,0),E366)</f>
        <v>5</v>
      </c>
      <c r="B366" s="72" t="str">
        <f ca="1">IF(D366="Inativo","Inativo",IFERROR(VLOOKUP($G366,Conf!$O:$Q,2,0),VLOOKUP($S366,Conf!$K:$M,2,0)))</f>
        <v>ADMINISTRATIVO</v>
      </c>
      <c r="C366" s="72" t="str">
        <f ca="1">IF(D366="Inativo","Inativo",IFERROR(VLOOKUP($G366,Conf!$O:$Q,3,0),IFERROR(VLOOKUP($G366,Conf!$E:$F,2,0),VLOOKUP($S366,Conf!$K:$M,3,0))))</f>
        <v>APRENDIZ</v>
      </c>
      <c r="D366" s="72" t="str">
        <f ca="1">IFERROR(IF(TODAY()-K366&gt;365,"Inativo",IF(J366=2,"Férias",IF(J366=7,"Demitido","Afastamento"))),VLOOKUP(J366,Conf!$H:$I,2,0))</f>
        <v>Ativos</v>
      </c>
      <c r="E366" s="187">
        <v>5</v>
      </c>
      <c r="F366" s="187">
        <v>1711</v>
      </c>
      <c r="G366" t="s">
        <v>639</v>
      </c>
      <c r="H366" s="71"/>
      <c r="I366" t="s">
        <v>568</v>
      </c>
      <c r="J366" s="187">
        <v>1</v>
      </c>
      <c r="K366" t="s">
        <v>1385</v>
      </c>
      <c r="L366" s="185"/>
      <c r="M366" s="188">
        <v>46077</v>
      </c>
      <c r="N366" s="71"/>
      <c r="O366" s="71"/>
      <c r="P366" s="71"/>
      <c r="Q366" s="71"/>
      <c r="R366" s="71"/>
      <c r="S366" t="s">
        <v>337</v>
      </c>
      <c r="T366" s="71"/>
    </row>
    <row r="367" spans="1:20" x14ac:dyDescent="0.3">
      <c r="A367" s="72">
        <f>IFERROR(VLOOKUP($G367,Conf!$B:$C,2,0),E367)</f>
        <v>5</v>
      </c>
      <c r="B367" s="72" t="str">
        <f ca="1">IF(D367="Inativo","Inativo",IFERROR(VLOOKUP($G367,Conf!$O:$Q,2,0),VLOOKUP($S367,Conf!$K:$M,2,0)))</f>
        <v>ADMINISTRATIVO</v>
      </c>
      <c r="C367" s="72" t="str">
        <f ca="1">IF(D367="Inativo","Inativo",IFERROR(VLOOKUP($G367,Conf!$O:$Q,3,0),IFERROR(VLOOKUP($G367,Conf!$E:$F,2,0),VLOOKUP($S367,Conf!$K:$M,3,0))))</f>
        <v>APRENDIZ</v>
      </c>
      <c r="D367" s="72" t="str">
        <f ca="1">IFERROR(IF(TODAY()-K367&gt;365,"Inativo",IF(J367=2,"Férias",IF(J367=7,"Demitido","Afastamento"))),VLOOKUP(J367,Conf!$H:$I,2,0))</f>
        <v>Ativos</v>
      </c>
      <c r="E367" s="187">
        <v>5</v>
      </c>
      <c r="F367" s="187">
        <v>1707</v>
      </c>
      <c r="G367" t="s">
        <v>640</v>
      </c>
      <c r="H367" s="71"/>
      <c r="I367" t="s">
        <v>568</v>
      </c>
      <c r="J367" s="187">
        <v>1</v>
      </c>
      <c r="K367" t="s">
        <v>1385</v>
      </c>
      <c r="L367" s="185"/>
      <c r="M367" s="188">
        <v>46077</v>
      </c>
      <c r="N367" s="71"/>
      <c r="Q367" s="71"/>
      <c r="R367" s="71"/>
      <c r="S367" t="s">
        <v>337</v>
      </c>
      <c r="T367" s="71"/>
    </row>
    <row r="368" spans="1:20" x14ac:dyDescent="0.3">
      <c r="A368" s="72">
        <f>IFERROR(VLOOKUP($G368,Conf!$B:$C,2,0),E368)</f>
        <v>5</v>
      </c>
      <c r="B368" s="72" t="str">
        <f ca="1">IF(D368="Inativo","Inativo",IFERROR(VLOOKUP($G368,Conf!$O:$Q,2,0),VLOOKUP($S368,Conf!$K:$M,2,0)))</f>
        <v>ADMINISTRATIVO</v>
      </c>
      <c r="C368" s="72" t="str">
        <f ca="1">IF(D368="Inativo","Inativo",IFERROR(VLOOKUP($G368,Conf!$O:$Q,3,0),IFERROR(VLOOKUP($G368,Conf!$E:$F,2,0),VLOOKUP($S368,Conf!$K:$M,3,0))))</f>
        <v>APRENDIZ</v>
      </c>
      <c r="D368" s="72" t="str">
        <f ca="1">IFERROR(IF(TODAY()-K368&gt;365,"Inativo",IF(J368=2,"Férias",IF(J368=7,"Demitido","Afastamento"))),VLOOKUP(J368,Conf!$H:$I,2,0))</f>
        <v>Ativos</v>
      </c>
      <c r="E368" s="187">
        <v>5</v>
      </c>
      <c r="F368" s="187">
        <v>1709</v>
      </c>
      <c r="G368" t="s">
        <v>641</v>
      </c>
      <c r="H368" s="71"/>
      <c r="I368" t="s">
        <v>568</v>
      </c>
      <c r="J368" s="187">
        <v>1</v>
      </c>
      <c r="K368" t="s">
        <v>1385</v>
      </c>
      <c r="L368" s="185"/>
      <c r="M368" s="188">
        <v>46077</v>
      </c>
      <c r="N368" s="71"/>
      <c r="O368" s="71"/>
      <c r="P368" s="71"/>
      <c r="Q368" s="71"/>
      <c r="R368" s="71"/>
      <c r="S368" t="s">
        <v>337</v>
      </c>
      <c r="T368" s="71"/>
    </row>
    <row r="369" spans="1:20" x14ac:dyDescent="0.3">
      <c r="A369" s="72">
        <f>IFERROR(VLOOKUP($G369,Conf!$B:$C,2,0),E369)</f>
        <v>5</v>
      </c>
      <c r="B369" s="72" t="str">
        <f ca="1">IF(D369="Inativo","Inativo",IFERROR(VLOOKUP($G369,Conf!$O:$Q,2,0),VLOOKUP($S369,Conf!$K:$M,2,0)))</f>
        <v>ADMINISTRATIVO</v>
      </c>
      <c r="C369" s="72" t="str">
        <f ca="1">IF(D369="Inativo","Inativo",IFERROR(VLOOKUP($G369,Conf!$O:$Q,3,0),IFERROR(VLOOKUP($G369,Conf!$E:$F,2,0),VLOOKUP($S369,Conf!$K:$M,3,0))))</f>
        <v>APRENDIZ</v>
      </c>
      <c r="D369" s="72" t="str">
        <f ca="1">IFERROR(IF(TODAY()-K369&gt;365,"Inativo",IF(J369=2,"Férias",IF(J369=7,"Demitido","Afastamento"))),VLOOKUP(J369,Conf!$H:$I,2,0))</f>
        <v>Afastamento</v>
      </c>
      <c r="E369" s="187">
        <v>5</v>
      </c>
      <c r="F369" s="187">
        <v>1714</v>
      </c>
      <c r="G369" t="s">
        <v>642</v>
      </c>
      <c r="H369" s="71"/>
      <c r="I369" t="s">
        <v>568</v>
      </c>
      <c r="J369" s="187">
        <v>3</v>
      </c>
      <c r="K369" t="s">
        <v>1629</v>
      </c>
      <c r="L369" s="185"/>
      <c r="M369" s="188">
        <v>46077</v>
      </c>
      <c r="N369" s="71"/>
      <c r="O369" s="71"/>
      <c r="P369" s="71"/>
      <c r="Q369" s="71"/>
      <c r="R369" s="71"/>
      <c r="S369" t="s">
        <v>337</v>
      </c>
      <c r="T369" s="71"/>
    </row>
    <row r="370" spans="1:20" x14ac:dyDescent="0.3">
      <c r="A370" s="72">
        <f>IFERROR(VLOOKUP($G370,Conf!$B:$C,2,0),E370)</f>
        <v>5</v>
      </c>
      <c r="B370" s="72" t="str">
        <f ca="1">IF(D370="Inativo","Inativo",IFERROR(VLOOKUP($G370,Conf!$O:$Q,2,0),VLOOKUP($S370,Conf!$K:$M,2,0)))</f>
        <v>ADMINISTRATIVO</v>
      </c>
      <c r="C370" s="72" t="str">
        <f ca="1">IF(D370="Inativo","Inativo",IFERROR(VLOOKUP($G370,Conf!$O:$Q,3,0),IFERROR(VLOOKUP($G370,Conf!$E:$F,2,0),VLOOKUP($S370,Conf!$K:$M,3,0))))</f>
        <v>CONTROLADORIA</v>
      </c>
      <c r="D370" s="72" t="str">
        <f ca="1">IFERROR(IF(TODAY()-K370&gt;365,"Inativo",IF(J370=2,"Férias",IF(J370=7,"Demitido","Afastamento"))),VLOOKUP(J370,Conf!$H:$I,2,0))</f>
        <v>Ativos</v>
      </c>
      <c r="E370" s="187">
        <v>5</v>
      </c>
      <c r="F370" s="187">
        <v>749</v>
      </c>
      <c r="G370" t="s">
        <v>605</v>
      </c>
      <c r="H370" s="71"/>
      <c r="I370" t="s">
        <v>606</v>
      </c>
      <c r="J370" s="187">
        <v>1</v>
      </c>
      <c r="K370" t="s">
        <v>1385</v>
      </c>
      <c r="L370" s="185"/>
      <c r="M370" s="188">
        <v>42625</v>
      </c>
      <c r="N370" s="71"/>
      <c r="Q370" s="71"/>
      <c r="R370" s="71"/>
      <c r="S370" t="s">
        <v>256</v>
      </c>
      <c r="T370" s="71"/>
    </row>
    <row r="371" spans="1:20" x14ac:dyDescent="0.3">
      <c r="A371" s="72">
        <f>IFERROR(VLOOKUP($G371,Conf!$B:$C,2,0),E371)</f>
        <v>5</v>
      </c>
      <c r="B371" s="72" t="str">
        <f ca="1">IF(D371="Inativo","Inativo",IFERROR(VLOOKUP($G371,Conf!$O:$Q,2,0),VLOOKUP($S371,Conf!$K:$M,2,0)))</f>
        <v>ADMINISTRATIVO</v>
      </c>
      <c r="C371" s="72" t="str">
        <f ca="1">IF(D371="Inativo","Inativo",IFERROR(VLOOKUP($G371,Conf!$O:$Q,3,0),IFERROR(VLOOKUP($G371,Conf!$E:$F,2,0),VLOOKUP($S371,Conf!$K:$M,3,0))))</f>
        <v>CONTROLADORIA</v>
      </c>
      <c r="D371" s="72" t="str">
        <f ca="1">IFERROR(IF(TODAY()-K371&gt;365,"Inativo",IF(J371=2,"Férias",IF(J371=7,"Demitido","Afastamento"))),VLOOKUP(J371,Conf!$H:$I,2,0))</f>
        <v>Ativos</v>
      </c>
      <c r="E371" s="187">
        <v>5</v>
      </c>
      <c r="F371" s="187">
        <v>1315</v>
      </c>
      <c r="G371" t="s">
        <v>607</v>
      </c>
      <c r="H371" s="71"/>
      <c r="I371" t="s">
        <v>401</v>
      </c>
      <c r="J371" s="187">
        <v>1</v>
      </c>
      <c r="K371" t="s">
        <v>1385</v>
      </c>
      <c r="L371" s="185"/>
      <c r="M371" s="188">
        <v>45006</v>
      </c>
      <c r="N371" s="71"/>
      <c r="Q371" s="71"/>
      <c r="R371" s="71"/>
      <c r="S371" t="s">
        <v>256</v>
      </c>
      <c r="T371" s="71"/>
    </row>
    <row r="372" spans="1:20" x14ac:dyDescent="0.3">
      <c r="A372" s="72">
        <f>IFERROR(VLOOKUP($G372,Conf!$B:$C,2,0),E372)</f>
        <v>5</v>
      </c>
      <c r="B372" s="72" t="str">
        <f ca="1">IF(D372="Inativo","Inativo",IFERROR(VLOOKUP($G372,Conf!$O:$Q,2,0),VLOOKUP($S372,Conf!$K:$M,2,0)))</f>
        <v>ADMINISTRATIVO</v>
      </c>
      <c r="C372" s="72" t="str">
        <f ca="1">IF(D372="Inativo","Inativo",IFERROR(VLOOKUP($G372,Conf!$O:$Q,3,0),IFERROR(VLOOKUP($G372,Conf!$E:$F,2,0),VLOOKUP($S372,Conf!$K:$M,3,0))))</f>
        <v>LIMPEZA</v>
      </c>
      <c r="D372" s="72" t="str">
        <f ca="1">IFERROR(IF(TODAY()-K372&gt;365,"Inativo",IF(J372=2,"Férias",IF(J372=7,"Demitido","Afastamento"))),VLOOKUP(J372,Conf!$H:$I,2,0))</f>
        <v>Afastamento</v>
      </c>
      <c r="E372" s="187">
        <v>5</v>
      </c>
      <c r="F372" s="187">
        <v>1157</v>
      </c>
      <c r="G372" t="s">
        <v>638</v>
      </c>
      <c r="H372" s="71"/>
      <c r="I372" t="s">
        <v>277</v>
      </c>
      <c r="J372" s="187">
        <v>14</v>
      </c>
      <c r="K372" t="s">
        <v>1639</v>
      </c>
      <c r="L372" s="185"/>
      <c r="M372" s="188">
        <v>44414</v>
      </c>
      <c r="N372" s="71"/>
      <c r="O372" s="71"/>
      <c r="P372" s="71"/>
      <c r="Q372" s="71"/>
      <c r="R372" s="71"/>
      <c r="S372" t="s">
        <v>330</v>
      </c>
      <c r="T372" s="71"/>
    </row>
    <row r="373" spans="1:20" x14ac:dyDescent="0.3">
      <c r="A373" s="72">
        <f>IFERROR(VLOOKUP($G373,Conf!$B:$C,2,0),E373)</f>
        <v>5</v>
      </c>
      <c r="B373" s="72" t="str">
        <f ca="1">IF(D373="Inativo","Inativo",IFERROR(VLOOKUP($G373,Conf!$O:$Q,2,0),VLOOKUP($S373,Conf!$K:$M,2,0)))</f>
        <v>ADMINISTRATIVO</v>
      </c>
      <c r="C373" s="72" t="str">
        <f ca="1">IF(D373="Inativo","Inativo",IFERROR(VLOOKUP($G373,Conf!$O:$Q,3,0),IFERROR(VLOOKUP($G373,Conf!$E:$F,2,0),VLOOKUP($S373,Conf!$K:$M,3,0))))</f>
        <v>LIMPEZA</v>
      </c>
      <c r="D373" s="72" t="str">
        <f ca="1">IFERROR(IF(TODAY()-K373&gt;365,"Inativo",IF(J373=2,"Férias",IF(J373=7,"Demitido","Afastamento"))),VLOOKUP(J373,Conf!$H:$I,2,0))</f>
        <v>Ativos</v>
      </c>
      <c r="E373" s="187">
        <v>5</v>
      </c>
      <c r="F373" s="187">
        <v>1780</v>
      </c>
      <c r="G373" t="s">
        <v>1585</v>
      </c>
      <c r="H373" s="71"/>
      <c r="I373" t="s">
        <v>220</v>
      </c>
      <c r="J373" s="187">
        <v>1</v>
      </c>
      <c r="K373" t="s">
        <v>1385</v>
      </c>
      <c r="L373" s="185"/>
      <c r="M373" s="188">
        <v>46283</v>
      </c>
      <c r="N373" s="71"/>
      <c r="Q373" s="71"/>
      <c r="R373" s="71"/>
      <c r="S373" t="s">
        <v>330</v>
      </c>
      <c r="T373" s="71"/>
    </row>
    <row r="374" spans="1:20" x14ac:dyDescent="0.3">
      <c r="A374" s="72">
        <f>IFERROR(VLOOKUP($G374,Conf!$B:$C,2,0),E374)</f>
        <v>5</v>
      </c>
      <c r="B374" s="72" t="str">
        <f ca="1">IF(D374="Inativo","Inativo",IFERROR(VLOOKUP($G374,Conf!$O:$Q,2,0),VLOOKUP($S374,Conf!$K:$M,2,0)))</f>
        <v>CONFEITARIA</v>
      </c>
      <c r="C374" s="72" t="str">
        <f ca="1">IF(D374="Inativo","Inativo",IFERROR(VLOOKUP($G374,Conf!$O:$Q,3,0),IFERROR(VLOOKUP($G374,Conf!$E:$F,2,0),VLOOKUP($S374,Conf!$K:$M,3,0))))</f>
        <v>AUXILIAR</v>
      </c>
      <c r="D374" s="72" t="str">
        <f ca="1">IFERROR(IF(TODAY()-K374&gt;365,"Inativo",IF(J374=2,"Férias",IF(J374=7,"Demitido","Afastamento"))),VLOOKUP(J374,Conf!$H:$I,2,0))</f>
        <v>Ativos</v>
      </c>
      <c r="E374" s="187">
        <v>5</v>
      </c>
      <c r="F374" s="187">
        <v>1775</v>
      </c>
      <c r="G374" t="s">
        <v>1547</v>
      </c>
      <c r="H374" s="71"/>
      <c r="I374" t="s">
        <v>396</v>
      </c>
      <c r="J374" s="187">
        <v>1</v>
      </c>
      <c r="K374" t="s">
        <v>1385</v>
      </c>
      <c r="L374" s="185"/>
      <c r="M374" s="188">
        <v>46274</v>
      </c>
      <c r="N374" s="71"/>
      <c r="O374" s="71"/>
      <c r="P374" s="71"/>
      <c r="Q374" s="71"/>
      <c r="R374" s="71"/>
      <c r="S374" t="s">
        <v>452</v>
      </c>
      <c r="T374" s="71"/>
    </row>
    <row r="375" spans="1:20" x14ac:dyDescent="0.3">
      <c r="A375" s="72">
        <f>IFERROR(VLOOKUP($G375,Conf!$B:$C,2,0),E375)</f>
        <v>5</v>
      </c>
      <c r="B375" s="72" t="str">
        <f ca="1">IF(D375="Inativo","Inativo",IFERROR(VLOOKUP($G375,Conf!$O:$Q,2,0),VLOOKUP($S375,Conf!$K:$M,2,0)))</f>
        <v>CONFEITARIA</v>
      </c>
      <c r="C375" s="72" t="str">
        <f ca="1">IF(D375="Inativo","Inativo",IFERROR(VLOOKUP($G375,Conf!$O:$Q,3,0),IFERROR(VLOOKUP($G375,Conf!$E:$F,2,0),VLOOKUP($S375,Conf!$K:$M,3,0))))</f>
        <v>CONFEITEIRO(A)</v>
      </c>
      <c r="D375" s="72" t="str">
        <f ca="1">IFERROR(IF(TODAY()-K375&gt;365,"Inativo",IF(J375=2,"Férias",IF(J375=7,"Demitido","Afastamento"))),VLOOKUP(J375,Conf!$H:$I,2,0))</f>
        <v>Ativos</v>
      </c>
      <c r="E375" s="187">
        <v>5</v>
      </c>
      <c r="F375" s="187">
        <v>1735</v>
      </c>
      <c r="G375" t="s">
        <v>662</v>
      </c>
      <c r="H375" s="71"/>
      <c r="I375" t="s">
        <v>319</v>
      </c>
      <c r="J375" s="187">
        <v>1</v>
      </c>
      <c r="K375" t="s">
        <v>1385</v>
      </c>
      <c r="L375" s="185"/>
      <c r="M375" s="188">
        <v>46106</v>
      </c>
      <c r="N375" s="71"/>
      <c r="Q375" s="71"/>
      <c r="R375" s="71"/>
      <c r="S375" t="s">
        <v>245</v>
      </c>
      <c r="T375" s="71"/>
    </row>
    <row r="376" spans="1:20" x14ac:dyDescent="0.3">
      <c r="A376" s="72">
        <f>IFERROR(VLOOKUP($G376,Conf!$B:$C,2,0),E376)</f>
        <v>5</v>
      </c>
      <c r="B376" s="72" t="str">
        <f ca="1">IF(D376="Inativo","Inativo",IFERROR(VLOOKUP($G376,Conf!$O:$Q,2,0),VLOOKUP($S376,Conf!$K:$M,2,0)))</f>
        <v>DEPOSITO</v>
      </c>
      <c r="C376" s="72" t="str">
        <f ca="1">IF(D376="Inativo","Inativo",IFERROR(VLOOKUP($G376,Conf!$O:$Q,3,0),IFERROR(VLOOKUP($G376,Conf!$E:$F,2,0),VLOOKUP($S376,Conf!$K:$M,3,0))))</f>
        <v>AUXILIAR</v>
      </c>
      <c r="D376" s="72" t="str">
        <f ca="1">IFERROR(IF(TODAY()-K376&gt;365,"Inativo",IF(J376=2,"Férias",IF(J376=7,"Demitido","Afastamento"))),VLOOKUP(J376,Conf!$H:$I,2,0))</f>
        <v>Ativos</v>
      </c>
      <c r="E376" s="187">
        <v>5</v>
      </c>
      <c r="F376" s="187">
        <v>1764</v>
      </c>
      <c r="G376" t="s">
        <v>1443</v>
      </c>
      <c r="H376" s="71"/>
      <c r="I376" t="s">
        <v>483</v>
      </c>
      <c r="J376" s="187">
        <v>1</v>
      </c>
      <c r="K376" t="s">
        <v>1385</v>
      </c>
      <c r="L376" s="185"/>
      <c r="M376" s="188">
        <v>46237</v>
      </c>
      <c r="N376" s="71"/>
      <c r="O376" s="71"/>
      <c r="P376" s="71"/>
      <c r="Q376" s="71"/>
      <c r="R376" s="71"/>
      <c r="S376" t="s">
        <v>248</v>
      </c>
      <c r="T376" s="71"/>
    </row>
    <row r="377" spans="1:20" x14ac:dyDescent="0.3">
      <c r="A377" s="72">
        <f>IFERROR(VLOOKUP($G377,Conf!$B:$C,2,0),E377)</f>
        <v>5</v>
      </c>
      <c r="B377" s="72" t="str">
        <f ca="1">IF(D377="Inativo","Inativo",IFERROR(VLOOKUP($G377,Conf!$O:$Q,2,0),VLOOKUP($S377,Conf!$K:$M,2,0)))</f>
        <v>DEPOSITO</v>
      </c>
      <c r="C377" s="72" t="str">
        <f ca="1">IF(D377="Inativo","Inativo",IFERROR(VLOOKUP($G377,Conf!$O:$Q,3,0),IFERROR(VLOOKUP($G377,Conf!$E:$F,2,0),VLOOKUP($S377,Conf!$K:$M,3,0))))</f>
        <v>CONFERENTE</v>
      </c>
      <c r="D377" s="72" t="str">
        <f ca="1">IFERROR(IF(TODAY()-K377&gt;365,"Inativo",IF(J377=2,"Férias",IF(J377=7,"Demitido","Afastamento"))),VLOOKUP(J377,Conf!$H:$I,2,0))</f>
        <v>Ativos</v>
      </c>
      <c r="E377" s="187">
        <v>5</v>
      </c>
      <c r="F377" s="187">
        <v>1740</v>
      </c>
      <c r="G377" t="s">
        <v>603</v>
      </c>
      <c r="H377" s="71"/>
      <c r="I377" t="s">
        <v>604</v>
      </c>
      <c r="J377" s="187">
        <v>1</v>
      </c>
      <c r="K377" t="s">
        <v>1385</v>
      </c>
      <c r="L377" s="185"/>
      <c r="M377" s="188">
        <v>46121</v>
      </c>
      <c r="N377" s="71"/>
      <c r="Q377" s="71"/>
      <c r="R377" s="71"/>
      <c r="S377" t="s">
        <v>484</v>
      </c>
      <c r="T377" s="71"/>
    </row>
    <row r="378" spans="1:20" x14ac:dyDescent="0.3">
      <c r="A378" s="72">
        <f>IFERROR(VLOOKUP($G378,Conf!$B:$C,2,0),E378)</f>
        <v>5</v>
      </c>
      <c r="B378" s="72" t="str">
        <f ca="1">IF(D378="Inativo","Inativo",IFERROR(VLOOKUP($G378,Conf!$O:$Q,2,0),VLOOKUP($S378,Conf!$K:$M,2,0)))</f>
        <v>DEPOSITO</v>
      </c>
      <c r="C378" s="72" t="str">
        <f ca="1">IF(D378="Inativo","Inativo",IFERROR(VLOOKUP($G378,Conf!$O:$Q,3,0),IFERROR(VLOOKUP($G378,Conf!$E:$F,2,0),VLOOKUP($S378,Conf!$K:$M,3,0))))</f>
        <v>ENCARREGADO</v>
      </c>
      <c r="D378" s="72" t="str">
        <f ca="1">IFERROR(IF(TODAY()-K378&gt;365,"Inativo",IF(J378=2,"Férias",IF(J378=7,"Demitido","Afastamento"))),VLOOKUP(J378,Conf!$H:$I,2,0))</f>
        <v>Ativos</v>
      </c>
      <c r="E378" s="187">
        <v>3</v>
      </c>
      <c r="F378" s="187">
        <v>130</v>
      </c>
      <c r="G378" t="s">
        <v>1384</v>
      </c>
      <c r="H378" s="71"/>
      <c r="I378" t="s">
        <v>401</v>
      </c>
      <c r="J378" s="187">
        <v>1</v>
      </c>
      <c r="K378" t="s">
        <v>1385</v>
      </c>
      <c r="L378" s="185"/>
      <c r="M378" s="188">
        <v>45853</v>
      </c>
      <c r="N378" s="71"/>
      <c r="Q378" s="71"/>
      <c r="R378" s="71"/>
      <c r="S378" t="s">
        <v>486</v>
      </c>
      <c r="T378" s="71"/>
    </row>
    <row r="379" spans="1:20" x14ac:dyDescent="0.3">
      <c r="A379" s="72">
        <f>IFERROR(VLOOKUP($G379,Conf!$B:$C,2,0),E379)</f>
        <v>5</v>
      </c>
      <c r="B379" s="72" t="str">
        <f ca="1">IF(D379="Inativo","Inativo",IFERROR(VLOOKUP($G379,Conf!$O:$Q,2,0),VLOOKUP($S379,Conf!$K:$M,2,0)))</f>
        <v>FRENTE DE CAIXA</v>
      </c>
      <c r="C379" s="72" t="str">
        <f ca="1">IF(D379="Inativo","Inativo",IFERROR(VLOOKUP($G379,Conf!$O:$Q,3,0),IFERROR(VLOOKUP($G379,Conf!$E:$F,2,0),VLOOKUP($S379,Conf!$K:$M,3,0))))</f>
        <v>EMPACOTADOR</v>
      </c>
      <c r="D379" s="72" t="str">
        <f ca="1">IFERROR(IF(TODAY()-K379&gt;365,"Inativo",IF(J379=2,"Férias",IF(J379=7,"Demitido","Afastamento"))),VLOOKUP(J379,Conf!$H:$I,2,0))</f>
        <v>Ativos</v>
      </c>
      <c r="E379" s="187">
        <v>5</v>
      </c>
      <c r="F379" s="187">
        <v>1461</v>
      </c>
      <c r="G379" t="s">
        <v>651</v>
      </c>
      <c r="H379" s="71"/>
      <c r="I379" t="s">
        <v>277</v>
      </c>
      <c r="J379" s="187">
        <v>1</v>
      </c>
      <c r="K379" t="s">
        <v>1385</v>
      </c>
      <c r="L379" s="185"/>
      <c r="M379" s="188">
        <v>45342</v>
      </c>
      <c r="N379" s="71"/>
      <c r="Q379" s="71"/>
      <c r="R379" s="71"/>
      <c r="S379" t="s">
        <v>524</v>
      </c>
      <c r="T379" s="71"/>
    </row>
    <row r="380" spans="1:20" x14ac:dyDescent="0.3">
      <c r="A380" s="72">
        <f>IFERROR(VLOOKUP($G380,Conf!$B:$C,2,0),E380)</f>
        <v>5</v>
      </c>
      <c r="B380" s="72" t="str">
        <f ca="1">IF(D380="Inativo","Inativo",IFERROR(VLOOKUP($G380,Conf!$O:$Q,2,0),VLOOKUP($S380,Conf!$K:$M,2,0)))</f>
        <v>FRENTE DE CAIXA</v>
      </c>
      <c r="C380" s="72" t="str">
        <f ca="1">IF(D380="Inativo","Inativo",IFERROR(VLOOKUP($G380,Conf!$O:$Q,3,0),IFERROR(VLOOKUP($G380,Conf!$E:$F,2,0),VLOOKUP($S380,Conf!$K:$M,3,0))))</f>
        <v>EMPACOTADOR</v>
      </c>
      <c r="D380" s="72" t="str">
        <f ca="1">IFERROR(IF(TODAY()-K380&gt;365,"Inativo",IF(J380=2,"Férias",IF(J380=7,"Demitido","Afastamento"))),VLOOKUP(J380,Conf!$H:$I,2,0))</f>
        <v>Ativos</v>
      </c>
      <c r="E380" s="187">
        <v>5</v>
      </c>
      <c r="F380" s="187">
        <v>957</v>
      </c>
      <c r="G380" t="s">
        <v>608</v>
      </c>
      <c r="H380" s="71"/>
      <c r="I380" t="s">
        <v>424</v>
      </c>
      <c r="J380" s="187">
        <v>1</v>
      </c>
      <c r="K380" t="s">
        <v>1385</v>
      </c>
      <c r="L380" s="185"/>
      <c r="M380" s="188">
        <v>43774</v>
      </c>
      <c r="N380" s="71"/>
      <c r="O380" s="71"/>
      <c r="P380" s="71"/>
      <c r="Q380" s="71"/>
      <c r="R380" s="71"/>
      <c r="S380" t="s">
        <v>437</v>
      </c>
      <c r="T380" s="71"/>
    </row>
    <row r="381" spans="1:20" x14ac:dyDescent="0.3">
      <c r="A381" s="72">
        <f>IFERROR(VLOOKUP($G381,Conf!$B:$C,2,0),E381)</f>
        <v>5</v>
      </c>
      <c r="B381" s="72" t="str">
        <f ca="1">IF(D381="Inativo","Inativo",IFERROR(VLOOKUP($G381,Conf!$O:$Q,2,0),VLOOKUP($S381,Conf!$K:$M,2,0)))</f>
        <v>FRENTE DE CAIXA</v>
      </c>
      <c r="C381" s="72" t="str">
        <f ca="1">IF(D381="Inativo","Inativo",IFERROR(VLOOKUP($G381,Conf!$O:$Q,3,0),IFERROR(VLOOKUP($G381,Conf!$E:$F,2,0),VLOOKUP($S381,Conf!$K:$M,3,0))))</f>
        <v>EMPACOTADOR</v>
      </c>
      <c r="D381" s="72" t="str">
        <f ca="1">IFERROR(IF(TODAY()-K381&gt;365,"Inativo",IF(J381=2,"Férias",IF(J381=7,"Demitido","Afastamento"))),VLOOKUP(J381,Conf!$H:$I,2,0))</f>
        <v>Ativos</v>
      </c>
      <c r="E381" s="187">
        <v>5</v>
      </c>
      <c r="F381" s="187">
        <v>412</v>
      </c>
      <c r="G381" t="s">
        <v>601</v>
      </c>
      <c r="H381" s="71"/>
      <c r="I381" t="s">
        <v>602</v>
      </c>
      <c r="J381" s="187">
        <v>1</v>
      </c>
      <c r="K381" t="s">
        <v>1385</v>
      </c>
      <c r="L381" s="185"/>
      <c r="M381" s="188">
        <v>41316</v>
      </c>
      <c r="N381" s="71"/>
      <c r="Q381" s="71"/>
      <c r="R381" s="71"/>
      <c r="S381" t="s">
        <v>248</v>
      </c>
      <c r="T381" s="71"/>
    </row>
    <row r="382" spans="1:20" x14ac:dyDescent="0.3">
      <c r="A382" s="72">
        <f>IFERROR(VLOOKUP($G382,Conf!$B:$C,2,0),E382)</f>
        <v>5</v>
      </c>
      <c r="B382" s="72" t="str">
        <f ca="1">IF(D382="Inativo","Inativo",IFERROR(VLOOKUP($G382,Conf!$O:$Q,2,0),VLOOKUP($S382,Conf!$K:$M,2,0)))</f>
        <v>FRENTE DE CAIXA</v>
      </c>
      <c r="C382" s="72" t="str">
        <f ca="1">IF(D382="Inativo","Inativo",IFERROR(VLOOKUP($G382,Conf!$O:$Q,3,0),IFERROR(VLOOKUP($G382,Conf!$E:$F,2,0),VLOOKUP($S382,Conf!$K:$M,3,0))))</f>
        <v>ENCARREGADO</v>
      </c>
      <c r="D382" s="72" t="str">
        <f ca="1">IFERROR(IF(TODAY()-K382&gt;365,"Inativo",IF(J382=2,"Férias",IF(J382=7,"Demitido","Afastamento"))),VLOOKUP(J382,Conf!$H:$I,2,0))</f>
        <v>Férias</v>
      </c>
      <c r="E382" s="187">
        <v>5</v>
      </c>
      <c r="F382" s="187">
        <v>644</v>
      </c>
      <c r="G382" t="s">
        <v>609</v>
      </c>
      <c r="H382" s="71"/>
      <c r="I382" t="s">
        <v>296</v>
      </c>
      <c r="J382" s="187">
        <v>2</v>
      </c>
      <c r="K382" t="s">
        <v>1629</v>
      </c>
      <c r="L382" s="185"/>
      <c r="M382" s="188">
        <v>42081</v>
      </c>
      <c r="N382" s="71"/>
      <c r="O382" s="71"/>
      <c r="P382" s="71"/>
      <c r="Q382" s="71"/>
      <c r="R382" s="71"/>
      <c r="S382" t="s">
        <v>274</v>
      </c>
      <c r="T382" s="71"/>
    </row>
    <row r="383" spans="1:20" x14ac:dyDescent="0.3">
      <c r="A383" s="72">
        <f>IFERROR(VLOOKUP($G383,Conf!$B:$C,2,0),E383)</f>
        <v>5</v>
      </c>
      <c r="B383" s="72" t="str">
        <f ca="1">IF(D383="Inativo","Inativo",IFERROR(VLOOKUP($G383,Conf!$O:$Q,2,0),VLOOKUP($S383,Conf!$K:$M,2,0)))</f>
        <v>FRENTE DE CAIXA</v>
      </c>
      <c r="C383" s="72" t="str">
        <f ca="1">IF(D383="Inativo","Inativo",IFERROR(VLOOKUP($G383,Conf!$O:$Q,3,0),IFERROR(VLOOKUP($G383,Conf!$E:$F,2,0),VLOOKUP($S383,Conf!$K:$M,3,0))))</f>
        <v>ENTREGADOR</v>
      </c>
      <c r="D383" s="72" t="str">
        <f ca="1">IFERROR(IF(TODAY()-K383&gt;365,"Inativo",IF(J383=2,"Férias",IF(J383=7,"Demitido","Afastamento"))),VLOOKUP(J383,Conf!$H:$I,2,0))</f>
        <v>Ativos</v>
      </c>
      <c r="E383" s="187">
        <v>5</v>
      </c>
      <c r="F383" s="187">
        <v>1742</v>
      </c>
      <c r="G383" t="s">
        <v>633</v>
      </c>
      <c r="H383" s="71"/>
      <c r="I383" t="s">
        <v>222</v>
      </c>
      <c r="J383" s="187">
        <v>1</v>
      </c>
      <c r="K383" t="s">
        <v>1385</v>
      </c>
      <c r="L383" s="185"/>
      <c r="M383" s="188">
        <v>46127</v>
      </c>
      <c r="N383" s="71"/>
      <c r="Q383" s="71"/>
      <c r="R383" s="71"/>
      <c r="S383" t="s">
        <v>404</v>
      </c>
      <c r="T383" s="71"/>
    </row>
    <row r="384" spans="1:20" x14ac:dyDescent="0.3">
      <c r="A384" s="72">
        <f>IFERROR(VLOOKUP($G384,Conf!$B:$C,2,0),E384)</f>
        <v>5</v>
      </c>
      <c r="B384" s="72" t="str">
        <f ca="1">IF(D384="Inativo","Inativo",IFERROR(VLOOKUP($G384,Conf!$O:$Q,2,0),VLOOKUP($S384,Conf!$K:$M,2,0)))</f>
        <v>FRENTE DE CAIXA</v>
      </c>
      <c r="C384" s="72" t="str">
        <f ca="1">IF(D384="Inativo","Inativo",IFERROR(VLOOKUP($G384,Conf!$O:$Q,3,0),IFERROR(VLOOKUP($G384,Conf!$E:$F,2,0),VLOOKUP($S384,Conf!$K:$M,3,0))))</f>
        <v>ESTACIONAMENTO</v>
      </c>
      <c r="D384" s="72" t="str">
        <f ca="1">IFERROR(IF(TODAY()-K384&gt;365,"Inativo",IF(J384=2,"Férias",IF(J384=7,"Demitido","Afastamento"))),VLOOKUP(J384,Conf!$H:$I,2,0))</f>
        <v>Ativos</v>
      </c>
      <c r="E384" s="187">
        <v>5</v>
      </c>
      <c r="F384" s="187">
        <v>1754</v>
      </c>
      <c r="G384" t="s">
        <v>1325</v>
      </c>
      <c r="H384" s="71"/>
      <c r="I384" t="s">
        <v>277</v>
      </c>
      <c r="J384" s="187">
        <v>1</v>
      </c>
      <c r="K384" t="s">
        <v>1385</v>
      </c>
      <c r="L384" s="185"/>
      <c r="M384" s="188">
        <v>46190</v>
      </c>
      <c r="N384" s="71"/>
      <c r="O384" s="71"/>
      <c r="P384" s="71"/>
      <c r="Q384" s="71"/>
      <c r="R384" s="71"/>
      <c r="S384" t="s">
        <v>672</v>
      </c>
      <c r="T384" s="71"/>
    </row>
    <row r="385" spans="1:20" x14ac:dyDescent="0.3">
      <c r="A385" s="72">
        <f>IFERROR(VLOOKUP($G385,Conf!$B:$C,2,0),E385)</f>
        <v>5</v>
      </c>
      <c r="B385" s="72" t="str">
        <f ca="1">IF(D385="Inativo","Inativo",IFERROR(VLOOKUP($G385,Conf!$O:$Q,2,0),VLOOKUP($S385,Conf!$K:$M,2,0)))</f>
        <v>FRENTE DE CAIXA</v>
      </c>
      <c r="C385" s="72" t="str">
        <f ca="1">IF(D385="Inativo","Inativo",IFERROR(VLOOKUP($G385,Conf!$O:$Q,3,0),IFERROR(VLOOKUP($G385,Conf!$E:$F,2,0),VLOOKUP($S385,Conf!$K:$M,3,0))))</f>
        <v>FISCAL DE CAIXA</v>
      </c>
      <c r="D385" s="72" t="str">
        <f ca="1">IFERROR(IF(TODAY()-K385&gt;365,"Inativo",IF(J385=2,"Férias",IF(J385=7,"Demitido","Afastamento"))),VLOOKUP(J385,Conf!$H:$I,2,0))</f>
        <v>Ativos</v>
      </c>
      <c r="E385" s="187">
        <v>5</v>
      </c>
      <c r="F385" s="187">
        <v>1715</v>
      </c>
      <c r="G385" t="s">
        <v>610</v>
      </c>
      <c r="H385" s="71"/>
      <c r="I385" t="s">
        <v>424</v>
      </c>
      <c r="J385" s="187">
        <v>1</v>
      </c>
      <c r="K385" t="s">
        <v>1385</v>
      </c>
      <c r="L385" s="185"/>
      <c r="M385" s="188">
        <v>46077</v>
      </c>
      <c r="N385" s="71"/>
      <c r="Q385" s="71"/>
      <c r="R385" s="71"/>
      <c r="S385" t="s">
        <v>278</v>
      </c>
      <c r="T385" s="71"/>
    </row>
    <row r="386" spans="1:20" x14ac:dyDescent="0.3">
      <c r="A386" s="72">
        <f>IFERROR(VLOOKUP($G386,Conf!$B:$C,2,0),E386)</f>
        <v>5</v>
      </c>
      <c r="B386" s="72" t="str">
        <f ca="1">IF(D386="Inativo","Inativo",IFERROR(VLOOKUP($G386,Conf!$O:$Q,2,0),VLOOKUP($S386,Conf!$K:$M,2,0)))</f>
        <v>FRENTE DE CAIXA</v>
      </c>
      <c r="C386" s="72" t="str">
        <f ca="1">IF(D386="Inativo","Inativo",IFERROR(VLOOKUP($G386,Conf!$O:$Q,3,0),IFERROR(VLOOKUP($G386,Conf!$E:$F,2,0),VLOOKUP($S386,Conf!$K:$M,3,0))))</f>
        <v>FISCAL DE CAIXA</v>
      </c>
      <c r="D386" s="72" t="str">
        <f ca="1">IFERROR(IF(TODAY()-K386&gt;365,"Inativo",IF(J386=2,"Férias",IF(J386=7,"Demitido","Afastamento"))),VLOOKUP(J386,Conf!$H:$I,2,0))</f>
        <v>Ativos</v>
      </c>
      <c r="E386" s="187">
        <v>5</v>
      </c>
      <c r="F386" s="187">
        <v>326</v>
      </c>
      <c r="G386" t="s">
        <v>611</v>
      </c>
      <c r="H386" s="71"/>
      <c r="I386" t="s">
        <v>612</v>
      </c>
      <c r="J386" s="187">
        <v>1</v>
      </c>
      <c r="K386" t="s">
        <v>1385</v>
      </c>
      <c r="L386" s="185"/>
      <c r="M386" s="188">
        <v>41183</v>
      </c>
      <c r="N386" s="71"/>
      <c r="Q386" s="71"/>
      <c r="R386" s="71"/>
      <c r="S386" t="s">
        <v>278</v>
      </c>
      <c r="T386" s="71"/>
    </row>
    <row r="387" spans="1:20" x14ac:dyDescent="0.3">
      <c r="A387" s="72">
        <f>IFERROR(VLOOKUP($G387,Conf!$B:$C,2,0),E387)</f>
        <v>5</v>
      </c>
      <c r="B387" s="72" t="str">
        <f ca="1">IF(D387="Inativo","Inativo",IFERROR(VLOOKUP($G387,Conf!$O:$Q,2,0),VLOOKUP($S387,Conf!$K:$M,2,0)))</f>
        <v>FRENTE DE CAIXA</v>
      </c>
      <c r="C387" s="72" t="str">
        <f ca="1">IF(D387="Inativo","Inativo",IFERROR(VLOOKUP($G387,Conf!$O:$Q,3,0),IFERROR(VLOOKUP($G387,Conf!$E:$F,2,0),VLOOKUP($S387,Conf!$K:$M,3,0))))</f>
        <v>FISCAL DE CAIXA</v>
      </c>
      <c r="D387" s="72" t="str">
        <f ca="1">IFERROR(IF(TODAY()-K387&gt;365,"Inativo",IF(J387=2,"Férias",IF(J387=7,"Demitido","Afastamento"))),VLOOKUP(J387,Conf!$H:$I,2,0))</f>
        <v>Ativos</v>
      </c>
      <c r="E387" s="187">
        <v>5</v>
      </c>
      <c r="F387" s="187">
        <v>385</v>
      </c>
      <c r="G387" t="s">
        <v>613</v>
      </c>
      <c r="H387" s="71"/>
      <c r="I387" t="s">
        <v>319</v>
      </c>
      <c r="J387" s="187">
        <v>1</v>
      </c>
      <c r="K387" t="s">
        <v>1385</v>
      </c>
      <c r="L387" s="185"/>
      <c r="M387" s="188">
        <v>41232</v>
      </c>
      <c r="N387" s="71"/>
      <c r="O387" s="71"/>
      <c r="P387" s="71"/>
      <c r="Q387" s="71"/>
      <c r="R387" s="71"/>
      <c r="S387" t="s">
        <v>278</v>
      </c>
      <c r="T387" s="71"/>
    </row>
    <row r="388" spans="1:20" x14ac:dyDescent="0.3">
      <c r="A388" s="72">
        <f>IFERROR(VLOOKUP($G388,Conf!$B:$C,2,0),E388)</f>
        <v>5</v>
      </c>
      <c r="B388" s="72" t="str">
        <f ca="1">IF(D388="Inativo","Inativo",IFERROR(VLOOKUP($G388,Conf!$O:$Q,2,0),VLOOKUP($S388,Conf!$K:$M,2,0)))</f>
        <v>FRENTE DE CAIXA</v>
      </c>
      <c r="C388" s="72" t="str">
        <f ca="1">IF(D388="Inativo","Inativo",IFERROR(VLOOKUP($G388,Conf!$O:$Q,3,0),IFERROR(VLOOKUP($G388,Conf!$E:$F,2,0),VLOOKUP($S388,Conf!$K:$M,3,0))))</f>
        <v>FISCAL DE CAIXA</v>
      </c>
      <c r="D388" s="72" t="str">
        <f ca="1">IFERROR(IF(TODAY()-K388&gt;365,"Inativo",IF(J388=2,"Férias",IF(J388=7,"Demitido","Afastamento"))),VLOOKUP(J388,Conf!$H:$I,2,0))</f>
        <v>Ativos</v>
      </c>
      <c r="E388" s="187">
        <v>5</v>
      </c>
      <c r="F388" s="187">
        <v>1732</v>
      </c>
      <c r="G388" t="s">
        <v>626</v>
      </c>
      <c r="H388" s="71"/>
      <c r="I388" t="s">
        <v>220</v>
      </c>
      <c r="J388" s="187">
        <v>1</v>
      </c>
      <c r="K388" t="s">
        <v>1385</v>
      </c>
      <c r="L388" s="185"/>
      <c r="M388" s="188">
        <v>46101</v>
      </c>
      <c r="N388" s="71"/>
      <c r="O388" s="71"/>
      <c r="P388" s="71"/>
      <c r="Q388" s="71"/>
      <c r="R388" s="71"/>
      <c r="S388" t="s">
        <v>278</v>
      </c>
      <c r="T388" s="71"/>
    </row>
    <row r="389" spans="1:20" x14ac:dyDescent="0.3">
      <c r="A389" s="72">
        <f>IFERROR(VLOOKUP($G389,Conf!$B:$C,2,0),E389)</f>
        <v>5</v>
      </c>
      <c r="B389" s="72" t="str">
        <f ca="1">IF(D389="Inativo","Inativo",IFERROR(VLOOKUP($G389,Conf!$O:$Q,2,0),VLOOKUP($S389,Conf!$K:$M,2,0)))</f>
        <v>FRENTE DE CAIXA</v>
      </c>
      <c r="C389" s="72" t="str">
        <f ca="1">IF(D389="Inativo","Inativo",IFERROR(VLOOKUP($G389,Conf!$O:$Q,3,0),IFERROR(VLOOKUP($G389,Conf!$E:$F,2,0),VLOOKUP($S389,Conf!$K:$M,3,0))))</f>
        <v>OPERADOR CAIXA</v>
      </c>
      <c r="D389" s="72" t="str">
        <f ca="1">IFERROR(IF(TODAY()-K389&gt;365,"Inativo",IF(J389=2,"Férias",IF(J389=7,"Demitido","Afastamento"))),VLOOKUP(J389,Conf!$H:$I,2,0))</f>
        <v>Ativos</v>
      </c>
      <c r="E389" s="187">
        <v>5</v>
      </c>
      <c r="F389" s="187">
        <v>1783</v>
      </c>
      <c r="G389" t="s">
        <v>1596</v>
      </c>
      <c r="H389" s="71"/>
      <c r="I389" t="s">
        <v>220</v>
      </c>
      <c r="J389" s="187">
        <v>1</v>
      </c>
      <c r="K389" t="s">
        <v>1385</v>
      </c>
      <c r="L389" s="185"/>
      <c r="M389" s="188">
        <v>46288</v>
      </c>
      <c r="N389" s="71"/>
      <c r="Q389" s="71"/>
      <c r="R389" s="71"/>
      <c r="S389" t="s">
        <v>281</v>
      </c>
      <c r="T389" s="71"/>
    </row>
    <row r="390" spans="1:20" x14ac:dyDescent="0.3">
      <c r="A390" s="72">
        <f>IFERROR(VLOOKUP($G390,Conf!$B:$C,2,0),E390)</f>
        <v>5</v>
      </c>
      <c r="B390" s="72" t="str">
        <f ca="1">IF(D390="Inativo","Inativo",IFERROR(VLOOKUP($G390,Conf!$O:$Q,2,0),VLOOKUP($S390,Conf!$K:$M,2,0)))</f>
        <v>FRENTE DE CAIXA</v>
      </c>
      <c r="C390" s="72" t="str">
        <f ca="1">IF(D390="Inativo","Inativo",IFERROR(VLOOKUP($G390,Conf!$O:$Q,3,0),IFERROR(VLOOKUP($G390,Conf!$E:$F,2,0),VLOOKUP($S390,Conf!$K:$M,3,0))))</f>
        <v>OPERADOR CAIXA</v>
      </c>
      <c r="D390" s="72" t="str">
        <f ca="1">IFERROR(IF(TODAY()-K390&gt;365,"Inativo",IF(J390=2,"Férias",IF(J390=7,"Demitido","Afastamento"))),VLOOKUP(J390,Conf!$H:$I,2,0))</f>
        <v>Ativos</v>
      </c>
      <c r="E390" s="187">
        <v>5</v>
      </c>
      <c r="F390" s="187">
        <v>1666</v>
      </c>
      <c r="G390" t="s">
        <v>614</v>
      </c>
      <c r="H390" s="71"/>
      <c r="I390" t="s">
        <v>220</v>
      </c>
      <c r="J390" s="187">
        <v>1</v>
      </c>
      <c r="K390" t="s">
        <v>1385</v>
      </c>
      <c r="L390" s="185"/>
      <c r="M390" s="188">
        <v>45946</v>
      </c>
      <c r="N390" s="71"/>
      <c r="O390" s="71"/>
      <c r="P390" s="71"/>
      <c r="Q390" s="71"/>
      <c r="R390" s="71"/>
      <c r="S390" t="s">
        <v>281</v>
      </c>
      <c r="T390" s="71"/>
    </row>
    <row r="391" spans="1:20" x14ac:dyDescent="0.3">
      <c r="A391" s="72">
        <f>IFERROR(VLOOKUP($G391,Conf!$B:$C,2,0),E391)</f>
        <v>5</v>
      </c>
      <c r="B391" s="72" t="str">
        <f ca="1">IF(D391="Inativo","Inativo",IFERROR(VLOOKUP($G391,Conf!$O:$Q,2,0),VLOOKUP($S391,Conf!$K:$M,2,0)))</f>
        <v>FRENTE DE CAIXA</v>
      </c>
      <c r="C391" s="72" t="str">
        <f ca="1">IF(D391="Inativo","Inativo",IFERROR(VLOOKUP($G391,Conf!$O:$Q,3,0),IFERROR(VLOOKUP($G391,Conf!$E:$F,2,0),VLOOKUP($S391,Conf!$K:$M,3,0))))</f>
        <v>OPERADOR CAIXA</v>
      </c>
      <c r="D391" s="72" t="str">
        <f ca="1">IFERROR(IF(TODAY()-K391&gt;365,"Inativo",IF(J391=2,"Férias",IF(J391=7,"Demitido","Afastamento"))),VLOOKUP(J391,Conf!$H:$I,2,0))</f>
        <v>Ativos</v>
      </c>
      <c r="E391" s="187">
        <v>5</v>
      </c>
      <c r="F391" s="187">
        <v>1608</v>
      </c>
      <c r="G391" t="s">
        <v>615</v>
      </c>
      <c r="H391" s="71"/>
      <c r="I391" t="s">
        <v>220</v>
      </c>
      <c r="J391" s="187">
        <v>1</v>
      </c>
      <c r="K391" t="s">
        <v>1385</v>
      </c>
      <c r="L391" s="185"/>
      <c r="M391" s="188">
        <v>45734</v>
      </c>
      <c r="N391" s="71"/>
      <c r="O391" s="71"/>
      <c r="P391" s="71"/>
      <c r="Q391" s="71"/>
      <c r="R391" s="71"/>
      <c r="S391" t="s">
        <v>281</v>
      </c>
      <c r="T391" s="71"/>
    </row>
    <row r="392" spans="1:20" x14ac:dyDescent="0.3">
      <c r="A392" s="72">
        <f>IFERROR(VLOOKUP($G392,Conf!$B:$C,2,0),E392)</f>
        <v>5</v>
      </c>
      <c r="B392" s="72" t="str">
        <f ca="1">IF(D392="Inativo","Inativo",IFERROR(VLOOKUP($G392,Conf!$O:$Q,2,0),VLOOKUP($S392,Conf!$K:$M,2,0)))</f>
        <v>FRENTE DE CAIXA</v>
      </c>
      <c r="C392" s="72" t="str">
        <f ca="1">IF(D392="Inativo","Inativo",IFERROR(VLOOKUP($G392,Conf!$O:$Q,3,0),IFERROR(VLOOKUP($G392,Conf!$E:$F,2,0),VLOOKUP($S392,Conf!$K:$M,3,0))))</f>
        <v>OPERADOR CAIXA</v>
      </c>
      <c r="D392" s="72" t="str">
        <f ca="1">IFERROR(IF(TODAY()-K392&gt;365,"Inativo",IF(J392=2,"Férias",IF(J392=7,"Demitido","Afastamento"))),VLOOKUP(J392,Conf!$H:$I,2,0))</f>
        <v>Ativos</v>
      </c>
      <c r="E392" s="187">
        <v>5</v>
      </c>
      <c r="F392" s="187">
        <v>1293</v>
      </c>
      <c r="G392" t="s">
        <v>616</v>
      </c>
      <c r="H392" s="71"/>
      <c r="I392" t="s">
        <v>220</v>
      </c>
      <c r="J392" s="187">
        <v>1</v>
      </c>
      <c r="K392" t="s">
        <v>1385</v>
      </c>
      <c r="L392" s="185"/>
      <c r="M392" s="188">
        <v>44932</v>
      </c>
      <c r="N392" s="71"/>
      <c r="Q392" s="71"/>
      <c r="R392" s="71"/>
      <c r="S392" t="s">
        <v>281</v>
      </c>
      <c r="T392" s="71"/>
    </row>
    <row r="393" spans="1:20" x14ac:dyDescent="0.3">
      <c r="A393" s="72">
        <f>IFERROR(VLOOKUP($G393,Conf!$B:$C,2,0),E393)</f>
        <v>5</v>
      </c>
      <c r="B393" s="72" t="str">
        <f ca="1">IF(D393="Inativo","Inativo",IFERROR(VLOOKUP($G393,Conf!$O:$Q,2,0),VLOOKUP($S393,Conf!$K:$M,2,0)))</f>
        <v>FRENTE DE CAIXA</v>
      </c>
      <c r="C393" s="72" t="str">
        <f ca="1">IF(D393="Inativo","Inativo",IFERROR(VLOOKUP($G393,Conf!$O:$Q,3,0),IFERROR(VLOOKUP($G393,Conf!$E:$F,2,0),VLOOKUP($S393,Conf!$K:$M,3,0))))</f>
        <v>OPERADOR CAIXA</v>
      </c>
      <c r="D393" s="72" t="str">
        <f ca="1">IFERROR(IF(TODAY()-K393&gt;365,"Inativo",IF(J393=2,"Férias",IF(J393=7,"Demitido","Afastamento"))),VLOOKUP(J393,Conf!$H:$I,2,0))</f>
        <v>Ativos</v>
      </c>
      <c r="E393" s="187">
        <v>5</v>
      </c>
      <c r="F393" s="187">
        <v>1686</v>
      </c>
      <c r="G393" t="s">
        <v>617</v>
      </c>
      <c r="H393" s="71"/>
      <c r="I393" t="s">
        <v>220</v>
      </c>
      <c r="J393" s="187">
        <v>1</v>
      </c>
      <c r="K393" t="s">
        <v>1385</v>
      </c>
      <c r="L393" s="185"/>
      <c r="M393" s="188">
        <v>45986</v>
      </c>
      <c r="N393" s="71"/>
      <c r="Q393" s="71"/>
      <c r="R393" s="71"/>
      <c r="S393" t="s">
        <v>281</v>
      </c>
      <c r="T393" s="71"/>
    </row>
    <row r="394" spans="1:20" x14ac:dyDescent="0.3">
      <c r="A394" s="72">
        <f>IFERROR(VLOOKUP($G394,Conf!$B:$C,2,0),E394)</f>
        <v>5</v>
      </c>
      <c r="B394" s="72" t="str">
        <f ca="1">IF(D394="Inativo","Inativo",IFERROR(VLOOKUP($G394,Conf!$O:$Q,2,0),VLOOKUP($S394,Conf!$K:$M,2,0)))</f>
        <v>FRENTE DE CAIXA</v>
      </c>
      <c r="C394" s="72" t="str">
        <f ca="1">IF(D394="Inativo","Inativo",IFERROR(VLOOKUP($G394,Conf!$O:$Q,3,0),IFERROR(VLOOKUP($G394,Conf!$E:$F,2,0),VLOOKUP($S394,Conf!$K:$M,3,0))))</f>
        <v>OPERADOR CAIXA</v>
      </c>
      <c r="D394" s="72" t="str">
        <f ca="1">IFERROR(IF(TODAY()-K394&gt;365,"Inativo",IF(J394=2,"Férias",IF(J394=7,"Demitido","Afastamento"))),VLOOKUP(J394,Conf!$H:$I,2,0))</f>
        <v>Ativos</v>
      </c>
      <c r="E394" s="187">
        <v>5</v>
      </c>
      <c r="F394" s="187">
        <v>1429</v>
      </c>
      <c r="G394" t="s">
        <v>618</v>
      </c>
      <c r="H394" s="71"/>
      <c r="I394" t="s">
        <v>220</v>
      </c>
      <c r="J394" s="187">
        <v>1</v>
      </c>
      <c r="K394" t="s">
        <v>1385</v>
      </c>
      <c r="L394" s="185"/>
      <c r="M394" s="188">
        <v>45308</v>
      </c>
      <c r="N394" s="71"/>
      <c r="Q394" s="71"/>
      <c r="R394" s="71"/>
      <c r="S394" t="s">
        <v>281</v>
      </c>
      <c r="T394" s="71"/>
    </row>
    <row r="395" spans="1:20" x14ac:dyDescent="0.3">
      <c r="A395" s="72">
        <f>IFERROR(VLOOKUP($G395,Conf!$B:$C,2,0),E395)</f>
        <v>5</v>
      </c>
      <c r="B395" s="72" t="str">
        <f ca="1">IF(D395="Inativo","Inativo",IFERROR(VLOOKUP($G395,Conf!$O:$Q,2,0),VLOOKUP($S395,Conf!$K:$M,2,0)))</f>
        <v>FRENTE DE CAIXA</v>
      </c>
      <c r="C395" s="72" t="str">
        <f ca="1">IF(D395="Inativo","Inativo",IFERROR(VLOOKUP($G395,Conf!$O:$Q,3,0),IFERROR(VLOOKUP($G395,Conf!$E:$F,2,0),VLOOKUP($S395,Conf!$K:$M,3,0))))</f>
        <v>OPERADOR CAIXA</v>
      </c>
      <c r="D395" s="72" t="str">
        <f ca="1">IFERROR(IF(TODAY()-K395&gt;365,"Inativo",IF(J395=2,"Férias",IF(J395=7,"Demitido","Afastamento"))),VLOOKUP(J395,Conf!$H:$I,2,0))</f>
        <v>Ativos</v>
      </c>
      <c r="E395" s="187">
        <v>5</v>
      </c>
      <c r="F395" s="187">
        <v>1427</v>
      </c>
      <c r="G395" t="s">
        <v>619</v>
      </c>
      <c r="H395" s="71"/>
      <c r="I395" t="s">
        <v>319</v>
      </c>
      <c r="J395" s="187">
        <v>1</v>
      </c>
      <c r="K395" t="s">
        <v>1385</v>
      </c>
      <c r="L395" s="185"/>
      <c r="M395" s="188">
        <v>45308</v>
      </c>
      <c r="N395" s="71"/>
      <c r="Q395" s="71"/>
      <c r="R395" s="71"/>
      <c r="S395" t="s">
        <v>281</v>
      </c>
      <c r="T395" s="71"/>
    </row>
    <row r="396" spans="1:20" x14ac:dyDescent="0.3">
      <c r="A396" s="72">
        <f>IFERROR(VLOOKUP($G396,Conf!$B:$C,2,0),E396)</f>
        <v>5</v>
      </c>
      <c r="B396" s="72" t="str">
        <f ca="1">IF(D396="Inativo","Inativo",IFERROR(VLOOKUP($G396,Conf!$O:$Q,2,0),VLOOKUP($S396,Conf!$K:$M,2,0)))</f>
        <v>FRENTE DE CAIXA</v>
      </c>
      <c r="C396" s="72" t="str">
        <f ca="1">IF(D396="Inativo","Inativo",IFERROR(VLOOKUP($G396,Conf!$O:$Q,3,0),IFERROR(VLOOKUP($G396,Conf!$E:$F,2,0),VLOOKUP($S396,Conf!$K:$M,3,0))))</f>
        <v>OPERADOR CAIXA</v>
      </c>
      <c r="D396" s="72" t="str">
        <f ca="1">IFERROR(IF(TODAY()-K396&gt;365,"Inativo",IF(J396=2,"Férias",IF(J396=7,"Demitido","Afastamento"))),VLOOKUP(J396,Conf!$H:$I,2,0))</f>
        <v>Ativos</v>
      </c>
      <c r="E396" s="187">
        <v>5</v>
      </c>
      <c r="F396" s="187">
        <v>1746</v>
      </c>
      <c r="G396" t="s">
        <v>620</v>
      </c>
      <c r="H396" s="71"/>
      <c r="I396" t="s">
        <v>220</v>
      </c>
      <c r="J396" s="187">
        <v>1</v>
      </c>
      <c r="K396" t="s">
        <v>1385</v>
      </c>
      <c r="L396" s="185"/>
      <c r="M396" s="188">
        <v>46149</v>
      </c>
      <c r="N396" s="71"/>
      <c r="O396" s="71"/>
      <c r="P396" s="71"/>
      <c r="Q396" s="71"/>
      <c r="R396" s="71"/>
      <c r="S396" t="s">
        <v>281</v>
      </c>
      <c r="T396" s="71"/>
    </row>
    <row r="397" spans="1:20" x14ac:dyDescent="0.3">
      <c r="A397" s="72">
        <f>IFERROR(VLOOKUP($G397,Conf!$B:$C,2,0),E397)</f>
        <v>5</v>
      </c>
      <c r="B397" s="72" t="str">
        <f ca="1">IF(D397="Inativo","Inativo",IFERROR(VLOOKUP($G397,Conf!$O:$Q,2,0),VLOOKUP($S397,Conf!$K:$M,2,0)))</f>
        <v>FRENTE DE CAIXA</v>
      </c>
      <c r="C397" s="72" t="str">
        <f ca="1">IF(D397="Inativo","Inativo",IFERROR(VLOOKUP($G397,Conf!$O:$Q,3,0),IFERROR(VLOOKUP($G397,Conf!$E:$F,2,0),VLOOKUP($S397,Conf!$K:$M,3,0))))</f>
        <v>OPERADOR CAIXA</v>
      </c>
      <c r="D397" s="72" t="str">
        <f ca="1">IFERROR(IF(TODAY()-K397&gt;365,"Inativo",IF(J397=2,"Férias",IF(J397=7,"Demitido","Afastamento"))),VLOOKUP(J397,Conf!$H:$I,2,0))</f>
        <v>Ativos</v>
      </c>
      <c r="E397" s="187">
        <v>5</v>
      </c>
      <c r="F397" s="187">
        <v>1747</v>
      </c>
      <c r="G397" t="s">
        <v>621</v>
      </c>
      <c r="H397" s="71"/>
      <c r="I397" t="s">
        <v>220</v>
      </c>
      <c r="J397" s="187">
        <v>1</v>
      </c>
      <c r="K397" t="s">
        <v>1385</v>
      </c>
      <c r="L397" s="185"/>
      <c r="M397" s="188">
        <v>46164</v>
      </c>
      <c r="N397" s="71"/>
      <c r="O397" s="71"/>
      <c r="P397" s="71"/>
      <c r="Q397" s="71"/>
      <c r="R397" s="71"/>
      <c r="S397" t="s">
        <v>281</v>
      </c>
      <c r="T397" s="71"/>
    </row>
    <row r="398" spans="1:20" x14ac:dyDescent="0.3">
      <c r="A398" s="72">
        <f>IFERROR(VLOOKUP($G398,Conf!$B:$C,2,0),E398)</f>
        <v>5</v>
      </c>
      <c r="B398" s="72" t="str">
        <f ca="1">IF(D398="Inativo","Inativo",IFERROR(VLOOKUP($G398,Conf!$O:$Q,2,0),VLOOKUP($S398,Conf!$K:$M,2,0)))</f>
        <v>FRENTE DE CAIXA</v>
      </c>
      <c r="C398" s="72" t="str">
        <f ca="1">IF(D398="Inativo","Inativo",IFERROR(VLOOKUP($G398,Conf!$O:$Q,3,0),IFERROR(VLOOKUP($G398,Conf!$E:$F,2,0),VLOOKUP($S398,Conf!$K:$M,3,0))))</f>
        <v>OPERADOR CAIXA</v>
      </c>
      <c r="D398" s="72" t="str">
        <f ca="1">IFERROR(IF(TODAY()-K398&gt;365,"Inativo",IF(J398=2,"Férias",IF(J398=7,"Demitido","Afastamento"))),VLOOKUP(J398,Conf!$H:$I,2,0))</f>
        <v>Afastamento</v>
      </c>
      <c r="E398" s="187">
        <v>5</v>
      </c>
      <c r="F398" s="187">
        <v>684</v>
      </c>
      <c r="G398" t="s">
        <v>622</v>
      </c>
      <c r="H398" s="71"/>
      <c r="I398" t="s">
        <v>277</v>
      </c>
      <c r="J398" s="187">
        <v>3</v>
      </c>
      <c r="K398" t="s">
        <v>1496</v>
      </c>
      <c r="L398" s="185"/>
      <c r="M398" s="188">
        <v>42256</v>
      </c>
      <c r="N398" s="71"/>
      <c r="Q398" s="71"/>
      <c r="R398" s="71"/>
      <c r="S398" t="s">
        <v>281</v>
      </c>
      <c r="T398" s="71"/>
    </row>
    <row r="399" spans="1:20" x14ac:dyDescent="0.3">
      <c r="A399" s="72">
        <f>IFERROR(VLOOKUP($G399,Conf!$B:$C,2,0),E399)</f>
        <v>5</v>
      </c>
      <c r="B399" s="72" t="str">
        <f ca="1">IF(D399="Inativo","Inativo",IFERROR(VLOOKUP($G399,Conf!$O:$Q,2,0),VLOOKUP($S399,Conf!$K:$M,2,0)))</f>
        <v>FRENTE DE CAIXA</v>
      </c>
      <c r="C399" s="72" t="str">
        <f ca="1">IF(D399="Inativo","Inativo",IFERROR(VLOOKUP($G399,Conf!$O:$Q,3,0),IFERROR(VLOOKUP($G399,Conf!$E:$F,2,0),VLOOKUP($S399,Conf!$K:$M,3,0))))</f>
        <v>OPERADOR CAIXA</v>
      </c>
      <c r="D399" s="72" t="str">
        <f ca="1">IFERROR(IF(TODAY()-K399&gt;365,"Inativo",IF(J399=2,"Férias",IF(J399=7,"Demitido","Afastamento"))),VLOOKUP(J399,Conf!$H:$I,2,0))</f>
        <v>Ativos</v>
      </c>
      <c r="E399" s="187">
        <v>5</v>
      </c>
      <c r="F399" s="187">
        <v>1393</v>
      </c>
      <c r="G399" t="s">
        <v>624</v>
      </c>
      <c r="H399" s="71"/>
      <c r="I399" t="s">
        <v>220</v>
      </c>
      <c r="J399" s="187">
        <v>1</v>
      </c>
      <c r="K399" t="s">
        <v>1385</v>
      </c>
      <c r="L399" s="185"/>
      <c r="M399" s="188">
        <v>45215</v>
      </c>
      <c r="N399" s="71"/>
      <c r="O399" s="71"/>
      <c r="P399" s="71"/>
      <c r="Q399" s="71"/>
      <c r="R399" s="71"/>
      <c r="S399" t="s">
        <v>281</v>
      </c>
      <c r="T399" s="71"/>
    </row>
    <row r="400" spans="1:20" x14ac:dyDescent="0.3">
      <c r="A400" s="72">
        <f>IFERROR(VLOOKUP($G400,Conf!$B:$C,2,0),E400)</f>
        <v>5</v>
      </c>
      <c r="B400" s="72" t="str">
        <f ca="1">IF(D400="Inativo","Inativo",IFERROR(VLOOKUP($G400,Conf!$O:$Q,2,0),VLOOKUP($S400,Conf!$K:$M,2,0)))</f>
        <v>FRENTE DE CAIXA</v>
      </c>
      <c r="C400" s="72" t="str">
        <f ca="1">IF(D400="Inativo","Inativo",IFERROR(VLOOKUP($G400,Conf!$O:$Q,3,0),IFERROR(VLOOKUP($G400,Conf!$E:$F,2,0),VLOOKUP($S400,Conf!$K:$M,3,0))))</f>
        <v>OPERADOR CAIXA</v>
      </c>
      <c r="D400" s="72" t="str">
        <f ca="1">IFERROR(IF(TODAY()-K400&gt;365,"Inativo",IF(J400=2,"Férias",IF(J400=7,"Demitido","Afastamento"))),VLOOKUP(J400,Conf!$H:$I,2,0))</f>
        <v>Ativos</v>
      </c>
      <c r="E400" s="187">
        <v>5</v>
      </c>
      <c r="F400" s="187">
        <v>1776</v>
      </c>
      <c r="G400" t="s">
        <v>1554</v>
      </c>
      <c r="H400" s="71"/>
      <c r="I400" t="s">
        <v>303</v>
      </c>
      <c r="J400" s="187">
        <v>1</v>
      </c>
      <c r="K400" t="s">
        <v>1385</v>
      </c>
      <c r="L400" s="185"/>
      <c r="M400" s="188">
        <v>46279</v>
      </c>
      <c r="N400" s="71"/>
      <c r="O400" s="71"/>
      <c r="P400" s="71"/>
      <c r="Q400" s="71"/>
      <c r="R400" s="71"/>
      <c r="S400" t="s">
        <v>281</v>
      </c>
      <c r="T400" s="71"/>
    </row>
    <row r="401" spans="1:20" x14ac:dyDescent="0.3">
      <c r="A401" s="72">
        <f>IFERROR(VLOOKUP($G401,Conf!$B:$C,2,0),E401)</f>
        <v>5</v>
      </c>
      <c r="B401" s="72" t="str">
        <f ca="1">IF(D401="Inativo","Inativo",IFERROR(VLOOKUP($G401,Conf!$O:$Q,2,0),VLOOKUP($S401,Conf!$K:$M,2,0)))</f>
        <v>FRENTE DE CAIXA</v>
      </c>
      <c r="C401" s="72" t="str">
        <f ca="1">IF(D401="Inativo","Inativo",IFERROR(VLOOKUP($G401,Conf!$O:$Q,3,0),IFERROR(VLOOKUP($G401,Conf!$E:$F,2,0),VLOOKUP($S401,Conf!$K:$M,3,0))))</f>
        <v>OPERADOR CAIXA</v>
      </c>
      <c r="D401" s="72" t="str">
        <f ca="1">IFERROR(IF(TODAY()-K401&gt;365,"Inativo",IF(J401=2,"Férias",IF(J401=7,"Demitido","Afastamento"))),VLOOKUP(J401,Conf!$H:$I,2,0))</f>
        <v>Ativos</v>
      </c>
      <c r="E401" s="187">
        <v>5</v>
      </c>
      <c r="F401" s="187">
        <v>1752</v>
      </c>
      <c r="G401" t="s">
        <v>1294</v>
      </c>
      <c r="H401" s="71"/>
      <c r="I401" t="s">
        <v>220</v>
      </c>
      <c r="J401" s="187">
        <v>1</v>
      </c>
      <c r="K401" t="s">
        <v>1385</v>
      </c>
      <c r="L401" s="185"/>
      <c r="M401" s="188">
        <v>46184</v>
      </c>
      <c r="N401" s="71"/>
      <c r="O401" s="71"/>
      <c r="P401" s="71"/>
      <c r="Q401" s="71"/>
      <c r="R401" s="71"/>
      <c r="S401" t="s">
        <v>281</v>
      </c>
      <c r="T401" s="71"/>
    </row>
    <row r="402" spans="1:20" x14ac:dyDescent="0.3">
      <c r="A402" s="72">
        <f>IFERROR(VLOOKUP($G402,Conf!$B:$C,2,0),E402)</f>
        <v>5</v>
      </c>
      <c r="B402" s="72" t="str">
        <f ca="1">IF(D402="Inativo","Inativo",IFERROR(VLOOKUP($G402,Conf!$O:$Q,2,0),VLOOKUP($S402,Conf!$K:$M,2,0)))</f>
        <v>FRENTE DE CAIXA</v>
      </c>
      <c r="C402" s="72" t="str">
        <f ca="1">IF(D402="Inativo","Inativo",IFERROR(VLOOKUP($G402,Conf!$O:$Q,3,0),IFERROR(VLOOKUP($G402,Conf!$E:$F,2,0),VLOOKUP($S402,Conf!$K:$M,3,0))))</f>
        <v>OPERADOR CAIXA</v>
      </c>
      <c r="D402" s="72" t="str">
        <f ca="1">IFERROR(IF(TODAY()-K402&gt;365,"Inativo",IF(J402=2,"Férias",IF(J402=7,"Demitido","Afastamento"))),VLOOKUP(J402,Conf!$H:$I,2,0))</f>
        <v>Ativos</v>
      </c>
      <c r="E402" s="187">
        <v>5</v>
      </c>
      <c r="F402" s="187">
        <v>1690</v>
      </c>
      <c r="G402" t="s">
        <v>625</v>
      </c>
      <c r="H402" s="71"/>
      <c r="I402" t="s">
        <v>296</v>
      </c>
      <c r="J402" s="187">
        <v>1</v>
      </c>
      <c r="K402" t="s">
        <v>1385</v>
      </c>
      <c r="L402" s="185"/>
      <c r="M402" s="188">
        <v>45992</v>
      </c>
      <c r="N402" s="71"/>
      <c r="Q402" s="71"/>
      <c r="R402" s="71"/>
      <c r="S402" t="s">
        <v>281</v>
      </c>
      <c r="T402" s="71"/>
    </row>
    <row r="403" spans="1:20" x14ac:dyDescent="0.3">
      <c r="A403" s="72">
        <f>IFERROR(VLOOKUP($G403,Conf!$B:$C,2,0),E403)</f>
        <v>5</v>
      </c>
      <c r="B403" s="72" t="str">
        <f ca="1">IF(D403="Inativo","Inativo",IFERROR(VLOOKUP($G403,Conf!$O:$Q,2,0),VLOOKUP($S403,Conf!$K:$M,2,0)))</f>
        <v>FRENTE DE CAIXA</v>
      </c>
      <c r="C403" s="72" t="str">
        <f ca="1">IF(D403="Inativo","Inativo",IFERROR(VLOOKUP($G403,Conf!$O:$Q,3,0),IFERROR(VLOOKUP($G403,Conf!$E:$F,2,0),VLOOKUP($S403,Conf!$K:$M,3,0))))</f>
        <v>OPERADOR CAIXA</v>
      </c>
      <c r="D403" s="72" t="str">
        <f ca="1">IFERROR(IF(TODAY()-K403&gt;365,"Inativo",IF(J403=2,"Férias",IF(J403=7,"Demitido","Afastamento"))),VLOOKUP(J403,Conf!$H:$I,2,0))</f>
        <v>Ativos</v>
      </c>
      <c r="E403" s="187">
        <v>5</v>
      </c>
      <c r="F403" s="187">
        <v>1751</v>
      </c>
      <c r="G403" t="s">
        <v>1295</v>
      </c>
      <c r="H403" s="71"/>
      <c r="I403" t="s">
        <v>296</v>
      </c>
      <c r="J403" s="187">
        <v>1</v>
      </c>
      <c r="K403" t="s">
        <v>1385</v>
      </c>
      <c r="L403" s="185"/>
      <c r="M403" s="188">
        <v>46183</v>
      </c>
      <c r="N403" s="71"/>
      <c r="Q403" s="71"/>
      <c r="R403" s="71"/>
      <c r="S403" t="s">
        <v>281</v>
      </c>
      <c r="T403" s="71"/>
    </row>
    <row r="404" spans="1:20" x14ac:dyDescent="0.3">
      <c r="A404" s="72">
        <f>IFERROR(VLOOKUP($G404,Conf!$B:$C,2,0),E404)</f>
        <v>5</v>
      </c>
      <c r="B404" s="72" t="str">
        <f ca="1">IF(D404="Inativo","Inativo",IFERROR(VLOOKUP($G404,Conf!$O:$Q,2,0),VLOOKUP($S404,Conf!$K:$M,2,0)))</f>
        <v>FRENTE DE CAIXA</v>
      </c>
      <c r="C404" s="72" t="str">
        <f ca="1">IF(D404="Inativo","Inativo",IFERROR(VLOOKUP($G404,Conf!$O:$Q,3,0),IFERROR(VLOOKUP($G404,Conf!$E:$F,2,0),VLOOKUP($S404,Conf!$K:$M,3,0))))</f>
        <v>OPERADOR CAIXA</v>
      </c>
      <c r="D404" s="72" t="str">
        <f ca="1">IFERROR(IF(TODAY()-K404&gt;365,"Inativo",IF(J404=2,"Férias",IF(J404=7,"Demitido","Afastamento"))),VLOOKUP(J404,Conf!$H:$I,2,0))</f>
        <v>Demitido</v>
      </c>
      <c r="E404" s="187">
        <v>5</v>
      </c>
      <c r="F404" s="187">
        <v>1778</v>
      </c>
      <c r="G404" t="s">
        <v>1584</v>
      </c>
      <c r="H404" s="71"/>
      <c r="I404" t="s">
        <v>220</v>
      </c>
      <c r="J404" s="187">
        <v>7</v>
      </c>
      <c r="K404" t="s">
        <v>1603</v>
      </c>
      <c r="L404" s="185"/>
      <c r="M404" s="188">
        <v>46283</v>
      </c>
      <c r="N404" s="71"/>
      <c r="Q404" s="71"/>
      <c r="R404" s="71"/>
      <c r="S404" t="s">
        <v>281</v>
      </c>
      <c r="T404" s="71"/>
    </row>
    <row r="405" spans="1:20" x14ac:dyDescent="0.3">
      <c r="A405" s="72">
        <f>IFERROR(VLOOKUP($G405,Conf!$B:$C,2,0),E405)</f>
        <v>5</v>
      </c>
      <c r="B405" s="72" t="str">
        <f ca="1">IF(D405="Inativo","Inativo",IFERROR(VLOOKUP($G405,Conf!$O:$Q,2,0),VLOOKUP($S405,Conf!$K:$M,2,0)))</f>
        <v>FRENTE DE CAIXA</v>
      </c>
      <c r="C405" s="72" t="str">
        <f ca="1">IF(D405="Inativo","Inativo",IFERROR(VLOOKUP($G405,Conf!$O:$Q,3,0),IFERROR(VLOOKUP($G405,Conf!$E:$F,2,0),VLOOKUP($S405,Conf!$K:$M,3,0))))</f>
        <v>OPERADOR CAIXA</v>
      </c>
      <c r="D405" s="72" t="str">
        <f ca="1">IFERROR(IF(TODAY()-K405&gt;365,"Inativo",IF(J405=2,"Férias",IF(J405=7,"Demitido","Afastamento"))),VLOOKUP(J405,Conf!$H:$I,2,0))</f>
        <v>Ativos</v>
      </c>
      <c r="E405" s="187">
        <v>5</v>
      </c>
      <c r="F405" s="187">
        <v>1283</v>
      </c>
      <c r="G405" t="s">
        <v>627</v>
      </c>
      <c r="H405" s="71"/>
      <c r="I405" t="s">
        <v>296</v>
      </c>
      <c r="J405" s="187">
        <v>1</v>
      </c>
      <c r="K405" t="s">
        <v>1385</v>
      </c>
      <c r="L405" s="185"/>
      <c r="M405" s="188">
        <v>44888</v>
      </c>
      <c r="N405" s="71"/>
      <c r="Q405" s="71"/>
      <c r="R405" s="71"/>
      <c r="S405" t="s">
        <v>281</v>
      </c>
      <c r="T405" s="71"/>
    </row>
    <row r="406" spans="1:20" x14ac:dyDescent="0.3">
      <c r="A406" s="72">
        <f>IFERROR(VLOOKUP($G406,Conf!$B:$C,2,0),E406)</f>
        <v>5</v>
      </c>
      <c r="B406" s="72" t="str">
        <f ca="1">IF(D406="Inativo","Inativo",IFERROR(VLOOKUP($G406,Conf!$O:$Q,2,0),VLOOKUP($S406,Conf!$K:$M,2,0)))</f>
        <v>FRENTE DE CAIXA</v>
      </c>
      <c r="C406" s="72" t="str">
        <f ca="1">IF(D406="Inativo","Inativo",IFERROR(VLOOKUP($G406,Conf!$O:$Q,3,0),IFERROR(VLOOKUP($G406,Conf!$E:$F,2,0),VLOOKUP($S406,Conf!$K:$M,3,0))))</f>
        <v>OPERADOR CAIXA</v>
      </c>
      <c r="D406" s="72" t="str">
        <f ca="1">IFERROR(IF(TODAY()-K406&gt;365,"Inativo",IF(J406=2,"Férias",IF(J406=7,"Demitido","Afastamento"))),VLOOKUP(J406,Conf!$H:$I,2,0))</f>
        <v>Ativos</v>
      </c>
      <c r="E406" s="187">
        <v>5</v>
      </c>
      <c r="F406" s="187">
        <v>1372</v>
      </c>
      <c r="G406" t="s">
        <v>628</v>
      </c>
      <c r="H406" s="71"/>
      <c r="I406" t="s">
        <v>296</v>
      </c>
      <c r="J406" s="187">
        <v>1</v>
      </c>
      <c r="K406" t="s">
        <v>1385</v>
      </c>
      <c r="L406" s="185"/>
      <c r="M406" s="188">
        <v>45170</v>
      </c>
      <c r="N406" s="71"/>
      <c r="Q406" s="71"/>
      <c r="R406" s="71"/>
      <c r="S406" t="s">
        <v>281</v>
      </c>
      <c r="T406" s="71"/>
    </row>
    <row r="407" spans="1:20" x14ac:dyDescent="0.3">
      <c r="A407" s="72">
        <f>IFERROR(VLOOKUP($G407,Conf!$B:$C,2,0),E407)</f>
        <v>5</v>
      </c>
      <c r="B407" s="72" t="str">
        <f ca="1">IF(D407="Inativo","Inativo",IFERROR(VLOOKUP($G407,Conf!$O:$Q,2,0),VLOOKUP($S407,Conf!$K:$M,2,0)))</f>
        <v>FRIOS</v>
      </c>
      <c r="C407" s="72" t="str">
        <f ca="1">IF(D407="Inativo","Inativo",IFERROR(VLOOKUP($G407,Conf!$O:$Q,3,0),IFERROR(VLOOKUP($G407,Conf!$E:$F,2,0),VLOOKUP($S407,Conf!$K:$M,3,0))))</f>
        <v>ATENDENTE</v>
      </c>
      <c r="D407" s="72" t="str">
        <f ca="1">IFERROR(IF(TODAY()-K407&gt;365,"Inativo",IF(J407=2,"Férias",IF(J407=7,"Demitido","Afastamento"))),VLOOKUP(J407,Conf!$H:$I,2,0))</f>
        <v>Ativos</v>
      </c>
      <c r="E407" s="187">
        <v>5</v>
      </c>
      <c r="F407" s="187">
        <v>1092</v>
      </c>
      <c r="G407" t="s">
        <v>629</v>
      </c>
      <c r="H407" s="71"/>
      <c r="I407" t="s">
        <v>319</v>
      </c>
      <c r="J407" s="187">
        <v>1</v>
      </c>
      <c r="K407" t="s">
        <v>1385</v>
      </c>
      <c r="L407" s="185"/>
      <c r="M407" s="188">
        <v>44210</v>
      </c>
      <c r="N407" s="71"/>
      <c r="O407" s="71"/>
      <c r="P407" s="71"/>
      <c r="Q407" s="71"/>
      <c r="R407" s="71"/>
      <c r="S407" t="s">
        <v>306</v>
      </c>
      <c r="T407" s="71"/>
    </row>
    <row r="408" spans="1:20" x14ac:dyDescent="0.3">
      <c r="A408" s="72">
        <f>IFERROR(VLOOKUP($G408,Conf!$B:$C,2,0),E408)</f>
        <v>5</v>
      </c>
      <c r="B408" s="72" t="str">
        <f ca="1">IF(D408="Inativo","Inativo",IFERROR(VLOOKUP($G408,Conf!$O:$Q,2,0),VLOOKUP($S408,Conf!$K:$M,2,0)))</f>
        <v>FRIOS</v>
      </c>
      <c r="C408" s="72" t="str">
        <f ca="1">IF(D408="Inativo","Inativo",IFERROR(VLOOKUP($G408,Conf!$O:$Q,3,0),IFERROR(VLOOKUP($G408,Conf!$E:$F,2,0),VLOOKUP($S408,Conf!$K:$M,3,0))))</f>
        <v>ATENDENTE</v>
      </c>
      <c r="D408" s="72" t="str">
        <f ca="1">IFERROR(IF(TODAY()-K408&gt;365,"Inativo",IF(J408=2,"Férias",IF(J408=7,"Demitido","Afastamento"))),VLOOKUP(J408,Conf!$H:$I,2,0))</f>
        <v>Férias</v>
      </c>
      <c r="E408" s="187">
        <v>5</v>
      </c>
      <c r="F408" s="187">
        <v>1325</v>
      </c>
      <c r="G408" t="s">
        <v>630</v>
      </c>
      <c r="H408" s="71"/>
      <c r="I408" t="s">
        <v>319</v>
      </c>
      <c r="J408" s="187">
        <v>2</v>
      </c>
      <c r="K408" t="s">
        <v>1629</v>
      </c>
      <c r="L408" s="185"/>
      <c r="M408" s="188">
        <v>45028</v>
      </c>
      <c r="N408" s="71"/>
      <c r="O408" s="71"/>
      <c r="P408" s="71"/>
      <c r="Q408" s="71"/>
      <c r="R408" s="71"/>
      <c r="S408" t="s">
        <v>306</v>
      </c>
      <c r="T408" s="71"/>
    </row>
    <row r="409" spans="1:20" x14ac:dyDescent="0.3">
      <c r="A409" s="72">
        <f>IFERROR(VLOOKUP($G409,Conf!$B:$C,2,0),E409)</f>
        <v>5</v>
      </c>
      <c r="B409" s="72" t="str">
        <f ca="1">IF(D409="Inativo","Inativo",IFERROR(VLOOKUP($G409,Conf!$O:$Q,2,0),VLOOKUP($S409,Conf!$K:$M,2,0)))</f>
        <v>FRIOS</v>
      </c>
      <c r="C409" s="72" t="str">
        <f ca="1">IF(D409="Inativo","Inativo",IFERROR(VLOOKUP($G409,Conf!$O:$Q,3,0),IFERROR(VLOOKUP($G409,Conf!$E:$F,2,0),VLOOKUP($S409,Conf!$K:$M,3,0))))</f>
        <v>ATENDENTE</v>
      </c>
      <c r="D409" s="72" t="str">
        <f ca="1">IFERROR(IF(TODAY()-K409&gt;365,"Inativo",IF(J409=2,"Férias",IF(J409=7,"Demitido","Afastamento"))),VLOOKUP(J409,Conf!$H:$I,2,0))</f>
        <v>Ativos</v>
      </c>
      <c r="E409" s="187">
        <v>5</v>
      </c>
      <c r="F409" s="187">
        <v>1757</v>
      </c>
      <c r="G409" t="s">
        <v>1388</v>
      </c>
      <c r="H409" s="71"/>
      <c r="I409" t="s">
        <v>220</v>
      </c>
      <c r="J409" s="187">
        <v>1</v>
      </c>
      <c r="K409" t="s">
        <v>1385</v>
      </c>
      <c r="L409" s="185"/>
      <c r="M409" s="188">
        <v>46206</v>
      </c>
      <c r="N409" s="71"/>
      <c r="O409" s="71"/>
      <c r="P409" s="71"/>
      <c r="Q409" s="71"/>
      <c r="R409" s="71"/>
      <c r="S409" t="s">
        <v>306</v>
      </c>
      <c r="T409" s="71"/>
    </row>
    <row r="410" spans="1:20" x14ac:dyDescent="0.3">
      <c r="A410" s="72">
        <f>IFERROR(VLOOKUP($G410,Conf!$B:$C,2,0),E410)</f>
        <v>5</v>
      </c>
      <c r="B410" s="72" t="str">
        <f ca="1">IF(D410="Inativo","Inativo",IFERROR(VLOOKUP($G410,Conf!$O:$Q,2,0),VLOOKUP($S410,Conf!$K:$M,2,0)))</f>
        <v>FRIOS</v>
      </c>
      <c r="C410" s="72" t="str">
        <f ca="1">IF(D410="Inativo","Inativo",IFERROR(VLOOKUP($G410,Conf!$O:$Q,3,0),IFERROR(VLOOKUP($G410,Conf!$E:$F,2,0),VLOOKUP($S410,Conf!$K:$M,3,0))))</f>
        <v>ENCARREGADO</v>
      </c>
      <c r="D410" s="72" t="str">
        <f ca="1">IFERROR(IF(TODAY()-K410&gt;365,"Inativo",IF(J410=2,"Férias",IF(J410=7,"Demitido","Afastamento"))),VLOOKUP(J410,Conf!$H:$I,2,0))</f>
        <v>Demitido</v>
      </c>
      <c r="E410" s="187">
        <v>5</v>
      </c>
      <c r="F410" s="187">
        <v>496</v>
      </c>
      <c r="G410" t="s">
        <v>631</v>
      </c>
      <c r="H410" s="71"/>
      <c r="I410" t="s">
        <v>277</v>
      </c>
      <c r="J410" s="187">
        <v>7</v>
      </c>
      <c r="K410" t="s">
        <v>1630</v>
      </c>
      <c r="L410" s="185"/>
      <c r="M410" s="188">
        <v>41540</v>
      </c>
      <c r="N410" s="71"/>
      <c r="Q410" s="71"/>
      <c r="R410" s="71"/>
      <c r="S410" t="s">
        <v>632</v>
      </c>
      <c r="T410" s="71"/>
    </row>
    <row r="411" spans="1:20" x14ac:dyDescent="0.3">
      <c r="A411" s="72">
        <f>IFERROR(VLOOKUP($G411,Conf!$B:$C,2,0),E411)</f>
        <v>5</v>
      </c>
      <c r="B411" s="72" t="str">
        <f ca="1">IF(D411="Inativo","Inativo",IFERROR(VLOOKUP($G411,Conf!$O:$Q,2,0),VLOOKUP($S411,Conf!$K:$M,2,0)))</f>
        <v>FRIOS</v>
      </c>
      <c r="C411" s="72" t="str">
        <f ca="1">IF(D411="Inativo","Inativo",IFERROR(VLOOKUP($G411,Conf!$O:$Q,3,0),IFERROR(VLOOKUP($G411,Conf!$E:$F,2,0),VLOOKUP($S411,Conf!$K:$M,3,0))))</f>
        <v>REPOSITOR</v>
      </c>
      <c r="D411" s="72" t="str">
        <f ca="1">IFERROR(IF(TODAY()-K411&gt;365,"Inativo",IF(J411=2,"Férias",IF(J411=7,"Demitido","Afastamento"))),VLOOKUP(J411,Conf!$H:$I,2,0))</f>
        <v>Ativos</v>
      </c>
      <c r="E411" s="187">
        <v>5</v>
      </c>
      <c r="F411" s="187">
        <v>1791</v>
      </c>
      <c r="G411" t="s">
        <v>1649</v>
      </c>
      <c r="H411" s="71"/>
      <c r="I411" t="s">
        <v>220</v>
      </c>
      <c r="J411" s="187">
        <v>1</v>
      </c>
      <c r="K411" t="s">
        <v>1385</v>
      </c>
      <c r="L411" s="185"/>
      <c r="M411" s="188">
        <v>46304</v>
      </c>
      <c r="N411" s="71"/>
      <c r="Q411" s="71"/>
      <c r="R411" s="71"/>
      <c r="S411" t="s">
        <v>634</v>
      </c>
      <c r="T411" s="71"/>
    </row>
    <row r="412" spans="1:20" x14ac:dyDescent="0.3">
      <c r="A412" s="72">
        <f>IFERROR(VLOOKUP($G412,Conf!$B:$C,2,0),E412)</f>
        <v>5</v>
      </c>
      <c r="B412" s="72" t="str">
        <f ca="1">IF(D412="Inativo","Inativo",IFERROR(VLOOKUP($G412,Conf!$O:$Q,2,0),VLOOKUP($S412,Conf!$K:$M,2,0)))</f>
        <v>FRIOS</v>
      </c>
      <c r="C412" s="72" t="str">
        <f ca="1">IF(D412="Inativo","Inativo",IFERROR(VLOOKUP($G412,Conf!$O:$Q,3,0),IFERROR(VLOOKUP($G412,Conf!$E:$F,2,0),VLOOKUP($S412,Conf!$K:$M,3,0))))</f>
        <v>REPOSITOR</v>
      </c>
      <c r="D412" s="72" t="str">
        <f ca="1">IFERROR(IF(TODAY()-K412&gt;365,"Inativo",IF(J412=2,"Férias",IF(J412=7,"Demitido","Afastamento"))),VLOOKUP(J412,Conf!$H:$I,2,0))</f>
        <v>Demitido</v>
      </c>
      <c r="E412" s="187">
        <v>5</v>
      </c>
      <c r="F412" s="187">
        <v>1730</v>
      </c>
      <c r="G412" t="s">
        <v>658</v>
      </c>
      <c r="H412" s="71"/>
      <c r="I412" t="s">
        <v>220</v>
      </c>
      <c r="J412" s="187">
        <v>7</v>
      </c>
      <c r="K412" t="s">
        <v>1599</v>
      </c>
      <c r="L412" s="185"/>
      <c r="M412" s="188">
        <v>46100</v>
      </c>
      <c r="N412" s="71"/>
      <c r="O412" s="71"/>
      <c r="P412" s="71"/>
      <c r="Q412" s="71"/>
      <c r="R412" s="71"/>
      <c r="S412" t="s">
        <v>634</v>
      </c>
      <c r="T412" s="71"/>
    </row>
    <row r="413" spans="1:20" x14ac:dyDescent="0.3">
      <c r="A413" s="72">
        <f>IFERROR(VLOOKUP($G413,Conf!$B:$C,2,0),E413)</f>
        <v>5</v>
      </c>
      <c r="B413" s="72" t="str">
        <f ca="1">IF(D413="Inativo","Inativo",IFERROR(VLOOKUP($G413,Conf!$O:$Q,2,0),VLOOKUP($S413,Conf!$K:$M,2,0)))</f>
        <v>GERÊNCIA</v>
      </c>
      <c r="C413" s="72" t="str">
        <f ca="1">IF(D413="Inativo","Inativo",IFERROR(VLOOKUP($G413,Conf!$O:$Q,3,0),IFERROR(VLOOKUP($G413,Conf!$E:$F,2,0),VLOOKUP($S413,Conf!$K:$M,3,0))))</f>
        <v>GERENTE</v>
      </c>
      <c r="D413" s="72" t="str">
        <f ca="1">IFERROR(IF(TODAY()-K413&gt;365,"Inativo",IF(J413=2,"Férias",IF(J413=7,"Demitido","Afastamento"))),VLOOKUP(J413,Conf!$H:$I,2,0))</f>
        <v>Ativos</v>
      </c>
      <c r="E413" s="187">
        <v>5</v>
      </c>
      <c r="F413" s="187">
        <v>1551</v>
      </c>
      <c r="G413" t="s">
        <v>645</v>
      </c>
      <c r="H413" s="71"/>
      <c r="I413" t="s">
        <v>350</v>
      </c>
      <c r="J413" s="187">
        <v>1</v>
      </c>
      <c r="K413" t="s">
        <v>1385</v>
      </c>
      <c r="L413" s="185"/>
      <c r="M413" s="188">
        <v>45597</v>
      </c>
      <c r="N413" s="71"/>
      <c r="O413" s="71"/>
      <c r="P413" s="71"/>
      <c r="Q413" s="71"/>
      <c r="R413" s="71"/>
      <c r="S413" t="s">
        <v>351</v>
      </c>
      <c r="T413" s="71"/>
    </row>
    <row r="414" spans="1:20" x14ac:dyDescent="0.3">
      <c r="A414" s="72">
        <f>IFERROR(VLOOKUP($G414,Conf!$B:$C,2,0),E414)</f>
        <v>5</v>
      </c>
      <c r="B414" s="72" t="str">
        <f ca="1">IF(D414="Inativo","Inativo",IFERROR(VLOOKUP($G414,Conf!$O:$Q,2,0),VLOOKUP($S414,Conf!$K:$M,2,0)))</f>
        <v>GERÊNCIA</v>
      </c>
      <c r="C414" s="72" t="str">
        <f ca="1">IF(D414="Inativo","Inativo",IFERROR(VLOOKUP($G414,Conf!$O:$Q,3,0),IFERROR(VLOOKUP($G414,Conf!$E:$F,2,0),VLOOKUP($S414,Conf!$K:$M,3,0))))</f>
        <v>SUBGERENTE</v>
      </c>
      <c r="D414" s="72" t="str">
        <f ca="1">IFERROR(IF(TODAY()-K414&gt;365,"Inativo",IF(J414=2,"Férias",IF(J414=7,"Demitido","Afastamento"))),VLOOKUP(J414,Conf!$H:$I,2,0))</f>
        <v>Ativos</v>
      </c>
      <c r="E414" s="187">
        <v>5</v>
      </c>
      <c r="F414" s="187">
        <v>1705</v>
      </c>
      <c r="G414" t="s">
        <v>659</v>
      </c>
      <c r="H414" s="71"/>
      <c r="I414" t="s">
        <v>350</v>
      </c>
      <c r="J414" s="187">
        <v>1</v>
      </c>
      <c r="K414" t="s">
        <v>1385</v>
      </c>
      <c r="L414" s="185"/>
      <c r="M414" s="188">
        <v>46062</v>
      </c>
      <c r="N414" s="71"/>
      <c r="Q414" s="71"/>
      <c r="R414" s="71"/>
      <c r="S414" t="s">
        <v>660</v>
      </c>
      <c r="T414" s="71"/>
    </row>
    <row r="415" spans="1:20" x14ac:dyDescent="0.3">
      <c r="A415" s="72">
        <f>IFERROR(VLOOKUP($G415,Conf!$B:$C,2,0),E415)</f>
        <v>5</v>
      </c>
      <c r="B415" s="72" t="str">
        <f ca="1">IF(D415="Inativo","Inativo",IFERROR(VLOOKUP($G415,Conf!$O:$Q,2,0),VLOOKUP($S415,Conf!$K:$M,2,0)))</f>
        <v>HORTIFRUTI</v>
      </c>
      <c r="C415" s="72" t="str">
        <f ca="1">IF(D415="Inativo","Inativo",IFERROR(VLOOKUP($G415,Conf!$O:$Q,3,0),IFERROR(VLOOKUP($G415,Conf!$E:$F,2,0),VLOOKUP($S415,Conf!$K:$M,3,0))))</f>
        <v>ENCARREGADO</v>
      </c>
      <c r="D415" s="72" t="str">
        <f ca="1">IFERROR(IF(TODAY()-K415&gt;365,"Inativo",IF(J415=2,"Férias",IF(J415=7,"Demitido","Afastamento"))),VLOOKUP(J415,Conf!$H:$I,2,0))</f>
        <v>Ativos</v>
      </c>
      <c r="E415" s="187">
        <v>5</v>
      </c>
      <c r="F415" s="187">
        <v>1078</v>
      </c>
      <c r="G415" t="s">
        <v>635</v>
      </c>
      <c r="H415" s="71"/>
      <c r="I415" t="s">
        <v>319</v>
      </c>
      <c r="J415" s="187">
        <v>1</v>
      </c>
      <c r="K415" t="s">
        <v>1385</v>
      </c>
      <c r="L415" s="185"/>
      <c r="M415" s="188">
        <v>44151</v>
      </c>
      <c r="N415" s="71"/>
      <c r="Q415" s="71"/>
      <c r="R415" s="71"/>
      <c r="S415" t="s">
        <v>429</v>
      </c>
      <c r="T415" s="71"/>
    </row>
    <row r="416" spans="1:20" x14ac:dyDescent="0.3">
      <c r="A416" s="72">
        <f>IFERROR(VLOOKUP($G416,Conf!$B:$C,2,0),E416)</f>
        <v>5</v>
      </c>
      <c r="B416" s="72" t="str">
        <f ca="1">IF(D416="Inativo","Inativo",IFERROR(VLOOKUP($G416,Conf!$O:$Q,2,0),VLOOKUP($S416,Conf!$K:$M,2,0)))</f>
        <v>HORTIFRUTI</v>
      </c>
      <c r="C416" s="72" t="str">
        <f ca="1">IF(D416="Inativo","Inativo",IFERROR(VLOOKUP($G416,Conf!$O:$Q,3,0),IFERROR(VLOOKUP($G416,Conf!$E:$F,2,0),VLOOKUP($S416,Conf!$K:$M,3,0))))</f>
        <v>REPOSITOR</v>
      </c>
      <c r="D416" s="72" t="str">
        <f ca="1">IFERROR(IF(TODAY()-K416&gt;365,"Inativo",IF(J416=2,"Férias",IF(J416=7,"Demitido","Afastamento"))),VLOOKUP(J416,Conf!$H:$I,2,0))</f>
        <v>Demitido</v>
      </c>
      <c r="E416" s="187">
        <v>5</v>
      </c>
      <c r="F416" s="187">
        <v>1574</v>
      </c>
      <c r="G416" t="s">
        <v>654</v>
      </c>
      <c r="H416" s="71"/>
      <c r="I416" t="s">
        <v>222</v>
      </c>
      <c r="J416" s="187">
        <v>7</v>
      </c>
      <c r="K416" t="s">
        <v>1549</v>
      </c>
      <c r="L416" s="185"/>
      <c r="M416" s="188">
        <v>45638</v>
      </c>
      <c r="N416" s="71"/>
      <c r="Q416" s="71"/>
      <c r="R416" s="71"/>
      <c r="S416" t="s">
        <v>524</v>
      </c>
      <c r="T416" s="71"/>
    </row>
    <row r="417" spans="1:20" x14ac:dyDescent="0.3">
      <c r="A417" s="72">
        <f>IFERROR(VLOOKUP($G417,Conf!$B:$C,2,0),E417)</f>
        <v>5</v>
      </c>
      <c r="B417" s="72" t="str">
        <f ca="1">IF(D417="Inativo","Inativo",IFERROR(VLOOKUP($G417,Conf!$O:$Q,2,0),VLOOKUP($S417,Conf!$K:$M,2,0)))</f>
        <v>HORTIFRUTI</v>
      </c>
      <c r="C417" s="72" t="str">
        <f ca="1">IF(D417="Inativo","Inativo",IFERROR(VLOOKUP($G417,Conf!$O:$Q,3,0),IFERROR(VLOOKUP($G417,Conf!$E:$F,2,0),VLOOKUP($S417,Conf!$K:$M,3,0))))</f>
        <v>REPOSITOR</v>
      </c>
      <c r="D417" s="72" t="str">
        <f ca="1">IFERROR(IF(TODAY()-K417&gt;365,"Inativo",IF(J417=2,"Férias",IF(J417=7,"Demitido","Afastamento"))),VLOOKUP(J417,Conf!$H:$I,2,0))</f>
        <v>Ativos</v>
      </c>
      <c r="E417" s="187">
        <v>5</v>
      </c>
      <c r="F417" s="187">
        <v>1516</v>
      </c>
      <c r="G417" t="s">
        <v>655</v>
      </c>
      <c r="H417" s="71"/>
      <c r="I417" t="s">
        <v>656</v>
      </c>
      <c r="J417" s="187">
        <v>1</v>
      </c>
      <c r="K417" t="s">
        <v>1385</v>
      </c>
      <c r="L417" s="185"/>
      <c r="M417" s="188">
        <v>45475</v>
      </c>
      <c r="N417" s="71"/>
      <c r="O417" s="71"/>
      <c r="P417" s="71"/>
      <c r="Q417" s="71"/>
      <c r="R417" s="71"/>
      <c r="S417" t="s">
        <v>524</v>
      </c>
      <c r="T417" s="71"/>
    </row>
    <row r="418" spans="1:20" x14ac:dyDescent="0.3">
      <c r="A418" s="72">
        <f>IFERROR(VLOOKUP($G418,Conf!$B:$C,2,0),E418)</f>
        <v>5</v>
      </c>
      <c r="B418" s="72" t="str">
        <f ca="1">IF(D418="Inativo","Inativo",IFERROR(VLOOKUP($G418,Conf!$O:$Q,2,0),VLOOKUP($S418,Conf!$K:$M,2,0)))</f>
        <v>HORTIFRUTI</v>
      </c>
      <c r="C418" s="72" t="str">
        <f ca="1">IF(D418="Inativo","Inativo",IFERROR(VLOOKUP($G418,Conf!$O:$Q,3,0),IFERROR(VLOOKUP($G418,Conf!$E:$F,2,0),VLOOKUP($S418,Conf!$K:$M,3,0))))</f>
        <v>REPOSITOR</v>
      </c>
      <c r="D418" s="72" t="str">
        <f ca="1">IFERROR(IF(TODAY()-K418&gt;365,"Inativo",IF(J418=2,"Férias",IF(J418=7,"Demitido","Afastamento"))),VLOOKUP(J418,Conf!$H:$I,2,0))</f>
        <v>Ativos</v>
      </c>
      <c r="E418" s="187">
        <v>5</v>
      </c>
      <c r="F418" s="187">
        <v>1785</v>
      </c>
      <c r="G418" t="s">
        <v>1606</v>
      </c>
      <c r="H418" s="71"/>
      <c r="I418" t="s">
        <v>220</v>
      </c>
      <c r="J418" s="187">
        <v>1</v>
      </c>
      <c r="K418" t="s">
        <v>1385</v>
      </c>
      <c r="L418" s="185"/>
      <c r="M418" s="188">
        <v>46290</v>
      </c>
      <c r="N418" s="71"/>
      <c r="Q418" s="71"/>
      <c r="R418" s="71"/>
      <c r="S418" t="s">
        <v>320</v>
      </c>
      <c r="T418" s="71"/>
    </row>
    <row r="419" spans="1:20" x14ac:dyDescent="0.3">
      <c r="A419" s="72">
        <f>IFERROR(VLOOKUP($G419,Conf!$B:$C,2,0),E419)</f>
        <v>5</v>
      </c>
      <c r="B419" s="72" t="str">
        <f ca="1">IF(D419="Inativo","Inativo",IFERROR(VLOOKUP($G419,Conf!$O:$Q,2,0),VLOOKUP($S419,Conf!$K:$M,2,0)))</f>
        <v>HORTIFRUTI</v>
      </c>
      <c r="C419" s="72" t="str">
        <f ca="1">IF(D419="Inativo","Inativo",IFERROR(VLOOKUP($G419,Conf!$O:$Q,3,0),IFERROR(VLOOKUP($G419,Conf!$E:$F,2,0),VLOOKUP($S419,Conf!$K:$M,3,0))))</f>
        <v>REPOSITOR</v>
      </c>
      <c r="D419" s="72" t="str">
        <f ca="1">IFERROR(IF(TODAY()-K419&gt;365,"Inativo",IF(J419=2,"Férias",IF(J419=7,"Demitido","Afastamento"))),VLOOKUP(J419,Conf!$H:$I,2,0))</f>
        <v>Ativos</v>
      </c>
      <c r="E419" s="187">
        <v>5</v>
      </c>
      <c r="F419" s="187">
        <v>1307</v>
      </c>
      <c r="G419" t="s">
        <v>657</v>
      </c>
      <c r="H419" s="71"/>
      <c r="I419" t="s">
        <v>289</v>
      </c>
      <c r="J419" s="187">
        <v>1</v>
      </c>
      <c r="K419" t="s">
        <v>1385</v>
      </c>
      <c r="L419" s="185"/>
      <c r="M419" s="188">
        <v>44982</v>
      </c>
      <c r="N419" s="71"/>
      <c r="Q419" s="71"/>
      <c r="R419" s="71"/>
      <c r="S419" t="s">
        <v>524</v>
      </c>
      <c r="T419" s="71"/>
    </row>
    <row r="420" spans="1:20" x14ac:dyDescent="0.3">
      <c r="A420" s="72">
        <f>IFERROR(VLOOKUP($G420,Conf!$B:$C,2,0),E420)</f>
        <v>5</v>
      </c>
      <c r="B420" s="72" t="str">
        <f ca="1">IF(D420="Inativo","Inativo",IFERROR(VLOOKUP($G420,Conf!$O:$Q,2,0),VLOOKUP($S420,Conf!$K:$M,2,0)))</f>
        <v>Inativo</v>
      </c>
      <c r="C420" s="72" t="str">
        <f ca="1">IF(D420="Inativo","Inativo",IFERROR(VLOOKUP($G420,Conf!$O:$Q,3,0),IFERROR(VLOOKUP($G420,Conf!$E:$F,2,0),VLOOKUP($S420,Conf!$K:$M,3,0))))</f>
        <v>Inativo</v>
      </c>
      <c r="D420" s="72" t="str">
        <f ca="1">IFERROR(IF(TODAY()-K420&gt;365,"Inativo",IF(J420=2,"Férias",IF(J420=7,"Demitido","Afastamento"))),VLOOKUP(J420,Conf!$H:$I,2,0))</f>
        <v>Inativo</v>
      </c>
      <c r="E420" s="187">
        <v>5</v>
      </c>
      <c r="F420" s="187">
        <v>1204</v>
      </c>
      <c r="G420" t="s">
        <v>636</v>
      </c>
      <c r="H420" s="71"/>
      <c r="I420" t="s">
        <v>220</v>
      </c>
      <c r="J420" s="187">
        <v>3</v>
      </c>
      <c r="K420" t="s">
        <v>1607</v>
      </c>
      <c r="L420" s="185"/>
      <c r="M420" s="188">
        <v>44622</v>
      </c>
      <c r="N420" s="71"/>
      <c r="Q420" s="71"/>
      <c r="R420" s="71"/>
      <c r="S420" t="s">
        <v>394</v>
      </c>
      <c r="T420" s="71"/>
    </row>
    <row r="421" spans="1:20" x14ac:dyDescent="0.3">
      <c r="A421" s="72">
        <f>IFERROR(VLOOKUP($G421,Conf!$B:$C,2,0),E421)</f>
        <v>5</v>
      </c>
      <c r="B421" s="72" t="str">
        <f ca="1">IF(D421="Inativo","Inativo",IFERROR(VLOOKUP($G421,Conf!$O:$Q,2,0),VLOOKUP($S421,Conf!$K:$M,2,0)))</f>
        <v>LOJA</v>
      </c>
      <c r="C421" s="72" t="str">
        <f ca="1">IF(D421="Inativo","Inativo",IFERROR(VLOOKUP($G421,Conf!$O:$Q,3,0),IFERROR(VLOOKUP($G421,Conf!$E:$F,2,0),VLOOKUP($S421,Conf!$K:$M,3,0))))</f>
        <v>CARTAZISTA</v>
      </c>
      <c r="D421" s="72" t="str">
        <f ca="1">IFERROR(IF(TODAY()-K421&gt;365,"Inativo",IF(J421=2,"Férias",IF(J421=7,"Demitido","Afastamento"))),VLOOKUP(J421,Conf!$H:$I,2,0))</f>
        <v>Ativos</v>
      </c>
      <c r="E421" s="187">
        <v>5</v>
      </c>
      <c r="F421" s="187">
        <v>1451</v>
      </c>
      <c r="G421" t="s">
        <v>643</v>
      </c>
      <c r="H421" s="71"/>
      <c r="I421" t="s">
        <v>244</v>
      </c>
      <c r="J421" s="187">
        <v>1</v>
      </c>
      <c r="K421" t="s">
        <v>1385</v>
      </c>
      <c r="L421" s="185"/>
      <c r="M421" s="188">
        <v>45334</v>
      </c>
      <c r="N421" s="71"/>
      <c r="O421" s="71"/>
      <c r="P421" s="71"/>
      <c r="Q421" s="71"/>
      <c r="R421" s="71"/>
      <c r="S421" t="s">
        <v>346</v>
      </c>
      <c r="T421" s="71"/>
    </row>
    <row r="422" spans="1:20" x14ac:dyDescent="0.3">
      <c r="A422" s="72">
        <f>IFERROR(VLOOKUP($G422,Conf!$B:$C,2,0),E422)</f>
        <v>5</v>
      </c>
      <c r="B422" s="72" t="str">
        <f ca="1">IF(D422="Inativo","Inativo",IFERROR(VLOOKUP($G422,Conf!$O:$Q,2,0),VLOOKUP($S422,Conf!$K:$M,2,0)))</f>
        <v>LOJA</v>
      </c>
      <c r="C422" s="72" t="str">
        <f ca="1">IF(D422="Inativo","Inativo",IFERROR(VLOOKUP($G422,Conf!$O:$Q,3,0),IFERROR(VLOOKUP($G422,Conf!$E:$F,2,0),VLOOKUP($S422,Conf!$K:$M,3,0))))</f>
        <v>ENCARREGADO</v>
      </c>
      <c r="D422" s="72" t="str">
        <f ca="1">IFERROR(IF(TODAY()-K422&gt;365,"Inativo",IF(J422=2,"Férias",IF(J422=7,"Demitido","Afastamento"))),VLOOKUP(J422,Conf!$H:$I,2,0))</f>
        <v>Ativos</v>
      </c>
      <c r="E422" s="187">
        <v>5</v>
      </c>
      <c r="F422" s="187">
        <v>813</v>
      </c>
      <c r="G422" t="s">
        <v>644</v>
      </c>
      <c r="H422" s="71"/>
      <c r="I422" t="s">
        <v>319</v>
      </c>
      <c r="J422" s="187">
        <v>1</v>
      </c>
      <c r="K422" t="s">
        <v>1385</v>
      </c>
      <c r="L422" s="185"/>
      <c r="M422" s="188">
        <v>43067</v>
      </c>
      <c r="N422" s="71"/>
      <c r="O422" s="71"/>
      <c r="P422" s="71"/>
      <c r="Q422" s="71"/>
      <c r="R422" s="71"/>
      <c r="S422" t="s">
        <v>348</v>
      </c>
      <c r="T422" s="71"/>
    </row>
    <row r="423" spans="1:20" x14ac:dyDescent="0.3">
      <c r="A423" s="72">
        <f>IFERROR(VLOOKUP($G423,Conf!$B:$C,2,0),E423)</f>
        <v>5</v>
      </c>
      <c r="B423" s="72" t="str">
        <f ca="1">IF(D423="Inativo","Inativo",IFERROR(VLOOKUP($G423,Conf!$O:$Q,2,0),VLOOKUP($S423,Conf!$K:$M,2,0)))</f>
        <v>LOJA</v>
      </c>
      <c r="C423" s="72" t="str">
        <f ca="1">IF(D423="Inativo","Inativo",IFERROR(VLOOKUP($G423,Conf!$O:$Q,3,0),IFERROR(VLOOKUP($G423,Conf!$E:$F,2,0),VLOOKUP($S423,Conf!$K:$M,3,0))))</f>
        <v>REPOSITOR</v>
      </c>
      <c r="D423" s="72" t="str">
        <f ca="1">IFERROR(IF(TODAY()-K423&gt;365,"Inativo",IF(J423=2,"Férias",IF(J423=7,"Demitido","Afastamento"))),VLOOKUP(J423,Conf!$H:$I,2,0))</f>
        <v>Ativos</v>
      </c>
      <c r="E423" s="187">
        <v>5</v>
      </c>
      <c r="F423" s="187">
        <v>1772</v>
      </c>
      <c r="G423" t="s">
        <v>1503</v>
      </c>
      <c r="H423" s="71"/>
      <c r="I423" t="s">
        <v>220</v>
      </c>
      <c r="J423" s="187">
        <v>1</v>
      </c>
      <c r="K423" t="s">
        <v>1385</v>
      </c>
      <c r="L423" s="185"/>
      <c r="M423" s="188">
        <v>46259</v>
      </c>
      <c r="N423" s="71"/>
      <c r="O423" s="71"/>
      <c r="P423" s="71"/>
      <c r="Q423" s="71"/>
      <c r="R423" s="71"/>
      <c r="S423" t="s">
        <v>524</v>
      </c>
      <c r="T423" s="71"/>
    </row>
    <row r="424" spans="1:20" x14ac:dyDescent="0.3">
      <c r="A424" s="72">
        <f>IFERROR(VLOOKUP($G424,Conf!$B:$C,2,0),E424)</f>
        <v>5</v>
      </c>
      <c r="B424" s="72" t="str">
        <f ca="1">IF(D424="Inativo","Inativo",IFERROR(VLOOKUP($G424,Conf!$O:$Q,2,0),VLOOKUP($S424,Conf!$K:$M,2,0)))</f>
        <v>LOJA</v>
      </c>
      <c r="C424" s="72" t="str">
        <f ca="1">IF(D424="Inativo","Inativo",IFERROR(VLOOKUP($G424,Conf!$O:$Q,3,0),IFERROR(VLOOKUP($G424,Conf!$E:$F,2,0),VLOOKUP($S424,Conf!$K:$M,3,0))))</f>
        <v>REPOSITOR</v>
      </c>
      <c r="D424" s="72" t="str">
        <f ca="1">IFERROR(IF(TODAY()-K424&gt;365,"Inativo",IF(J424=2,"Férias",IF(J424=7,"Demitido","Afastamento"))),VLOOKUP(J424,Conf!$H:$I,2,0))</f>
        <v>Ativos</v>
      </c>
      <c r="E424" s="187">
        <v>5</v>
      </c>
      <c r="F424" s="187">
        <v>1572</v>
      </c>
      <c r="G424" t="s">
        <v>646</v>
      </c>
      <c r="H424" s="71"/>
      <c r="I424" t="s">
        <v>220</v>
      </c>
      <c r="J424" s="187">
        <v>1</v>
      </c>
      <c r="K424" t="s">
        <v>1385</v>
      </c>
      <c r="L424" s="185"/>
      <c r="M424" s="188">
        <v>45637</v>
      </c>
      <c r="N424" s="71"/>
      <c r="O424" s="71"/>
      <c r="P424" s="71"/>
      <c r="Q424" s="71"/>
      <c r="R424" s="71"/>
      <c r="S424" t="s">
        <v>524</v>
      </c>
      <c r="T424" s="71"/>
    </row>
    <row r="425" spans="1:20" x14ac:dyDescent="0.3">
      <c r="A425" s="72">
        <f>IFERROR(VLOOKUP($G425,Conf!$B:$C,2,0),E425)</f>
        <v>5</v>
      </c>
      <c r="B425" s="72" t="str">
        <f ca="1">IF(D425="Inativo","Inativo",IFERROR(VLOOKUP($G425,Conf!$O:$Q,2,0),VLOOKUP($S425,Conf!$K:$M,2,0)))</f>
        <v>LOJA</v>
      </c>
      <c r="C425" s="72" t="str">
        <f ca="1">IF(D425="Inativo","Inativo",IFERROR(VLOOKUP($G425,Conf!$O:$Q,3,0),IFERROR(VLOOKUP($G425,Conf!$E:$F,2,0),VLOOKUP($S425,Conf!$K:$M,3,0))))</f>
        <v>REPOSITOR</v>
      </c>
      <c r="D425" s="72" t="str">
        <f ca="1">IFERROR(IF(TODAY()-K425&gt;365,"Inativo",IF(J425=2,"Férias",IF(J425=7,"Demitido","Afastamento"))),VLOOKUP(J425,Conf!$H:$I,2,0))</f>
        <v>Ativos</v>
      </c>
      <c r="E425" s="187">
        <v>5</v>
      </c>
      <c r="F425" s="187">
        <v>1789</v>
      </c>
      <c r="G425" t="s">
        <v>1648</v>
      </c>
      <c r="H425" s="71"/>
      <c r="I425" t="s">
        <v>220</v>
      </c>
      <c r="J425" s="187">
        <v>1</v>
      </c>
      <c r="K425" t="s">
        <v>1385</v>
      </c>
      <c r="L425" s="185"/>
      <c r="M425" s="188">
        <v>46303</v>
      </c>
      <c r="N425" s="71"/>
      <c r="Q425" s="71"/>
      <c r="R425" s="71"/>
      <c r="S425" t="s">
        <v>524</v>
      </c>
      <c r="T425" s="71"/>
    </row>
    <row r="426" spans="1:20" x14ac:dyDescent="0.3">
      <c r="A426" s="72">
        <f>IFERROR(VLOOKUP($G426,Conf!$B:$C,2,0),E426)</f>
        <v>5</v>
      </c>
      <c r="B426" s="72" t="str">
        <f ca="1">IF(D426="Inativo","Inativo",IFERROR(VLOOKUP($G426,Conf!$O:$Q,2,0),VLOOKUP($S426,Conf!$K:$M,2,0)))</f>
        <v>LOJA</v>
      </c>
      <c r="C426" s="72" t="str">
        <f ca="1">IF(D426="Inativo","Inativo",IFERROR(VLOOKUP($G426,Conf!$O:$Q,3,0),IFERROR(VLOOKUP($G426,Conf!$E:$F,2,0),VLOOKUP($S426,Conf!$K:$M,3,0))))</f>
        <v>REPOSITOR</v>
      </c>
      <c r="D426" s="72" t="str">
        <f ca="1">IFERROR(IF(TODAY()-K426&gt;365,"Inativo",IF(J426=2,"Férias",IF(J426=7,"Demitido","Afastamento"))),VLOOKUP(J426,Conf!$H:$I,2,0))</f>
        <v>Ativos</v>
      </c>
      <c r="E426" s="187">
        <v>5</v>
      </c>
      <c r="F426" s="187">
        <v>1675</v>
      </c>
      <c r="G426" t="s">
        <v>647</v>
      </c>
      <c r="H426" s="71"/>
      <c r="I426" t="s">
        <v>220</v>
      </c>
      <c r="J426" s="187">
        <v>1</v>
      </c>
      <c r="K426" t="s">
        <v>1385</v>
      </c>
      <c r="L426" s="185"/>
      <c r="M426" s="188">
        <v>45953</v>
      </c>
      <c r="N426" s="71"/>
      <c r="Q426" s="71"/>
      <c r="R426" s="71"/>
      <c r="S426" t="s">
        <v>524</v>
      </c>
      <c r="T426" s="71"/>
    </row>
    <row r="427" spans="1:20" x14ac:dyDescent="0.3">
      <c r="A427" s="72">
        <f>IFERROR(VLOOKUP($G427,Conf!$B:$C,2,0),E427)</f>
        <v>5</v>
      </c>
      <c r="B427" s="72" t="str">
        <f ca="1">IF(D427="Inativo","Inativo",IFERROR(VLOOKUP($G427,Conf!$O:$Q,2,0),VLOOKUP($S427,Conf!$K:$M,2,0)))</f>
        <v>LOJA</v>
      </c>
      <c r="C427" s="72" t="str">
        <f ca="1">IF(D427="Inativo","Inativo",IFERROR(VLOOKUP($G427,Conf!$O:$Q,3,0),IFERROR(VLOOKUP($G427,Conf!$E:$F,2,0),VLOOKUP($S427,Conf!$K:$M,3,0))))</f>
        <v>REPOSITOR</v>
      </c>
      <c r="D427" s="72" t="str">
        <f ca="1">IFERROR(IF(TODAY()-K427&gt;365,"Inativo",IF(J427=2,"Férias",IF(J427=7,"Demitido","Afastamento"))),VLOOKUP(J427,Conf!$H:$I,2,0))</f>
        <v>Demitido</v>
      </c>
      <c r="E427" s="187">
        <v>5</v>
      </c>
      <c r="F427" s="187">
        <v>1473</v>
      </c>
      <c r="G427" t="s">
        <v>648</v>
      </c>
      <c r="H427" s="71"/>
      <c r="I427" t="s">
        <v>220</v>
      </c>
      <c r="J427" s="187">
        <v>7</v>
      </c>
      <c r="K427" t="s">
        <v>1629</v>
      </c>
      <c r="L427" s="185"/>
      <c r="M427" s="188">
        <v>45364</v>
      </c>
      <c r="N427" s="71"/>
      <c r="O427" s="71"/>
      <c r="P427" s="71"/>
      <c r="Q427" s="71"/>
      <c r="R427" s="71"/>
      <c r="S427" t="s">
        <v>524</v>
      </c>
      <c r="T427" s="71"/>
    </row>
    <row r="428" spans="1:20" x14ac:dyDescent="0.3">
      <c r="A428" s="72">
        <f>IFERROR(VLOOKUP($G428,Conf!$B:$C,2,0),E428)</f>
        <v>5</v>
      </c>
      <c r="B428" s="72" t="str">
        <f ca="1">IF(D428="Inativo","Inativo",IFERROR(VLOOKUP($G428,Conf!$O:$Q,2,0),VLOOKUP($S428,Conf!$K:$M,2,0)))</f>
        <v>LOJA</v>
      </c>
      <c r="C428" s="72" t="str">
        <f ca="1">IF(D428="Inativo","Inativo",IFERROR(VLOOKUP($G428,Conf!$O:$Q,3,0),IFERROR(VLOOKUP($G428,Conf!$E:$F,2,0),VLOOKUP($S428,Conf!$K:$M,3,0))))</f>
        <v>REPOSITOR</v>
      </c>
      <c r="D428" s="72" t="str">
        <f ca="1">IFERROR(IF(TODAY()-K428&gt;365,"Inativo",IF(J428=2,"Férias",IF(J428=7,"Demitido","Afastamento"))),VLOOKUP(J428,Conf!$H:$I,2,0))</f>
        <v>Ativos</v>
      </c>
      <c r="E428" s="187">
        <v>5</v>
      </c>
      <c r="F428" s="187">
        <v>1774</v>
      </c>
      <c r="G428" t="s">
        <v>1546</v>
      </c>
      <c r="H428" s="71"/>
      <c r="I428" t="s">
        <v>303</v>
      </c>
      <c r="J428" s="187">
        <v>1</v>
      </c>
      <c r="K428" t="s">
        <v>1385</v>
      </c>
      <c r="L428" s="185"/>
      <c r="M428" s="188">
        <v>46274</v>
      </c>
      <c r="N428" s="71"/>
      <c r="O428" s="71"/>
      <c r="P428" s="71"/>
      <c r="Q428" s="71"/>
      <c r="R428" s="71"/>
      <c r="S428" t="s">
        <v>524</v>
      </c>
      <c r="T428" s="71"/>
    </row>
    <row r="429" spans="1:20" x14ac:dyDescent="0.3">
      <c r="A429" s="72">
        <f>IFERROR(VLOOKUP($G429,Conf!$B:$C,2,0),E429)</f>
        <v>5</v>
      </c>
      <c r="B429" s="72" t="str">
        <f ca="1">IF(D429="Inativo","Inativo",IFERROR(VLOOKUP($G429,Conf!$O:$Q,2,0),VLOOKUP($S429,Conf!$K:$M,2,0)))</f>
        <v>LOJA</v>
      </c>
      <c r="C429" s="72" t="str">
        <f ca="1">IF(D429="Inativo","Inativo",IFERROR(VLOOKUP($G429,Conf!$O:$Q,3,0),IFERROR(VLOOKUP($G429,Conf!$E:$F,2,0),VLOOKUP($S429,Conf!$K:$M,3,0))))</f>
        <v>REPOSITOR</v>
      </c>
      <c r="D429" s="72" t="str">
        <f ca="1">IFERROR(IF(TODAY()-K429&gt;365,"Inativo",IF(J429=2,"Férias",IF(J429=7,"Demitido","Afastamento"))),VLOOKUP(J429,Conf!$H:$I,2,0))</f>
        <v>Ativos</v>
      </c>
      <c r="E429" s="187">
        <v>5</v>
      </c>
      <c r="F429" s="187">
        <v>1409</v>
      </c>
      <c r="G429" t="s">
        <v>649</v>
      </c>
      <c r="H429" s="71"/>
      <c r="I429" t="s">
        <v>650</v>
      </c>
      <c r="J429" s="187">
        <v>1</v>
      </c>
      <c r="K429" t="s">
        <v>1385</v>
      </c>
      <c r="L429" s="185"/>
      <c r="M429" s="188">
        <v>45252</v>
      </c>
      <c r="N429" s="71"/>
      <c r="O429" s="71"/>
      <c r="P429" s="71"/>
      <c r="Q429" s="71"/>
      <c r="R429" s="71"/>
      <c r="S429" t="s">
        <v>524</v>
      </c>
      <c r="T429" s="71"/>
    </row>
    <row r="430" spans="1:20" x14ac:dyDescent="0.3">
      <c r="A430" s="72">
        <f>IFERROR(VLOOKUP($G430,Conf!$B:$C,2,0),E430)</f>
        <v>5</v>
      </c>
      <c r="B430" s="72" t="str">
        <f ca="1">IF(D430="Inativo","Inativo",IFERROR(VLOOKUP($G430,Conf!$O:$Q,2,0),VLOOKUP($S430,Conf!$K:$M,2,0)))</f>
        <v>LOJA</v>
      </c>
      <c r="C430" s="72" t="str">
        <f ca="1">IF(D430="Inativo","Inativo",IFERROR(VLOOKUP($G430,Conf!$O:$Q,3,0),IFERROR(VLOOKUP($G430,Conf!$E:$F,2,0),VLOOKUP($S430,Conf!$K:$M,3,0))))</f>
        <v>REPOSITOR</v>
      </c>
      <c r="D430" s="72" t="str">
        <f ca="1">IFERROR(IF(TODAY()-K430&gt;365,"Inativo",IF(J430=2,"Férias",IF(J430=7,"Demitido","Afastamento"))),VLOOKUP(J430,Conf!$H:$I,2,0))</f>
        <v>Ativos</v>
      </c>
      <c r="E430" s="187">
        <v>5</v>
      </c>
      <c r="F430" s="187">
        <v>1661</v>
      </c>
      <c r="G430" t="s">
        <v>652</v>
      </c>
      <c r="H430" s="71"/>
      <c r="I430" t="s">
        <v>220</v>
      </c>
      <c r="J430" s="187">
        <v>1</v>
      </c>
      <c r="K430" t="s">
        <v>1385</v>
      </c>
      <c r="L430" s="185"/>
      <c r="M430" s="188">
        <v>45938</v>
      </c>
      <c r="N430" s="71"/>
      <c r="O430" s="71"/>
      <c r="P430" s="71"/>
      <c r="Q430" s="71"/>
      <c r="R430" s="71"/>
      <c r="S430" t="s">
        <v>524</v>
      </c>
      <c r="T430" s="71"/>
    </row>
    <row r="431" spans="1:20" x14ac:dyDescent="0.3">
      <c r="A431" s="72">
        <f>IFERROR(VLOOKUP($G431,Conf!$B:$C,2,0),E431)</f>
        <v>5</v>
      </c>
      <c r="B431" s="72" t="str">
        <f ca="1">IF(D431="Inativo","Inativo",IFERROR(VLOOKUP($G431,Conf!$O:$Q,2,0),VLOOKUP($S431,Conf!$K:$M,2,0)))</f>
        <v>LOJA</v>
      </c>
      <c r="C431" s="72" t="str">
        <f ca="1">IF(D431="Inativo","Inativo",IFERROR(VLOOKUP($G431,Conf!$O:$Q,3,0),IFERROR(VLOOKUP($G431,Conf!$E:$F,2,0),VLOOKUP($S431,Conf!$K:$M,3,0))))</f>
        <v>REPOSITOR</v>
      </c>
      <c r="D431" s="72" t="str">
        <f ca="1">IFERROR(IF(TODAY()-K431&gt;365,"Inativo",IF(J431=2,"Férias",IF(J431=7,"Demitido","Afastamento"))),VLOOKUP(J431,Conf!$H:$I,2,0))</f>
        <v>Ativos</v>
      </c>
      <c r="E431" s="187">
        <v>5</v>
      </c>
      <c r="F431" s="187">
        <v>1787</v>
      </c>
      <c r="G431" t="s">
        <v>1622</v>
      </c>
      <c r="H431" s="71"/>
      <c r="I431" t="s">
        <v>220</v>
      </c>
      <c r="J431" s="187">
        <v>1</v>
      </c>
      <c r="K431" t="s">
        <v>1385</v>
      </c>
      <c r="L431" s="185"/>
      <c r="M431" s="188">
        <v>46296</v>
      </c>
      <c r="N431" s="71"/>
      <c r="O431" s="71"/>
      <c r="P431" s="71"/>
      <c r="Q431" s="71"/>
      <c r="R431" s="71"/>
      <c r="S431" t="s">
        <v>524</v>
      </c>
      <c r="T431" s="71"/>
    </row>
    <row r="432" spans="1:20" x14ac:dyDescent="0.3">
      <c r="A432" s="72">
        <f>IFERROR(VLOOKUP($G432,Conf!$B:$C,2,0),E432)</f>
        <v>5</v>
      </c>
      <c r="B432" s="72" t="str">
        <f ca="1">IF(D432="Inativo","Inativo",IFERROR(VLOOKUP($G432,Conf!$O:$Q,2,0),VLOOKUP($S432,Conf!$K:$M,2,0)))</f>
        <v>PADARIA</v>
      </c>
      <c r="C432" s="72" t="str">
        <f ca="1">IF(D432="Inativo","Inativo",IFERROR(VLOOKUP($G432,Conf!$O:$Q,3,0),IFERROR(VLOOKUP($G432,Conf!$E:$F,2,0),VLOOKUP($S432,Conf!$K:$M,3,0))))</f>
        <v>ATENDENTE</v>
      </c>
      <c r="D432" s="72" t="str">
        <f ca="1">IFERROR(IF(TODAY()-K432&gt;365,"Inativo",IF(J432=2,"Férias",IF(J432=7,"Demitido","Afastamento"))),VLOOKUP(J432,Conf!$H:$I,2,0))</f>
        <v>Ativos</v>
      </c>
      <c r="E432" s="187">
        <v>5</v>
      </c>
      <c r="F432" s="187">
        <v>1722</v>
      </c>
      <c r="G432" t="s">
        <v>661</v>
      </c>
      <c r="H432" s="71"/>
      <c r="I432" t="s">
        <v>220</v>
      </c>
      <c r="J432" s="187">
        <v>1</v>
      </c>
      <c r="K432" t="s">
        <v>1385</v>
      </c>
      <c r="L432" s="185"/>
      <c r="M432" s="188">
        <v>46093</v>
      </c>
      <c r="N432" s="71"/>
      <c r="O432" s="71"/>
      <c r="P432" s="71"/>
      <c r="Q432" s="71"/>
      <c r="R432" s="71"/>
      <c r="S432" t="s">
        <v>589</v>
      </c>
      <c r="T432" s="71"/>
    </row>
    <row r="433" spans="1:20" x14ac:dyDescent="0.3">
      <c r="A433" s="72">
        <f>IFERROR(VLOOKUP($G433,Conf!$B:$C,2,0),E433)</f>
        <v>5</v>
      </c>
      <c r="B433" s="72" t="str">
        <f ca="1">IF(D433="Inativo","Inativo",IFERROR(VLOOKUP($G433,Conf!$O:$Q,2,0),VLOOKUP($S433,Conf!$K:$M,2,0)))</f>
        <v>PADARIA</v>
      </c>
      <c r="C433" s="72" t="str">
        <f ca="1">IF(D433="Inativo","Inativo",IFERROR(VLOOKUP($G433,Conf!$O:$Q,3,0),IFERROR(VLOOKUP($G433,Conf!$E:$F,2,0),VLOOKUP($S433,Conf!$K:$M,3,0))))</f>
        <v>ATENDENTE</v>
      </c>
      <c r="D433" s="72" t="str">
        <f ca="1">IFERROR(IF(TODAY()-K433&gt;365,"Inativo",IF(J433=2,"Férias",IF(J433=7,"Demitido","Afastamento"))),VLOOKUP(J433,Conf!$H:$I,2,0))</f>
        <v>Ativos</v>
      </c>
      <c r="E433" s="187">
        <v>5</v>
      </c>
      <c r="F433" s="187">
        <v>1767</v>
      </c>
      <c r="G433" t="s">
        <v>1488</v>
      </c>
      <c r="H433" s="71"/>
      <c r="I433" t="s">
        <v>357</v>
      </c>
      <c r="J433" s="187">
        <v>1</v>
      </c>
      <c r="K433" t="s">
        <v>1385</v>
      </c>
      <c r="L433" s="185"/>
      <c r="M433" s="188">
        <v>46253</v>
      </c>
      <c r="N433" s="71"/>
      <c r="Q433" s="71"/>
      <c r="R433" s="71"/>
      <c r="S433" t="s">
        <v>589</v>
      </c>
      <c r="T433" s="71"/>
    </row>
    <row r="434" spans="1:20" x14ac:dyDescent="0.3">
      <c r="A434" s="72">
        <f>IFERROR(VLOOKUP($G434,Conf!$B:$C,2,0),E434)</f>
        <v>5</v>
      </c>
      <c r="B434" s="72" t="str">
        <f ca="1">IF(D434="Inativo","Inativo",IFERROR(VLOOKUP($G434,Conf!$O:$Q,2,0),VLOOKUP($S434,Conf!$K:$M,2,0)))</f>
        <v>PADARIA</v>
      </c>
      <c r="C434" s="72" t="str">
        <f ca="1">IF(D434="Inativo","Inativo",IFERROR(VLOOKUP($G434,Conf!$O:$Q,3,0),IFERROR(VLOOKUP($G434,Conf!$E:$F,2,0),VLOOKUP($S434,Conf!$K:$M,3,0))))</f>
        <v>ATENDENTE</v>
      </c>
      <c r="D434" s="72" t="str">
        <f ca="1">IFERROR(IF(TODAY()-K434&gt;365,"Inativo",IF(J434=2,"Férias",IF(J434=7,"Demitido","Afastamento"))),VLOOKUP(J434,Conf!$H:$I,2,0))</f>
        <v>Afastamento</v>
      </c>
      <c r="E434" s="187">
        <v>5</v>
      </c>
      <c r="F434" s="187">
        <v>345</v>
      </c>
      <c r="G434" t="s">
        <v>663</v>
      </c>
      <c r="H434" s="71"/>
      <c r="I434" t="s">
        <v>244</v>
      </c>
      <c r="J434" s="187">
        <v>3</v>
      </c>
      <c r="K434" t="s">
        <v>317</v>
      </c>
      <c r="L434" s="185"/>
      <c r="M434" s="188">
        <v>41197</v>
      </c>
      <c r="N434" s="71"/>
      <c r="Q434" s="71"/>
      <c r="R434" s="71"/>
      <c r="S434" t="s">
        <v>589</v>
      </c>
      <c r="T434" s="71"/>
    </row>
    <row r="435" spans="1:20" x14ac:dyDescent="0.3">
      <c r="A435" s="72">
        <f>IFERROR(VLOOKUP($G435,Conf!$B:$C,2,0),E435)</f>
        <v>5</v>
      </c>
      <c r="B435" s="72" t="str">
        <f ca="1">IF(D435="Inativo","Inativo",IFERROR(VLOOKUP($G435,Conf!$O:$Q,2,0),VLOOKUP($S435,Conf!$K:$M,2,0)))</f>
        <v>PADARIA</v>
      </c>
      <c r="C435" s="72" t="str">
        <f ca="1">IF(D435="Inativo","Inativo",IFERROR(VLOOKUP($G435,Conf!$O:$Q,3,0),IFERROR(VLOOKUP($G435,Conf!$E:$F,2,0),VLOOKUP($S435,Conf!$K:$M,3,0))))</f>
        <v>ATENDENTE</v>
      </c>
      <c r="D435" s="72" t="str">
        <f ca="1">IFERROR(IF(TODAY()-K435&gt;365,"Inativo",IF(J435=2,"Férias",IF(J435=7,"Demitido","Afastamento"))),VLOOKUP(J435,Conf!$H:$I,2,0))</f>
        <v>Ativos</v>
      </c>
      <c r="E435" s="187">
        <v>5</v>
      </c>
      <c r="F435" s="187">
        <v>1655</v>
      </c>
      <c r="G435" t="s">
        <v>664</v>
      </c>
      <c r="H435" s="71"/>
      <c r="I435" t="s">
        <v>220</v>
      </c>
      <c r="J435" s="187">
        <v>1</v>
      </c>
      <c r="K435" t="s">
        <v>1385</v>
      </c>
      <c r="L435" s="185"/>
      <c r="M435" s="188">
        <v>45908</v>
      </c>
      <c r="N435" s="71"/>
      <c r="Q435" s="71"/>
      <c r="R435" s="71"/>
      <c r="S435" t="s">
        <v>589</v>
      </c>
      <c r="T435" s="71"/>
    </row>
    <row r="436" spans="1:20" x14ac:dyDescent="0.3">
      <c r="A436" s="72">
        <f>IFERROR(VLOOKUP($G436,Conf!$B:$C,2,0),E436)</f>
        <v>5</v>
      </c>
      <c r="B436" s="72" t="str">
        <f ca="1">IF(D436="Inativo","Inativo",IFERROR(VLOOKUP($G436,Conf!$O:$Q,2,0),VLOOKUP($S436,Conf!$K:$M,2,0)))</f>
        <v>PADARIA</v>
      </c>
      <c r="C436" s="72" t="str">
        <f ca="1">IF(D436="Inativo","Inativo",IFERROR(VLOOKUP($G436,Conf!$O:$Q,3,0),IFERROR(VLOOKUP($G436,Conf!$E:$F,2,0),VLOOKUP($S436,Conf!$K:$M,3,0))))</f>
        <v>ATENDENTE</v>
      </c>
      <c r="D436" s="72" t="str">
        <f ca="1">IFERROR(IF(TODAY()-K436&gt;365,"Inativo",IF(J436=2,"Férias",IF(J436=7,"Demitido","Afastamento"))),VLOOKUP(J436,Conf!$H:$I,2,0))</f>
        <v>Ativos</v>
      </c>
      <c r="E436" s="187">
        <v>5</v>
      </c>
      <c r="F436" s="187">
        <v>1792</v>
      </c>
      <c r="G436" t="s">
        <v>1650</v>
      </c>
      <c r="H436" s="71"/>
      <c r="I436" t="s">
        <v>220</v>
      </c>
      <c r="J436" s="187">
        <v>1</v>
      </c>
      <c r="K436" t="s">
        <v>1385</v>
      </c>
      <c r="L436" s="185"/>
      <c r="M436" s="188">
        <v>46304</v>
      </c>
      <c r="N436" s="71"/>
      <c r="Q436" s="71"/>
      <c r="R436" s="71"/>
      <c r="S436" t="s">
        <v>589</v>
      </c>
      <c r="T436" s="71"/>
    </row>
    <row r="437" spans="1:20" x14ac:dyDescent="0.3">
      <c r="A437" s="72">
        <f>IFERROR(VLOOKUP($G437,Conf!$B:$C,2,0),E437)</f>
        <v>5</v>
      </c>
      <c r="B437" s="72" t="str">
        <f ca="1">IF(D437="Inativo","Inativo",IFERROR(VLOOKUP($G437,Conf!$O:$Q,2,0),VLOOKUP($S437,Conf!$K:$M,2,0)))</f>
        <v>PADARIA</v>
      </c>
      <c r="C437" s="72" t="str">
        <f ca="1">IF(D437="Inativo","Inativo",IFERROR(VLOOKUP($G437,Conf!$O:$Q,3,0),IFERROR(VLOOKUP($G437,Conf!$E:$F,2,0),VLOOKUP($S437,Conf!$K:$M,3,0))))</f>
        <v>ATENDENTE</v>
      </c>
      <c r="D437" s="72" t="str">
        <f ca="1">IFERROR(IF(TODAY()-K437&gt;365,"Inativo",IF(J437=2,"Férias",IF(J437=7,"Demitido","Afastamento"))),VLOOKUP(J437,Conf!$H:$I,2,0))</f>
        <v>Férias</v>
      </c>
      <c r="E437" s="187">
        <v>5</v>
      </c>
      <c r="F437" s="187">
        <v>906</v>
      </c>
      <c r="G437" t="s">
        <v>666</v>
      </c>
      <c r="H437" s="71"/>
      <c r="I437" t="s">
        <v>236</v>
      </c>
      <c r="J437" s="187">
        <v>2</v>
      </c>
      <c r="K437" t="s">
        <v>1629</v>
      </c>
      <c r="L437" s="185"/>
      <c r="M437" s="188">
        <v>43511</v>
      </c>
      <c r="N437" s="71"/>
      <c r="Q437" s="71"/>
      <c r="R437" s="71"/>
      <c r="S437" t="s">
        <v>589</v>
      </c>
      <c r="T437" s="71"/>
    </row>
    <row r="438" spans="1:20" x14ac:dyDescent="0.3">
      <c r="A438" s="72">
        <f>IFERROR(VLOOKUP($G438,Conf!$B:$C,2,0),E438)</f>
        <v>5</v>
      </c>
      <c r="B438" s="72" t="str">
        <f ca="1">IF(D438="Inativo","Inativo",IFERROR(VLOOKUP($G438,Conf!$O:$Q,2,0),VLOOKUP($S438,Conf!$K:$M,2,0)))</f>
        <v>PADARIA</v>
      </c>
      <c r="C438" s="72" t="str">
        <f ca="1">IF(D438="Inativo","Inativo",IFERROR(VLOOKUP($G438,Conf!$O:$Q,3,0),IFERROR(VLOOKUP($G438,Conf!$E:$F,2,0),VLOOKUP($S438,Conf!$K:$M,3,0))))</f>
        <v>AUXILIAR</v>
      </c>
      <c r="D438" s="72" t="str">
        <f ca="1">IFERROR(IF(TODAY()-K438&gt;365,"Inativo",IF(J438=2,"Férias",IF(J438=7,"Demitido","Afastamento"))),VLOOKUP(J438,Conf!$H:$I,2,0))</f>
        <v>Ativos</v>
      </c>
      <c r="E438" s="187">
        <v>5</v>
      </c>
      <c r="F438" s="187">
        <v>1753</v>
      </c>
      <c r="G438" t="s">
        <v>1324</v>
      </c>
      <c r="H438" s="71"/>
      <c r="I438" t="s">
        <v>650</v>
      </c>
      <c r="J438" s="187">
        <v>1</v>
      </c>
      <c r="K438" t="s">
        <v>1385</v>
      </c>
      <c r="L438" s="185"/>
      <c r="M438" s="188">
        <v>46189</v>
      </c>
      <c r="N438" s="71"/>
      <c r="Q438" s="71"/>
      <c r="R438" s="71"/>
      <c r="S438" t="s">
        <v>457</v>
      </c>
      <c r="T438" s="71"/>
    </row>
    <row r="439" spans="1:20" x14ac:dyDescent="0.3">
      <c r="A439" s="72">
        <f>IFERROR(VLOOKUP($G439,Conf!$B:$C,2,0),E439)</f>
        <v>5</v>
      </c>
      <c r="B439" s="72" t="str">
        <f ca="1">IF(D439="Inativo","Inativo",IFERROR(VLOOKUP($G439,Conf!$O:$Q,2,0),VLOOKUP($S439,Conf!$K:$M,2,0)))</f>
        <v>PADARIA</v>
      </c>
      <c r="C439" s="72" t="str">
        <f ca="1">IF(D439="Inativo","Inativo",IFERROR(VLOOKUP($G439,Conf!$O:$Q,3,0),IFERROR(VLOOKUP($G439,Conf!$E:$F,2,0),VLOOKUP($S439,Conf!$K:$M,3,0))))</f>
        <v>AUXILIAR</v>
      </c>
      <c r="D439" s="72" t="str">
        <f ca="1">IFERROR(IF(TODAY()-K439&gt;365,"Inativo",IF(J439=2,"Férias",IF(J439=7,"Demitido","Afastamento"))),VLOOKUP(J439,Conf!$H:$I,2,0))</f>
        <v>Afastamento</v>
      </c>
      <c r="E439" s="187">
        <v>5</v>
      </c>
      <c r="F439" s="187">
        <v>677</v>
      </c>
      <c r="G439" t="s">
        <v>637</v>
      </c>
      <c r="H439" s="71"/>
      <c r="I439" t="s">
        <v>222</v>
      </c>
      <c r="J439" s="187">
        <v>14</v>
      </c>
      <c r="K439" t="s">
        <v>1656</v>
      </c>
      <c r="L439" s="185"/>
      <c r="M439" s="188">
        <v>42213</v>
      </c>
      <c r="N439" s="71"/>
      <c r="O439" s="71"/>
      <c r="P439" s="71"/>
      <c r="Q439" s="71"/>
      <c r="R439" s="71"/>
      <c r="S439" t="s">
        <v>330</v>
      </c>
      <c r="T439" s="71"/>
    </row>
    <row r="440" spans="1:20" x14ac:dyDescent="0.3">
      <c r="A440" s="72">
        <f>IFERROR(VLOOKUP($G440,Conf!$B:$C,2,0),E440)</f>
        <v>5</v>
      </c>
      <c r="B440" s="72" t="str">
        <f ca="1">IF(D440="Inativo","Inativo",IFERROR(VLOOKUP($G440,Conf!$O:$Q,2,0),VLOOKUP($S440,Conf!$K:$M,2,0)))</f>
        <v>PADARIA</v>
      </c>
      <c r="C440" s="72" t="str">
        <f ca="1">IF(D440="Inativo","Inativo",IFERROR(VLOOKUP($G440,Conf!$O:$Q,3,0),IFERROR(VLOOKUP($G440,Conf!$E:$F,2,0),VLOOKUP($S440,Conf!$K:$M,3,0))))</f>
        <v>AUXILIAR</v>
      </c>
      <c r="D440" s="72" t="str">
        <f ca="1">IFERROR(IF(TODAY()-K440&gt;365,"Inativo",IF(J440=2,"Férias",IF(J440=7,"Demitido","Afastamento"))),VLOOKUP(J440,Conf!$H:$I,2,0))</f>
        <v>Demitido</v>
      </c>
      <c r="E440" s="187">
        <v>5</v>
      </c>
      <c r="F440" s="187">
        <v>1557</v>
      </c>
      <c r="G440" t="s">
        <v>665</v>
      </c>
      <c r="H440" s="71"/>
      <c r="I440" t="s">
        <v>220</v>
      </c>
      <c r="J440" s="187">
        <v>7</v>
      </c>
      <c r="K440" t="s">
        <v>1601</v>
      </c>
      <c r="L440" s="185"/>
      <c r="M440" s="188">
        <v>45609</v>
      </c>
      <c r="N440" s="71"/>
      <c r="Q440" s="71"/>
      <c r="R440" s="71"/>
      <c r="S440" t="s">
        <v>457</v>
      </c>
      <c r="T440" s="71"/>
    </row>
    <row r="441" spans="1:20" x14ac:dyDescent="0.3">
      <c r="A441" s="72">
        <f>IFERROR(VLOOKUP($G441,Conf!$B:$C,2,0),E441)</f>
        <v>5</v>
      </c>
      <c r="B441" s="72" t="str">
        <f ca="1">IF(D441="Inativo","Inativo",IFERROR(VLOOKUP($G441,Conf!$O:$Q,2,0),VLOOKUP($S441,Conf!$K:$M,2,0)))</f>
        <v>PADARIA</v>
      </c>
      <c r="C441" s="72" t="str">
        <f ca="1">IF(D441="Inativo","Inativo",IFERROR(VLOOKUP($G441,Conf!$O:$Q,3,0),IFERROR(VLOOKUP($G441,Conf!$E:$F,2,0),VLOOKUP($S441,Conf!$K:$M,3,0))))</f>
        <v>PADEIRO(A)</v>
      </c>
      <c r="D441" s="72" t="str">
        <f ca="1">IFERROR(IF(TODAY()-K441&gt;365,"Inativo",IF(J441=2,"Férias",IF(J441=7,"Demitido","Afastamento"))),VLOOKUP(J441,Conf!$H:$I,2,0))</f>
        <v>Ativos</v>
      </c>
      <c r="E441" s="187">
        <v>5</v>
      </c>
      <c r="F441" s="187">
        <v>1203</v>
      </c>
      <c r="G441" t="s">
        <v>668</v>
      </c>
      <c r="H441" s="71"/>
      <c r="I441" t="s">
        <v>244</v>
      </c>
      <c r="J441" s="187">
        <v>1</v>
      </c>
      <c r="K441" t="s">
        <v>1385</v>
      </c>
      <c r="L441" s="185"/>
      <c r="M441" s="188">
        <v>44616</v>
      </c>
      <c r="N441" s="71"/>
      <c r="Q441" s="71"/>
      <c r="R441" s="71"/>
      <c r="S441" t="s">
        <v>384</v>
      </c>
      <c r="T441" s="71"/>
    </row>
    <row r="442" spans="1:20" x14ac:dyDescent="0.3">
      <c r="A442" s="72">
        <f>IFERROR(VLOOKUP($G442,Conf!$B:$C,2,0),E442)</f>
        <v>5</v>
      </c>
      <c r="B442" s="72" t="str">
        <f ca="1">IF(D442="Inativo","Inativo",IFERROR(VLOOKUP($G442,Conf!$O:$Q,2,0),VLOOKUP($S442,Conf!$K:$M,2,0)))</f>
        <v>PADARIA</v>
      </c>
      <c r="C442" s="72" t="str">
        <f ca="1">IF(D442="Inativo","Inativo",IFERROR(VLOOKUP($G442,Conf!$O:$Q,3,0),IFERROR(VLOOKUP($G442,Conf!$E:$F,2,0),VLOOKUP($S442,Conf!$K:$M,3,0))))</f>
        <v>PADEIRO(A)</v>
      </c>
      <c r="D442" s="72" t="str">
        <f ca="1">IFERROR(IF(TODAY()-K442&gt;365,"Inativo",IF(J442=2,"Férias",IF(J442=7,"Demitido","Afastamento"))),VLOOKUP(J442,Conf!$H:$I,2,0))</f>
        <v>Ativos</v>
      </c>
      <c r="E442" s="187">
        <v>5</v>
      </c>
      <c r="F442" s="187">
        <v>1699</v>
      </c>
      <c r="G442" t="s">
        <v>669</v>
      </c>
      <c r="H442" s="71"/>
      <c r="I442" t="s">
        <v>244</v>
      </c>
      <c r="J442" s="187">
        <v>1</v>
      </c>
      <c r="K442" t="s">
        <v>1385</v>
      </c>
      <c r="L442" s="185"/>
      <c r="M442" s="188">
        <v>46027</v>
      </c>
      <c r="N442" s="71"/>
      <c r="Q442" s="71"/>
      <c r="R442" s="71"/>
      <c r="S442" t="s">
        <v>384</v>
      </c>
      <c r="T442" s="71"/>
    </row>
    <row r="443" spans="1:20" x14ac:dyDescent="0.3">
      <c r="A443" s="72">
        <f>IFERROR(VLOOKUP($G443,Conf!$B:$C,2,0),E443)</f>
        <v>5</v>
      </c>
      <c r="B443" s="72" t="str">
        <f ca="1">IF(D443="Inativo","Inativo",IFERROR(VLOOKUP($G443,Conf!$O:$Q,2,0),VLOOKUP($S443,Conf!$K:$M,2,0)))</f>
        <v>PADARIA</v>
      </c>
      <c r="C443" s="72" t="str">
        <f ca="1">IF(D443="Inativo","Inativo",IFERROR(VLOOKUP($G443,Conf!$O:$Q,3,0),IFERROR(VLOOKUP($G443,Conf!$E:$F,2,0),VLOOKUP($S443,Conf!$K:$M,3,0))))</f>
        <v>PADEIRO(A)</v>
      </c>
      <c r="D443" s="72" t="str">
        <f ca="1">IFERROR(IF(TODAY()-K443&gt;365,"Inativo",IF(J443=2,"Férias",IF(J443=7,"Demitido","Afastamento"))),VLOOKUP(J443,Conf!$H:$I,2,0))</f>
        <v>Ativos</v>
      </c>
      <c r="E443" s="187">
        <v>5</v>
      </c>
      <c r="F443" s="187">
        <v>847</v>
      </c>
      <c r="G443" t="s">
        <v>670</v>
      </c>
      <c r="H443" s="71"/>
      <c r="I443" t="s">
        <v>380</v>
      </c>
      <c r="J443" s="187">
        <v>1</v>
      </c>
      <c r="K443" t="s">
        <v>1385</v>
      </c>
      <c r="L443" s="185"/>
      <c r="M443" s="188">
        <v>43199</v>
      </c>
      <c r="N443" s="71"/>
      <c r="O443" s="71"/>
      <c r="P443" s="71"/>
      <c r="Q443" s="71"/>
      <c r="R443" s="71"/>
      <c r="S443" t="s">
        <v>384</v>
      </c>
      <c r="T443" s="71"/>
    </row>
    <row r="444" spans="1:20" x14ac:dyDescent="0.3">
      <c r="A444" s="72">
        <f>IFERROR(VLOOKUP($G444,Conf!$B:$C,2,0),E444)</f>
        <v>5</v>
      </c>
      <c r="B444" s="72" t="str">
        <f ca="1">IF(D444="Inativo","Inativo",IFERROR(VLOOKUP($G444,Conf!$O:$Q,2,0),VLOOKUP($S444,Conf!$K:$M,2,0)))</f>
        <v>PADARIA</v>
      </c>
      <c r="C444" s="72" t="str">
        <f ca="1">IF(D444="Inativo","Inativo",IFERROR(VLOOKUP($G444,Conf!$O:$Q,3,0),IFERROR(VLOOKUP($G444,Conf!$E:$F,2,0),VLOOKUP($S444,Conf!$K:$M,3,0))))</f>
        <v>PADEIRO(A)</v>
      </c>
      <c r="D444" s="72" t="str">
        <f ca="1">IFERROR(IF(TODAY()-K444&gt;365,"Inativo",IF(J444=2,"Férias",IF(J444=7,"Demitido","Afastamento"))),VLOOKUP(J444,Conf!$H:$I,2,0))</f>
        <v>Ativos</v>
      </c>
      <c r="E444" s="187">
        <v>5</v>
      </c>
      <c r="F444" s="187">
        <v>815</v>
      </c>
      <c r="G444" t="s">
        <v>671</v>
      </c>
      <c r="H444" s="71"/>
      <c r="I444" t="s">
        <v>277</v>
      </c>
      <c r="J444" s="187">
        <v>1</v>
      </c>
      <c r="K444" t="s">
        <v>1385</v>
      </c>
      <c r="L444" s="185"/>
      <c r="M444" s="188">
        <v>43070</v>
      </c>
      <c r="N444" s="71"/>
      <c r="Q444" s="71"/>
      <c r="R444" s="71"/>
      <c r="S444" t="s">
        <v>464</v>
      </c>
      <c r="T444" s="71"/>
    </row>
    <row r="445" spans="1:20" x14ac:dyDescent="0.3">
      <c r="A445" s="72">
        <f>IFERROR(VLOOKUP($G445,Conf!$B:$C,2,0),E445)</f>
        <v>6</v>
      </c>
      <c r="B445" s="72" t="str">
        <f ca="1">IF(D445="Inativo","Inativo",IFERROR(VLOOKUP($G445,Conf!$O:$Q,2,0),VLOOKUP($S445,Conf!$K:$M,2,0)))</f>
        <v>AÇOUGUE</v>
      </c>
      <c r="C445" s="72" t="str">
        <f ca="1">IF(D445="Inativo","Inativo",IFERROR(VLOOKUP($G445,Conf!$O:$Q,3,0),IFERROR(VLOOKUP($G445,Conf!$E:$F,2,0),VLOOKUP($S445,Conf!$K:$M,3,0))))</f>
        <v>AÇOUGUEIRO</v>
      </c>
      <c r="D445" s="72" t="str">
        <f ca="1">IFERROR(IF(TODAY()-K445&gt;365,"Inativo",IF(J445=2,"Férias",IF(J445=7,"Demitido","Afastamento"))),VLOOKUP(J445,Conf!$H:$I,2,0))</f>
        <v>Ativos</v>
      </c>
      <c r="E445" s="187">
        <v>6</v>
      </c>
      <c r="F445" s="187">
        <v>1958</v>
      </c>
      <c r="G445" t="s">
        <v>673</v>
      </c>
      <c r="H445" s="71"/>
      <c r="I445" t="s">
        <v>244</v>
      </c>
      <c r="J445" s="187">
        <v>1</v>
      </c>
      <c r="K445" t="s">
        <v>1385</v>
      </c>
      <c r="L445" s="185"/>
      <c r="M445" s="188">
        <v>44974</v>
      </c>
      <c r="N445" s="71"/>
      <c r="O445" s="71"/>
      <c r="P445" s="71"/>
      <c r="Q445" s="71"/>
      <c r="R445" s="71"/>
      <c r="S445" t="s">
        <v>223</v>
      </c>
      <c r="T445" s="71"/>
    </row>
    <row r="446" spans="1:20" x14ac:dyDescent="0.3">
      <c r="A446" s="72">
        <f>IFERROR(VLOOKUP($G446,Conf!$B:$C,2,0),E446)</f>
        <v>6</v>
      </c>
      <c r="B446" s="72" t="str">
        <f ca="1">IF(D446="Inativo","Inativo",IFERROR(VLOOKUP($G446,Conf!$O:$Q,2,0),VLOOKUP($S446,Conf!$K:$M,2,0)))</f>
        <v>AÇOUGUE</v>
      </c>
      <c r="C446" s="72" t="str">
        <f ca="1">IF(D446="Inativo","Inativo",IFERROR(VLOOKUP($G446,Conf!$O:$Q,3,0),IFERROR(VLOOKUP($G446,Conf!$E:$F,2,0),VLOOKUP($S446,Conf!$K:$M,3,0))))</f>
        <v>AÇOUGUEIRO</v>
      </c>
      <c r="D446" s="72" t="str">
        <f ca="1">IFERROR(IF(TODAY()-K446&gt;365,"Inativo",IF(J446=2,"Férias",IF(J446=7,"Demitido","Afastamento"))),VLOOKUP(J446,Conf!$H:$I,2,0))</f>
        <v>Ativos</v>
      </c>
      <c r="E446" s="187">
        <v>6</v>
      </c>
      <c r="F446" s="187">
        <v>2331</v>
      </c>
      <c r="G446" t="s">
        <v>674</v>
      </c>
      <c r="H446" s="71"/>
      <c r="I446" t="s">
        <v>220</v>
      </c>
      <c r="J446" s="187">
        <v>1</v>
      </c>
      <c r="K446" t="s">
        <v>1385</v>
      </c>
      <c r="L446" s="185"/>
      <c r="M446" s="188">
        <v>45967</v>
      </c>
      <c r="N446" s="71"/>
      <c r="Q446" s="71"/>
      <c r="R446" s="71"/>
      <c r="S446" t="s">
        <v>223</v>
      </c>
      <c r="T446" s="71"/>
    </row>
    <row r="447" spans="1:20" x14ac:dyDescent="0.3">
      <c r="A447" s="72">
        <f>IFERROR(VLOOKUP($G447,Conf!$B:$C,2,0),E447)</f>
        <v>6</v>
      </c>
      <c r="B447" s="72" t="str">
        <f ca="1">IF(D447="Inativo","Inativo",IFERROR(VLOOKUP($G447,Conf!$O:$Q,2,0),VLOOKUP($S447,Conf!$K:$M,2,0)))</f>
        <v>AÇOUGUE</v>
      </c>
      <c r="C447" s="72" t="str">
        <f ca="1">IF(D447="Inativo","Inativo",IFERROR(VLOOKUP($G447,Conf!$O:$Q,3,0),IFERROR(VLOOKUP($G447,Conf!$E:$F,2,0),VLOOKUP($S447,Conf!$K:$M,3,0))))</f>
        <v>AÇOUGUEIRO</v>
      </c>
      <c r="D447" s="72" t="str">
        <f ca="1">IFERROR(IF(TODAY()-K447&gt;365,"Inativo",IF(J447=2,"Férias",IF(J447=7,"Demitido","Afastamento"))),VLOOKUP(J447,Conf!$H:$I,2,0))</f>
        <v>Ativos</v>
      </c>
      <c r="E447" s="187">
        <v>6</v>
      </c>
      <c r="F447" s="187">
        <v>1847</v>
      </c>
      <c r="G447" t="s">
        <v>675</v>
      </c>
      <c r="H447" s="71"/>
      <c r="I447" t="s">
        <v>650</v>
      </c>
      <c r="J447" s="187">
        <v>1</v>
      </c>
      <c r="K447" t="s">
        <v>1385</v>
      </c>
      <c r="L447" s="185"/>
      <c r="M447" s="188">
        <v>44690</v>
      </c>
      <c r="N447" s="71"/>
      <c r="Q447" s="71"/>
      <c r="R447" s="71"/>
      <c r="S447" t="s">
        <v>223</v>
      </c>
      <c r="T447" s="71"/>
    </row>
    <row r="448" spans="1:20" x14ac:dyDescent="0.3">
      <c r="A448" s="72">
        <f>IFERROR(VLOOKUP($G448,Conf!$B:$C,2,0),E448)</f>
        <v>6</v>
      </c>
      <c r="B448" s="72" t="str">
        <f ca="1">IF(D448="Inativo","Inativo",IFERROR(VLOOKUP($G448,Conf!$O:$Q,2,0),VLOOKUP($S448,Conf!$K:$M,2,0)))</f>
        <v>AÇOUGUE</v>
      </c>
      <c r="C448" s="72" t="str">
        <f ca="1">IF(D448="Inativo","Inativo",IFERROR(VLOOKUP($G448,Conf!$O:$Q,3,0),IFERROR(VLOOKUP($G448,Conf!$E:$F,2,0),VLOOKUP($S448,Conf!$K:$M,3,0))))</f>
        <v>AÇOUGUEIRO</v>
      </c>
      <c r="D448" s="72" t="str">
        <f ca="1">IFERROR(IF(TODAY()-K448&gt;365,"Inativo",IF(J448=2,"Férias",IF(J448=7,"Demitido","Afastamento"))),VLOOKUP(J448,Conf!$H:$I,2,0))</f>
        <v>Ativos</v>
      </c>
      <c r="E448" s="187">
        <v>6</v>
      </c>
      <c r="F448" s="187">
        <v>2379</v>
      </c>
      <c r="G448" t="s">
        <v>676</v>
      </c>
      <c r="H448" s="71"/>
      <c r="I448" t="s">
        <v>220</v>
      </c>
      <c r="J448" s="187">
        <v>1</v>
      </c>
      <c r="K448" t="s">
        <v>1385</v>
      </c>
      <c r="L448" s="185"/>
      <c r="M448" s="188">
        <v>46066</v>
      </c>
      <c r="N448" s="71"/>
      <c r="Q448" s="71"/>
      <c r="R448" s="71"/>
      <c r="S448" t="s">
        <v>223</v>
      </c>
      <c r="T448" s="71"/>
    </row>
    <row r="449" spans="1:20" x14ac:dyDescent="0.3">
      <c r="A449" s="72">
        <f>IFERROR(VLOOKUP($G449,Conf!$B:$C,2,0),E449)</f>
        <v>6</v>
      </c>
      <c r="B449" s="72" t="str">
        <f ca="1">IF(D449="Inativo","Inativo",IFERROR(VLOOKUP($G449,Conf!$O:$Q,2,0),VLOOKUP($S449,Conf!$K:$M,2,0)))</f>
        <v>AÇOUGUE</v>
      </c>
      <c r="C449" s="72" t="str">
        <f ca="1">IF(D449="Inativo","Inativo",IFERROR(VLOOKUP($G449,Conf!$O:$Q,3,0),IFERROR(VLOOKUP($G449,Conf!$E:$F,2,0),VLOOKUP($S449,Conf!$K:$M,3,0))))</f>
        <v>BALCONISTA</v>
      </c>
      <c r="D449" s="72" t="str">
        <f ca="1">IFERROR(IF(TODAY()-K449&gt;365,"Inativo",IF(J449=2,"Férias",IF(J449=7,"Demitido","Afastamento"))),VLOOKUP(J449,Conf!$H:$I,2,0))</f>
        <v>Férias</v>
      </c>
      <c r="E449" s="187">
        <v>6</v>
      </c>
      <c r="F449" s="187">
        <v>2263</v>
      </c>
      <c r="G449" t="s">
        <v>677</v>
      </c>
      <c r="H449" s="71"/>
      <c r="I449" t="s">
        <v>220</v>
      </c>
      <c r="J449" s="187">
        <v>2</v>
      </c>
      <c r="K449" t="s">
        <v>1629</v>
      </c>
      <c r="L449" s="185"/>
      <c r="M449" s="188">
        <v>45790</v>
      </c>
      <c r="N449" s="71"/>
      <c r="O449" s="71"/>
      <c r="P449" s="71"/>
      <c r="Q449" s="71"/>
      <c r="R449" s="71"/>
      <c r="S449" t="s">
        <v>329</v>
      </c>
      <c r="T449" s="71"/>
    </row>
    <row r="450" spans="1:20" x14ac:dyDescent="0.3">
      <c r="A450" s="72">
        <f>IFERROR(VLOOKUP($G450,Conf!$B:$C,2,0),E450)</f>
        <v>6</v>
      </c>
      <c r="B450" s="72" t="str">
        <f ca="1">IF(D450="Inativo","Inativo",IFERROR(VLOOKUP($G450,Conf!$O:$Q,2,0),VLOOKUP($S450,Conf!$K:$M,2,0)))</f>
        <v>AÇOUGUE</v>
      </c>
      <c r="C450" s="72" t="str">
        <f ca="1">IF(D450="Inativo","Inativo",IFERROR(VLOOKUP($G450,Conf!$O:$Q,3,0),IFERROR(VLOOKUP($G450,Conf!$E:$F,2,0),VLOOKUP($S450,Conf!$K:$M,3,0))))</f>
        <v>BALCONISTA</v>
      </c>
      <c r="D450" s="72" t="str">
        <f ca="1">IFERROR(IF(TODAY()-K450&gt;365,"Inativo",IF(J450=2,"Férias",IF(J450=7,"Demitido","Afastamento"))),VLOOKUP(J450,Conf!$H:$I,2,0))</f>
        <v>Ativos</v>
      </c>
      <c r="E450" s="187">
        <v>6</v>
      </c>
      <c r="F450" s="187">
        <v>30</v>
      </c>
      <c r="G450" t="s">
        <v>1624</v>
      </c>
      <c r="H450" s="71"/>
      <c r="I450" t="s">
        <v>220</v>
      </c>
      <c r="J450" s="187">
        <v>1</v>
      </c>
      <c r="K450" t="s">
        <v>1385</v>
      </c>
      <c r="L450" s="185"/>
      <c r="M450" s="188">
        <v>46296</v>
      </c>
      <c r="N450" s="71"/>
      <c r="O450" s="71"/>
      <c r="P450" s="71"/>
      <c r="Q450" s="71"/>
      <c r="R450" s="71"/>
      <c r="S450" t="s">
        <v>1403</v>
      </c>
      <c r="T450" s="71"/>
    </row>
    <row r="451" spans="1:20" x14ac:dyDescent="0.3">
      <c r="A451" s="72">
        <f>IFERROR(VLOOKUP($G451,Conf!$B:$C,2,0),E451)</f>
        <v>6</v>
      </c>
      <c r="B451" s="72" t="str">
        <f ca="1">IF(D451="Inativo","Inativo",IFERROR(VLOOKUP($G451,Conf!$O:$Q,2,0),VLOOKUP($S451,Conf!$K:$M,2,0)))</f>
        <v>AÇOUGUE</v>
      </c>
      <c r="C451" s="72" t="str">
        <f ca="1">IF(D451="Inativo","Inativo",IFERROR(VLOOKUP($G451,Conf!$O:$Q,3,0),IFERROR(VLOOKUP($G451,Conf!$E:$F,2,0),VLOOKUP($S451,Conf!$K:$M,3,0))))</f>
        <v>BALCONISTA</v>
      </c>
      <c r="D451" s="72" t="str">
        <f ca="1">IFERROR(IF(TODAY()-K451&gt;365,"Inativo",IF(J451=2,"Férias",IF(J451=7,"Demitido","Afastamento"))),VLOOKUP(J451,Conf!$H:$I,2,0))</f>
        <v>Ativos</v>
      </c>
      <c r="E451" s="187">
        <v>6</v>
      </c>
      <c r="F451" s="187">
        <v>21</v>
      </c>
      <c r="G451" t="s">
        <v>1402</v>
      </c>
      <c r="H451" s="71"/>
      <c r="I451" t="s">
        <v>222</v>
      </c>
      <c r="J451" s="187">
        <v>1</v>
      </c>
      <c r="K451" t="s">
        <v>1385</v>
      </c>
      <c r="L451" s="185"/>
      <c r="M451" s="188">
        <v>46216</v>
      </c>
      <c r="N451" s="71"/>
      <c r="Q451" s="71"/>
      <c r="R451" s="71"/>
      <c r="S451" t="s">
        <v>1403</v>
      </c>
      <c r="T451" s="71"/>
    </row>
    <row r="452" spans="1:20" x14ac:dyDescent="0.3">
      <c r="A452" s="72">
        <f>IFERROR(VLOOKUP($G452,Conf!$B:$C,2,0),E452)</f>
        <v>6</v>
      </c>
      <c r="B452" s="72" t="str">
        <f ca="1">IF(D452="Inativo","Inativo",IFERROR(VLOOKUP($G452,Conf!$O:$Q,2,0),VLOOKUP($S452,Conf!$K:$M,2,0)))</f>
        <v>AÇOUGUE</v>
      </c>
      <c r="C452" s="72" t="str">
        <f ca="1">IF(D452="Inativo","Inativo",IFERROR(VLOOKUP($G452,Conf!$O:$Q,3,0),IFERROR(VLOOKUP($G452,Conf!$E:$F,2,0),VLOOKUP($S452,Conf!$K:$M,3,0))))</f>
        <v>BALCONISTA</v>
      </c>
      <c r="D452" s="72" t="str">
        <f ca="1">IFERROR(IF(TODAY()-K452&gt;365,"Inativo",IF(J452=2,"Férias",IF(J452=7,"Demitido","Afastamento"))),VLOOKUP(J452,Conf!$H:$I,2,0))</f>
        <v>Ativos</v>
      </c>
      <c r="E452" s="187">
        <v>6</v>
      </c>
      <c r="F452" s="187">
        <v>29</v>
      </c>
      <c r="G452" t="s">
        <v>1623</v>
      </c>
      <c r="H452" s="71"/>
      <c r="I452" t="s">
        <v>220</v>
      </c>
      <c r="J452" s="187">
        <v>1</v>
      </c>
      <c r="K452" t="s">
        <v>1385</v>
      </c>
      <c r="L452" s="185"/>
      <c r="M452" s="188">
        <v>46296</v>
      </c>
      <c r="N452" s="71"/>
      <c r="O452" s="71"/>
      <c r="P452" s="71"/>
      <c r="Q452" s="71"/>
      <c r="R452" s="71"/>
      <c r="S452" t="s">
        <v>1403</v>
      </c>
      <c r="T452" s="71"/>
    </row>
    <row r="453" spans="1:20" x14ac:dyDescent="0.3">
      <c r="A453" s="72">
        <f>IFERROR(VLOOKUP($G453,Conf!$B:$C,2,0),E453)</f>
        <v>6</v>
      </c>
      <c r="B453" s="72" t="str">
        <f ca="1">IF(D453="Inativo","Inativo",IFERROR(VLOOKUP($G453,Conf!$O:$Q,2,0),VLOOKUP($S453,Conf!$K:$M,2,0)))</f>
        <v>AÇOUGUE</v>
      </c>
      <c r="C453" s="72" t="str">
        <f ca="1">IF(D453="Inativo","Inativo",IFERROR(VLOOKUP($G453,Conf!$O:$Q,3,0),IFERROR(VLOOKUP($G453,Conf!$E:$F,2,0),VLOOKUP($S453,Conf!$K:$M,3,0))))</f>
        <v>DESOSSADOR</v>
      </c>
      <c r="D453" s="72" t="str">
        <f ca="1">IFERROR(IF(TODAY()-K453&gt;365,"Inativo",IF(J453=2,"Férias",IF(J453=7,"Demitido","Afastamento"))),VLOOKUP(J453,Conf!$H:$I,2,0))</f>
        <v>Ativos</v>
      </c>
      <c r="E453" s="187">
        <v>6</v>
      </c>
      <c r="F453" s="187">
        <v>1217</v>
      </c>
      <c r="G453" t="s">
        <v>678</v>
      </c>
      <c r="H453" s="71"/>
      <c r="I453" t="s">
        <v>236</v>
      </c>
      <c r="J453" s="187">
        <v>1</v>
      </c>
      <c r="K453" t="s">
        <v>1385</v>
      </c>
      <c r="L453" s="185"/>
      <c r="M453" s="188">
        <v>42443</v>
      </c>
      <c r="N453" s="71"/>
      <c r="Q453" s="71"/>
      <c r="R453" s="71"/>
      <c r="S453" t="s">
        <v>230</v>
      </c>
      <c r="T453" s="71"/>
    </row>
    <row r="454" spans="1:20" x14ac:dyDescent="0.3">
      <c r="A454" s="72">
        <f>IFERROR(VLOOKUP($G454,Conf!$B:$C,2,0),E454)</f>
        <v>6</v>
      </c>
      <c r="B454" s="72" t="str">
        <f ca="1">IF(D454="Inativo","Inativo",IFERROR(VLOOKUP($G454,Conf!$O:$Q,2,0),VLOOKUP($S454,Conf!$K:$M,2,0)))</f>
        <v>AÇOUGUE</v>
      </c>
      <c r="C454" s="72" t="str">
        <f ca="1">IF(D454="Inativo","Inativo",IFERROR(VLOOKUP($G454,Conf!$O:$Q,3,0),IFERROR(VLOOKUP($G454,Conf!$E:$F,2,0),VLOOKUP($S454,Conf!$K:$M,3,0))))</f>
        <v>DESOSSADOR</v>
      </c>
      <c r="D454" s="72" t="str">
        <f ca="1">IFERROR(IF(TODAY()-K454&gt;365,"Inativo",IF(J454=2,"Férias",IF(J454=7,"Demitido","Afastamento"))),VLOOKUP(J454,Conf!$H:$I,2,0))</f>
        <v>Ativos</v>
      </c>
      <c r="E454" s="187">
        <v>6</v>
      </c>
      <c r="F454" s="187">
        <v>2335</v>
      </c>
      <c r="G454" t="s">
        <v>679</v>
      </c>
      <c r="H454" s="71"/>
      <c r="I454" t="s">
        <v>220</v>
      </c>
      <c r="J454" s="187">
        <v>1</v>
      </c>
      <c r="K454" t="s">
        <v>1385</v>
      </c>
      <c r="L454" s="185"/>
      <c r="M454" s="188">
        <v>45975</v>
      </c>
      <c r="N454" s="71"/>
      <c r="Q454" s="71"/>
      <c r="R454" s="71"/>
      <c r="S454" t="s">
        <v>230</v>
      </c>
      <c r="T454" s="71"/>
    </row>
    <row r="455" spans="1:20" x14ac:dyDescent="0.3">
      <c r="A455" s="72">
        <f>IFERROR(VLOOKUP($G455,Conf!$B:$C,2,0),E455)</f>
        <v>6</v>
      </c>
      <c r="B455" s="72" t="str">
        <f ca="1">IF(D455="Inativo","Inativo",IFERROR(VLOOKUP($G455,Conf!$O:$Q,2,0),VLOOKUP($S455,Conf!$K:$M,2,0)))</f>
        <v>AÇOUGUE</v>
      </c>
      <c r="C455" s="72" t="str">
        <f ca="1">IF(D455="Inativo","Inativo",IFERROR(VLOOKUP($G455,Conf!$O:$Q,3,0),IFERROR(VLOOKUP($G455,Conf!$E:$F,2,0),VLOOKUP($S455,Conf!$K:$M,3,0))))</f>
        <v>ENCARREGADO</v>
      </c>
      <c r="D455" s="72" t="str">
        <f ca="1">IFERROR(IF(TODAY()-K455&gt;365,"Inativo",IF(J455=2,"Férias",IF(J455=7,"Demitido","Afastamento"))),VLOOKUP(J455,Conf!$H:$I,2,0))</f>
        <v>Demitido</v>
      </c>
      <c r="E455" s="187">
        <v>6</v>
      </c>
      <c r="F455" s="187">
        <v>1735</v>
      </c>
      <c r="G455" t="s">
        <v>681</v>
      </c>
      <c r="H455" s="71"/>
      <c r="I455" t="s">
        <v>236</v>
      </c>
      <c r="J455" s="187">
        <v>7</v>
      </c>
      <c r="K455" t="s">
        <v>1642</v>
      </c>
      <c r="L455" s="185"/>
      <c r="M455" s="188">
        <v>44410</v>
      </c>
      <c r="N455" s="71"/>
      <c r="O455" s="71"/>
      <c r="P455" s="71"/>
      <c r="Q455" s="71"/>
      <c r="R455" s="71"/>
      <c r="S455" t="s">
        <v>438</v>
      </c>
      <c r="T455" s="71"/>
    </row>
    <row r="456" spans="1:20" x14ac:dyDescent="0.3">
      <c r="A456" s="72">
        <f>IFERROR(VLOOKUP($G456,Conf!$B:$C,2,0),E456)</f>
        <v>6</v>
      </c>
      <c r="B456" s="72" t="str">
        <f ca="1">IF(D456="Inativo","Inativo",IFERROR(VLOOKUP($G456,Conf!$O:$Q,2,0),VLOOKUP($S456,Conf!$K:$M,2,0)))</f>
        <v>ADMINISTRATIVO</v>
      </c>
      <c r="C456" s="72" t="str">
        <f ca="1">IF(D456="Inativo","Inativo",IFERROR(VLOOKUP($G456,Conf!$O:$Q,3,0),IFERROR(VLOOKUP($G456,Conf!$E:$F,2,0),VLOOKUP($S456,Conf!$K:$M,3,0))))</f>
        <v>APRENDIZ</v>
      </c>
      <c r="D456" s="72" t="str">
        <f ca="1">IFERROR(IF(TODAY()-K456&gt;365,"Inativo",IF(J456=2,"Férias",IF(J456=7,"Demitido","Afastamento"))),VLOOKUP(J456,Conf!$H:$I,2,0))</f>
        <v>Ativos</v>
      </c>
      <c r="E456" s="187">
        <v>6</v>
      </c>
      <c r="F456" s="187">
        <v>2387</v>
      </c>
      <c r="G456" t="s">
        <v>727</v>
      </c>
      <c r="H456" s="71"/>
      <c r="I456" t="s">
        <v>568</v>
      </c>
      <c r="J456" s="187">
        <v>1</v>
      </c>
      <c r="K456" t="s">
        <v>1385</v>
      </c>
      <c r="L456" s="185"/>
      <c r="M456" s="188">
        <v>46077</v>
      </c>
      <c r="N456" s="71"/>
      <c r="Q456" s="71"/>
      <c r="R456" s="71"/>
      <c r="S456" t="s">
        <v>337</v>
      </c>
    </row>
    <row r="457" spans="1:20" x14ac:dyDescent="0.3">
      <c r="A457" s="72">
        <f>IFERROR(VLOOKUP($G457,Conf!$B:$C,2,0),E457)</f>
        <v>6</v>
      </c>
      <c r="B457" s="72" t="str">
        <f ca="1">IF(D457="Inativo","Inativo",IFERROR(VLOOKUP($G457,Conf!$O:$Q,2,0),VLOOKUP($S457,Conf!$K:$M,2,0)))</f>
        <v>ADMINISTRATIVO</v>
      </c>
      <c r="C457" s="72" t="str">
        <f ca="1">IF(D457="Inativo","Inativo",IFERROR(VLOOKUP($G457,Conf!$O:$Q,3,0),IFERROR(VLOOKUP($G457,Conf!$E:$F,2,0),VLOOKUP($S457,Conf!$K:$M,3,0))))</f>
        <v>APRENDIZ</v>
      </c>
      <c r="D457" s="72" t="str">
        <f ca="1">IFERROR(IF(TODAY()-K457&gt;365,"Inativo",IF(J457=2,"Férias",IF(J457=7,"Demitido","Afastamento"))),VLOOKUP(J457,Conf!$H:$I,2,0))</f>
        <v>Ativos</v>
      </c>
      <c r="E457" s="187">
        <v>6</v>
      </c>
      <c r="F457" s="187">
        <v>2386</v>
      </c>
      <c r="G457" t="s">
        <v>728</v>
      </c>
      <c r="H457" s="71"/>
      <c r="I457" t="s">
        <v>568</v>
      </c>
      <c r="J457" s="187">
        <v>1</v>
      </c>
      <c r="K457" t="s">
        <v>1385</v>
      </c>
      <c r="L457" s="185"/>
      <c r="M457" s="188">
        <v>46077</v>
      </c>
      <c r="N457" s="71"/>
      <c r="O457" s="71"/>
      <c r="P457" s="71"/>
      <c r="Q457" s="71"/>
      <c r="R457" s="71"/>
      <c r="S457" t="s">
        <v>337</v>
      </c>
      <c r="T457" s="71"/>
    </row>
    <row r="458" spans="1:20" x14ac:dyDescent="0.3">
      <c r="A458" s="72">
        <f>IFERROR(VLOOKUP($G458,Conf!$B:$C,2,0),E458)</f>
        <v>6</v>
      </c>
      <c r="B458" s="72" t="str">
        <f ca="1">IF(D458="Inativo","Inativo",IFERROR(VLOOKUP($G458,Conf!$O:$Q,2,0),VLOOKUP($S458,Conf!$K:$M,2,0)))</f>
        <v>ADMINISTRATIVO</v>
      </c>
      <c r="C458" s="72" t="str">
        <f ca="1">IF(D458="Inativo","Inativo",IFERROR(VLOOKUP($G458,Conf!$O:$Q,3,0),IFERROR(VLOOKUP($G458,Conf!$E:$F,2,0),VLOOKUP($S458,Conf!$K:$M,3,0))))</f>
        <v>APRENDIZ</v>
      </c>
      <c r="D458" s="72" t="str">
        <f ca="1">IFERROR(IF(TODAY()-K458&gt;365,"Inativo",IF(J458=2,"Férias",IF(J458=7,"Demitido","Afastamento"))),VLOOKUP(J458,Conf!$H:$I,2,0))</f>
        <v>Ativos</v>
      </c>
      <c r="E458" s="187">
        <v>6</v>
      </c>
      <c r="F458" s="187">
        <v>2392</v>
      </c>
      <c r="G458" t="s">
        <v>729</v>
      </c>
      <c r="H458" s="71"/>
      <c r="I458" t="s">
        <v>568</v>
      </c>
      <c r="J458" s="187">
        <v>1</v>
      </c>
      <c r="K458" t="s">
        <v>1385</v>
      </c>
      <c r="L458" s="185"/>
      <c r="M458" s="188">
        <v>46077</v>
      </c>
      <c r="N458" s="71"/>
      <c r="Q458" s="71"/>
      <c r="R458" s="71"/>
      <c r="S458" t="s">
        <v>337</v>
      </c>
      <c r="T458" s="71"/>
    </row>
    <row r="459" spans="1:20" x14ac:dyDescent="0.3">
      <c r="A459" s="72">
        <f>IFERROR(VLOOKUP($G459,Conf!$B:$C,2,0),E459)</f>
        <v>6</v>
      </c>
      <c r="B459" s="72" t="str">
        <f ca="1">IF(D459="Inativo","Inativo",IFERROR(VLOOKUP($G459,Conf!$O:$Q,2,0),VLOOKUP($S459,Conf!$K:$M,2,0)))</f>
        <v>ADMINISTRATIVO</v>
      </c>
      <c r="C459" s="72" t="str">
        <f ca="1">IF(D459="Inativo","Inativo",IFERROR(VLOOKUP($G459,Conf!$O:$Q,3,0),IFERROR(VLOOKUP($G459,Conf!$E:$F,2,0),VLOOKUP($S459,Conf!$K:$M,3,0))))</f>
        <v>APRENDIZ</v>
      </c>
      <c r="D459" s="72" t="str">
        <f ca="1">IFERROR(IF(TODAY()-K459&gt;365,"Inativo",IF(J459=2,"Férias",IF(J459=7,"Demitido","Afastamento"))),VLOOKUP(J459,Conf!$H:$I,2,0))</f>
        <v>Ativos</v>
      </c>
      <c r="E459" s="187">
        <v>6</v>
      </c>
      <c r="F459" s="187">
        <v>2391</v>
      </c>
      <c r="G459" t="s">
        <v>730</v>
      </c>
      <c r="H459" s="71"/>
      <c r="I459" t="s">
        <v>568</v>
      </c>
      <c r="J459" s="187">
        <v>1</v>
      </c>
      <c r="K459" t="s">
        <v>1385</v>
      </c>
      <c r="L459" s="185"/>
      <c r="M459" s="188">
        <v>46077</v>
      </c>
      <c r="N459" s="71"/>
      <c r="Q459" s="71"/>
      <c r="R459" s="71"/>
      <c r="S459" t="s">
        <v>337</v>
      </c>
      <c r="T459" s="71"/>
    </row>
    <row r="460" spans="1:20" x14ac:dyDescent="0.3">
      <c r="A460" s="72">
        <f>IFERROR(VLOOKUP($G460,Conf!$B:$C,2,0),E460)</f>
        <v>6</v>
      </c>
      <c r="B460" s="72" t="str">
        <f ca="1">IF(D460="Inativo","Inativo",IFERROR(VLOOKUP($G460,Conf!$O:$Q,2,0),VLOOKUP($S460,Conf!$K:$M,2,0)))</f>
        <v>ADMINISTRATIVO</v>
      </c>
      <c r="C460" s="72" t="str">
        <f ca="1">IF(D460="Inativo","Inativo",IFERROR(VLOOKUP($G460,Conf!$O:$Q,3,0),IFERROR(VLOOKUP($G460,Conf!$E:$F,2,0),VLOOKUP($S460,Conf!$K:$M,3,0))))</f>
        <v>APRENDIZ</v>
      </c>
      <c r="D460" s="72" t="str">
        <f ca="1">IFERROR(IF(TODAY()-K460&gt;365,"Inativo",IF(J460=2,"Férias",IF(J460=7,"Demitido","Afastamento"))),VLOOKUP(J460,Conf!$H:$I,2,0))</f>
        <v>Demitido</v>
      </c>
      <c r="E460" s="187">
        <v>6</v>
      </c>
      <c r="F460" s="187">
        <v>2389</v>
      </c>
      <c r="G460" t="s">
        <v>731</v>
      </c>
      <c r="H460" s="71"/>
      <c r="I460" t="s">
        <v>568</v>
      </c>
      <c r="J460" s="187">
        <v>7</v>
      </c>
      <c r="K460" t="s">
        <v>1602</v>
      </c>
      <c r="L460" s="185"/>
      <c r="M460" s="188">
        <v>46077</v>
      </c>
      <c r="N460" s="71"/>
      <c r="Q460" s="71"/>
      <c r="R460" s="71"/>
      <c r="S460" t="s">
        <v>337</v>
      </c>
      <c r="T460" s="71"/>
    </row>
    <row r="461" spans="1:20" x14ac:dyDescent="0.3">
      <c r="A461" s="72">
        <f>IFERROR(VLOOKUP($G461,Conf!$B:$C,2,0),E461)</f>
        <v>6</v>
      </c>
      <c r="B461" s="72" t="str">
        <f ca="1">IF(D461="Inativo","Inativo",IFERROR(VLOOKUP($G461,Conf!$O:$Q,2,0),VLOOKUP($S461,Conf!$K:$M,2,0)))</f>
        <v>ADMINISTRATIVO</v>
      </c>
      <c r="C461" s="72" t="str">
        <f ca="1">IF(D461="Inativo","Inativo",IFERROR(VLOOKUP($G461,Conf!$O:$Q,3,0),IFERROR(VLOOKUP($G461,Conf!$E:$F,2,0),VLOOKUP($S461,Conf!$K:$M,3,0))))</f>
        <v>CONTROLADORIA</v>
      </c>
      <c r="D461" s="72" t="str">
        <f ca="1">IFERROR(IF(TODAY()-K461&gt;365,"Inativo",IF(J461=2,"Férias",IF(J461=7,"Demitido","Afastamento"))),VLOOKUP(J461,Conf!$H:$I,2,0))</f>
        <v>Ativos</v>
      </c>
      <c r="E461" s="187">
        <v>6</v>
      </c>
      <c r="F461" s="187">
        <v>2164</v>
      </c>
      <c r="G461" t="s">
        <v>688</v>
      </c>
      <c r="H461" s="71"/>
      <c r="I461" t="s">
        <v>401</v>
      </c>
      <c r="J461" s="187">
        <v>1</v>
      </c>
      <c r="K461" t="s">
        <v>1385</v>
      </c>
      <c r="L461" s="185"/>
      <c r="M461" s="188">
        <v>45590</v>
      </c>
      <c r="N461" s="71"/>
      <c r="Q461" s="71"/>
      <c r="R461" s="71"/>
      <c r="S461" t="s">
        <v>256</v>
      </c>
      <c r="T461" s="71"/>
    </row>
    <row r="462" spans="1:20" x14ac:dyDescent="0.3">
      <c r="A462" s="72">
        <f>IFERROR(VLOOKUP($G462,Conf!$B:$C,2,0),E462)</f>
        <v>6</v>
      </c>
      <c r="B462" s="72" t="str">
        <f ca="1">IF(D462="Inativo","Inativo",IFERROR(VLOOKUP($G462,Conf!$O:$Q,2,0),VLOOKUP($S462,Conf!$K:$M,2,0)))</f>
        <v>ADMINISTRATIVO</v>
      </c>
      <c r="C462" s="72" t="str">
        <f ca="1">IF(D462="Inativo","Inativo",IFERROR(VLOOKUP($G462,Conf!$O:$Q,3,0),IFERROR(VLOOKUP($G462,Conf!$E:$F,2,0),VLOOKUP($S462,Conf!$K:$M,3,0))))</f>
        <v>LIMPEZA</v>
      </c>
      <c r="D462" s="72" t="str">
        <f ca="1">IFERROR(IF(TODAY()-K462&gt;365,"Inativo",IF(J462=2,"Férias",IF(J462=7,"Demitido","Afastamento"))),VLOOKUP(J462,Conf!$H:$I,2,0))</f>
        <v>Ativos</v>
      </c>
      <c r="E462" s="187">
        <v>6</v>
      </c>
      <c r="F462" s="187">
        <v>20</v>
      </c>
      <c r="G462" t="s">
        <v>1391</v>
      </c>
      <c r="H462" s="71"/>
      <c r="I462" t="s">
        <v>303</v>
      </c>
      <c r="J462" s="187">
        <v>1</v>
      </c>
      <c r="K462" t="s">
        <v>1385</v>
      </c>
      <c r="L462" s="185"/>
      <c r="M462" s="188">
        <v>46204</v>
      </c>
      <c r="N462" s="71"/>
      <c r="Q462" s="71"/>
      <c r="R462" s="71"/>
      <c r="S462" t="s">
        <v>1392</v>
      </c>
      <c r="T462" s="71"/>
    </row>
    <row r="463" spans="1:20" x14ac:dyDescent="0.3">
      <c r="A463" s="72">
        <f>IFERROR(VLOOKUP($G463,Conf!$B:$C,2,0),E463)</f>
        <v>6</v>
      </c>
      <c r="B463" s="72" t="str">
        <f ca="1">IF(D463="Inativo","Inativo",IFERROR(VLOOKUP($G463,Conf!$O:$Q,2,0),VLOOKUP($S463,Conf!$K:$M,2,0)))</f>
        <v>ADMINISTRATIVO</v>
      </c>
      <c r="C463" s="72" t="str">
        <f ca="1">IF(D463="Inativo","Inativo",IFERROR(VLOOKUP($G463,Conf!$O:$Q,3,0),IFERROR(VLOOKUP($G463,Conf!$E:$F,2,0),VLOOKUP($S463,Conf!$K:$M,3,0))))</f>
        <v>LIMPEZA</v>
      </c>
      <c r="D463" s="72" t="str">
        <f ca="1">IFERROR(IF(TODAY()-K463&gt;365,"Inativo",IF(J463=2,"Férias",IF(J463=7,"Demitido","Afastamento"))),VLOOKUP(J463,Conf!$H:$I,2,0))</f>
        <v>Ativos</v>
      </c>
      <c r="E463" s="187">
        <v>6</v>
      </c>
      <c r="F463" s="187">
        <v>1916</v>
      </c>
      <c r="G463" t="s">
        <v>725</v>
      </c>
      <c r="H463" s="71"/>
      <c r="I463" t="s">
        <v>511</v>
      </c>
      <c r="J463" s="187">
        <v>1</v>
      </c>
      <c r="K463" t="s">
        <v>1385</v>
      </c>
      <c r="L463" s="185"/>
      <c r="M463" s="188">
        <v>44824</v>
      </c>
      <c r="N463" s="71"/>
      <c r="Q463" s="71"/>
      <c r="R463" s="71"/>
      <c r="S463" t="s">
        <v>330</v>
      </c>
      <c r="T463" s="71"/>
    </row>
    <row r="464" spans="1:20" x14ac:dyDescent="0.3">
      <c r="A464" s="72">
        <f>IFERROR(VLOOKUP($G464,Conf!$B:$C,2,0),E464)</f>
        <v>6</v>
      </c>
      <c r="B464" s="72" t="str">
        <f ca="1">IF(D464="Inativo","Inativo",IFERROR(VLOOKUP($G464,Conf!$O:$Q,2,0),VLOOKUP($S464,Conf!$K:$M,2,0)))</f>
        <v>ADMINISTRATIVO</v>
      </c>
      <c r="C464" s="72" t="str">
        <f ca="1">IF(D464="Inativo","Inativo",IFERROR(VLOOKUP($G464,Conf!$O:$Q,3,0),IFERROR(VLOOKUP($G464,Conf!$E:$F,2,0),VLOOKUP($S464,Conf!$K:$M,3,0))))</f>
        <v>LIMPEZA</v>
      </c>
      <c r="D464" s="72" t="str">
        <f ca="1">IFERROR(IF(TODAY()-K464&gt;365,"Inativo",IF(J464=2,"Férias",IF(J464=7,"Demitido","Afastamento"))),VLOOKUP(J464,Conf!$H:$I,2,0))</f>
        <v>Ativos</v>
      </c>
      <c r="E464" s="187">
        <v>6</v>
      </c>
      <c r="F464" s="187">
        <v>1606</v>
      </c>
      <c r="G464" t="s">
        <v>726</v>
      </c>
      <c r="H464" s="71"/>
      <c r="I464" t="s">
        <v>409</v>
      </c>
      <c r="J464" s="187">
        <v>1</v>
      </c>
      <c r="K464" t="s">
        <v>1385</v>
      </c>
      <c r="L464" s="185"/>
      <c r="M464" s="188">
        <v>44088</v>
      </c>
      <c r="N464" s="71"/>
      <c r="Q464" s="71"/>
      <c r="R464" s="71"/>
      <c r="S464" t="s">
        <v>330</v>
      </c>
      <c r="T464" s="71"/>
    </row>
    <row r="465" spans="1:20" x14ac:dyDescent="0.3">
      <c r="A465" s="72">
        <f>IFERROR(VLOOKUP($G465,Conf!$B:$C,2,0),E465)</f>
        <v>6</v>
      </c>
      <c r="B465" s="72" t="str">
        <f ca="1">IF(D465="Inativo","Inativo",IFERROR(VLOOKUP($G465,Conf!$O:$Q,2,0),VLOOKUP($S465,Conf!$K:$M,2,0)))</f>
        <v>CONFEITARIA</v>
      </c>
      <c r="C465" s="72" t="str">
        <f ca="1">IF(D465="Inativo","Inativo",IFERROR(VLOOKUP($G465,Conf!$O:$Q,3,0),IFERROR(VLOOKUP($G465,Conf!$E:$F,2,0),VLOOKUP($S465,Conf!$K:$M,3,0))))</f>
        <v>CONFEITEIRO(A)</v>
      </c>
      <c r="D465" s="72" t="str">
        <f ca="1">IFERROR(IF(TODAY()-K465&gt;365,"Inativo",IF(J465=2,"Férias",IF(J465=7,"Demitido","Afastamento"))),VLOOKUP(J465,Conf!$H:$I,2,0))</f>
        <v>Ativos</v>
      </c>
      <c r="E465" s="187">
        <v>6</v>
      </c>
      <c r="F465" s="187">
        <v>14</v>
      </c>
      <c r="G465" t="s">
        <v>682</v>
      </c>
      <c r="H465" s="71"/>
      <c r="I465" t="s">
        <v>396</v>
      </c>
      <c r="J465" s="187">
        <v>1</v>
      </c>
      <c r="K465" t="s">
        <v>1385</v>
      </c>
      <c r="L465" s="185"/>
      <c r="M465" s="188">
        <v>46174</v>
      </c>
      <c r="N465" s="71"/>
      <c r="O465" s="71"/>
      <c r="P465" s="71"/>
      <c r="Q465" s="71"/>
      <c r="R465" s="71"/>
      <c r="S465" t="s">
        <v>683</v>
      </c>
    </row>
    <row r="466" spans="1:20" x14ac:dyDescent="0.3">
      <c r="A466" s="72">
        <f>IFERROR(VLOOKUP($G466,Conf!$B:$C,2,0),E466)</f>
        <v>6</v>
      </c>
      <c r="B466" s="72" t="str">
        <f ca="1">IF(D466="Inativo","Inativo",IFERROR(VLOOKUP($G466,Conf!$O:$Q,2,0),VLOOKUP($S466,Conf!$K:$M,2,0)))</f>
        <v>CONFEITARIA</v>
      </c>
      <c r="C466" s="72" t="str">
        <f ca="1">IF(D466="Inativo","Inativo",IFERROR(VLOOKUP($G466,Conf!$O:$Q,3,0),IFERROR(VLOOKUP($G466,Conf!$E:$F,2,0),VLOOKUP($S466,Conf!$K:$M,3,0))))</f>
        <v>CONFEITEIRO(A)</v>
      </c>
      <c r="D466" s="72" t="str">
        <f ca="1">IFERROR(IF(TODAY()-K466&gt;365,"Inativo",IF(J466=2,"Férias",IF(J466=7,"Demitido","Afastamento"))),VLOOKUP(J466,Conf!$H:$I,2,0))</f>
        <v>Ativos</v>
      </c>
      <c r="E466" s="187">
        <v>6</v>
      </c>
      <c r="F466" s="187">
        <v>2105</v>
      </c>
      <c r="G466" t="s">
        <v>684</v>
      </c>
      <c r="H466" s="71"/>
      <c r="I466" t="s">
        <v>680</v>
      </c>
      <c r="J466" s="187">
        <v>1</v>
      </c>
      <c r="K466" t="s">
        <v>1385</v>
      </c>
      <c r="L466" s="185"/>
      <c r="M466" s="188">
        <v>45483</v>
      </c>
      <c r="N466" s="71"/>
      <c r="Q466" s="71"/>
      <c r="R466" s="71"/>
      <c r="S466" t="s">
        <v>245</v>
      </c>
      <c r="T466" s="71"/>
    </row>
    <row r="467" spans="1:20" x14ac:dyDescent="0.3">
      <c r="A467" s="72">
        <f>IFERROR(VLOOKUP($G467,Conf!$B:$C,2,0),E467)</f>
        <v>6</v>
      </c>
      <c r="B467" s="72" t="str">
        <f ca="1">IF(D467="Inativo","Inativo",IFERROR(VLOOKUP($G467,Conf!$O:$Q,2,0),VLOOKUP($S467,Conf!$K:$M,2,0)))</f>
        <v>DEPOSITO</v>
      </c>
      <c r="C467" s="72" t="str">
        <f ca="1">IF(D467="Inativo","Inativo",IFERROR(VLOOKUP($G467,Conf!$O:$Q,3,0),IFERROR(VLOOKUP($G467,Conf!$E:$F,2,0),VLOOKUP($S467,Conf!$K:$M,3,0))))</f>
        <v>CONFERENTE</v>
      </c>
      <c r="D467" s="72" t="str">
        <f ca="1">IFERROR(IF(TODAY()-K467&gt;365,"Inativo",IF(J467=2,"Férias",IF(J467=7,"Demitido","Afastamento"))),VLOOKUP(J467,Conf!$H:$I,2,0))</f>
        <v>Ativos</v>
      </c>
      <c r="E467" s="187">
        <v>6</v>
      </c>
      <c r="F467" s="187">
        <v>2072</v>
      </c>
      <c r="G467" t="s">
        <v>685</v>
      </c>
      <c r="H467" s="71"/>
      <c r="I467" t="s">
        <v>401</v>
      </c>
      <c r="J467" s="187">
        <v>1</v>
      </c>
      <c r="K467" t="s">
        <v>1385</v>
      </c>
      <c r="L467" s="185"/>
      <c r="M467" s="188">
        <v>45406</v>
      </c>
      <c r="N467" s="71"/>
      <c r="Q467" s="71"/>
      <c r="R467" s="71"/>
      <c r="S467" t="s">
        <v>251</v>
      </c>
      <c r="T467" s="71"/>
    </row>
    <row r="468" spans="1:20" x14ac:dyDescent="0.3">
      <c r="A468" s="72">
        <f>IFERROR(VLOOKUP($G468,Conf!$B:$C,2,0),E468)</f>
        <v>6</v>
      </c>
      <c r="B468" s="72" t="str">
        <f ca="1">IF(D468="Inativo","Inativo",IFERROR(VLOOKUP($G468,Conf!$O:$Q,2,0),VLOOKUP($S468,Conf!$K:$M,2,0)))</f>
        <v>DEPOSITO</v>
      </c>
      <c r="C468" s="72" t="str">
        <f ca="1">IF(D468="Inativo","Inativo",IFERROR(VLOOKUP($G468,Conf!$O:$Q,3,0),IFERROR(VLOOKUP($G468,Conf!$E:$F,2,0),VLOOKUP($S468,Conf!$K:$M,3,0))))</f>
        <v>CONFERENTE</v>
      </c>
      <c r="D468" s="72" t="str">
        <f ca="1">IFERROR(IF(TODAY()-K468&gt;365,"Inativo",IF(J468=2,"Férias",IF(J468=7,"Demitido","Afastamento"))),VLOOKUP(J468,Conf!$H:$I,2,0))</f>
        <v>Ativos</v>
      </c>
      <c r="E468" s="187">
        <v>6</v>
      </c>
      <c r="F468" s="187">
        <v>1085</v>
      </c>
      <c r="G468" t="s">
        <v>686</v>
      </c>
      <c r="H468" s="71"/>
      <c r="I468" t="s">
        <v>401</v>
      </c>
      <c r="J468" s="187">
        <v>1</v>
      </c>
      <c r="K468" t="s">
        <v>1385</v>
      </c>
      <c r="L468" s="185"/>
      <c r="M468" s="188">
        <v>42109</v>
      </c>
      <c r="N468" s="71"/>
      <c r="Q468" s="71"/>
      <c r="R468" s="71"/>
      <c r="S468" t="s">
        <v>251</v>
      </c>
      <c r="T468" s="71"/>
    </row>
    <row r="469" spans="1:20" x14ac:dyDescent="0.3">
      <c r="A469" s="72">
        <f>IFERROR(VLOOKUP($G469,Conf!$B:$C,2,0),E469)</f>
        <v>6</v>
      </c>
      <c r="B469" s="72" t="str">
        <f ca="1">IF(D469="Inativo","Inativo",IFERROR(VLOOKUP($G469,Conf!$O:$Q,2,0),VLOOKUP($S469,Conf!$K:$M,2,0)))</f>
        <v>DEPOSITO</v>
      </c>
      <c r="C469" s="72" t="str">
        <f ca="1">IF(D469="Inativo","Inativo",IFERROR(VLOOKUP($G469,Conf!$O:$Q,3,0),IFERROR(VLOOKUP($G469,Conf!$E:$F,2,0),VLOOKUP($S469,Conf!$K:$M,3,0))))</f>
        <v>ENCARREGADO</v>
      </c>
      <c r="D469" s="72" t="str">
        <f ca="1">IFERROR(IF(TODAY()-K469&gt;365,"Inativo",IF(J469=2,"Férias",IF(J469=7,"Demitido","Afastamento"))),VLOOKUP(J469,Conf!$H:$I,2,0))</f>
        <v>Ativos</v>
      </c>
      <c r="E469" s="187">
        <v>6</v>
      </c>
      <c r="F469" s="187">
        <v>12</v>
      </c>
      <c r="G469" t="s">
        <v>687</v>
      </c>
      <c r="H469" s="71"/>
      <c r="I469" t="s">
        <v>1298</v>
      </c>
      <c r="J469" s="187">
        <v>1</v>
      </c>
      <c r="K469" t="s">
        <v>1385</v>
      </c>
      <c r="L469" s="185"/>
      <c r="M469" s="188">
        <v>46153</v>
      </c>
      <c r="N469" s="71"/>
      <c r="Q469" s="71"/>
      <c r="R469" s="71"/>
      <c r="S469" t="s">
        <v>1299</v>
      </c>
      <c r="T469" s="71"/>
    </row>
    <row r="470" spans="1:20" x14ac:dyDescent="0.3">
      <c r="A470" s="72">
        <f>IFERROR(VLOOKUP($G470,Conf!$B:$C,2,0),E470)</f>
        <v>6</v>
      </c>
      <c r="B470" s="72" t="str">
        <f ca="1">IF(D470="Inativo","Inativo",IFERROR(VLOOKUP($G470,Conf!$O:$Q,2,0),VLOOKUP($S470,Conf!$K:$M,2,0)))</f>
        <v>FRENTE DE CAIXA</v>
      </c>
      <c r="C470" s="72" t="str">
        <f ca="1">IF(D470="Inativo","Inativo",IFERROR(VLOOKUP($G470,Conf!$O:$Q,3,0),IFERROR(VLOOKUP($G470,Conf!$E:$F,2,0),VLOOKUP($S470,Conf!$K:$M,3,0))))</f>
        <v>E-COMMERCE</v>
      </c>
      <c r="D470" s="72" t="str">
        <f ca="1">IFERROR(IF(TODAY()-K470&gt;365,"Inativo",IF(J470=2,"Férias",IF(J470=7,"Demitido","Afastamento"))),VLOOKUP(J470,Conf!$H:$I,2,0))</f>
        <v>Ativos</v>
      </c>
      <c r="E470" s="187">
        <v>6</v>
      </c>
      <c r="F470" s="187">
        <v>2313</v>
      </c>
      <c r="G470" t="s">
        <v>734</v>
      </c>
      <c r="H470" s="71"/>
      <c r="I470" t="s">
        <v>220</v>
      </c>
      <c r="J470" s="187">
        <v>1</v>
      </c>
      <c r="K470" t="s">
        <v>1385</v>
      </c>
      <c r="L470" s="185"/>
      <c r="M470" s="188">
        <v>45905</v>
      </c>
      <c r="N470" s="71"/>
      <c r="O470" s="71"/>
      <c r="P470" s="71"/>
      <c r="Q470" s="71"/>
      <c r="R470" s="71"/>
      <c r="S470" t="s">
        <v>735</v>
      </c>
      <c r="T470" s="71"/>
    </row>
    <row r="471" spans="1:20" x14ac:dyDescent="0.3">
      <c r="A471" s="72">
        <f>IFERROR(VLOOKUP($G471,Conf!$B:$C,2,0),E471)</f>
        <v>6</v>
      </c>
      <c r="B471" s="72" t="str">
        <f ca="1">IF(D471="Inativo","Inativo",IFERROR(VLOOKUP($G471,Conf!$O:$Q,2,0),VLOOKUP($S471,Conf!$K:$M,2,0)))</f>
        <v>FRENTE DE CAIXA</v>
      </c>
      <c r="C471" s="72" t="str">
        <f ca="1">IF(D471="Inativo","Inativo",IFERROR(VLOOKUP($G471,Conf!$O:$Q,3,0),IFERROR(VLOOKUP($G471,Conf!$E:$F,2,0),VLOOKUP($S471,Conf!$K:$M,3,0))))</f>
        <v>EMPACOTADOR</v>
      </c>
      <c r="D471" s="72" t="str">
        <f ca="1">IFERROR(IF(TODAY()-K471&gt;365,"Inativo",IF(J471=2,"Férias",IF(J471=7,"Demitido","Afastamento"))),VLOOKUP(J471,Conf!$H:$I,2,0))</f>
        <v>Ativos</v>
      </c>
      <c r="E471" s="187">
        <v>6</v>
      </c>
      <c r="F471" s="187">
        <v>1760</v>
      </c>
      <c r="G471" t="s">
        <v>690</v>
      </c>
      <c r="H471" s="71"/>
      <c r="I471" t="s">
        <v>488</v>
      </c>
      <c r="J471" s="187">
        <v>1</v>
      </c>
      <c r="K471" t="s">
        <v>1385</v>
      </c>
      <c r="L471" s="185"/>
      <c r="M471" s="188">
        <v>44511</v>
      </c>
      <c r="N471" s="71"/>
      <c r="O471" s="71"/>
      <c r="P471" s="71"/>
      <c r="Q471" s="71"/>
      <c r="R471" s="71"/>
      <c r="S471" t="s">
        <v>266</v>
      </c>
      <c r="T471" s="71"/>
    </row>
    <row r="472" spans="1:20" x14ac:dyDescent="0.3">
      <c r="A472" s="72">
        <f>IFERROR(VLOOKUP($G472,Conf!$B:$C,2,0),E472)</f>
        <v>6</v>
      </c>
      <c r="B472" s="72" t="str">
        <f ca="1">IF(D472="Inativo","Inativo",IFERROR(VLOOKUP($G472,Conf!$O:$Q,2,0),VLOOKUP($S472,Conf!$K:$M,2,0)))</f>
        <v>FRENTE DE CAIXA</v>
      </c>
      <c r="C472" s="72" t="str">
        <f ca="1">IF(D472="Inativo","Inativo",IFERROR(VLOOKUP($G472,Conf!$O:$Q,3,0),IFERROR(VLOOKUP($G472,Conf!$E:$F,2,0),VLOOKUP($S472,Conf!$K:$M,3,0))))</f>
        <v>ENCARREGADO</v>
      </c>
      <c r="D472" s="72" t="str">
        <f ca="1">IFERROR(IF(TODAY()-K472&gt;365,"Inativo",IF(J472=2,"Férias",IF(J472=7,"Demitido","Afastamento"))),VLOOKUP(J472,Conf!$H:$I,2,0))</f>
        <v>Ativos</v>
      </c>
      <c r="E472" s="187">
        <v>6</v>
      </c>
      <c r="F472" s="187">
        <v>918</v>
      </c>
      <c r="G472" t="s">
        <v>691</v>
      </c>
      <c r="H472" s="71"/>
      <c r="I472" t="s">
        <v>466</v>
      </c>
      <c r="J472" s="187">
        <v>1</v>
      </c>
      <c r="K472" t="s">
        <v>1385</v>
      </c>
      <c r="L472" s="185"/>
      <c r="M472" s="188">
        <v>41771</v>
      </c>
      <c r="N472" s="71"/>
      <c r="O472" s="71"/>
      <c r="P472" s="71"/>
      <c r="Q472" s="71"/>
      <c r="R472" s="71"/>
      <c r="S472" t="s">
        <v>274</v>
      </c>
      <c r="T472" s="71"/>
    </row>
    <row r="473" spans="1:20" x14ac:dyDescent="0.3">
      <c r="A473" s="72">
        <f>IFERROR(VLOOKUP($G473,Conf!$B:$C,2,0),E473)</f>
        <v>6</v>
      </c>
      <c r="B473" s="72" t="str">
        <f ca="1">IF(D473="Inativo","Inativo",IFERROR(VLOOKUP($G473,Conf!$O:$Q,2,0),VLOOKUP($S473,Conf!$K:$M,2,0)))</f>
        <v>FRENTE DE CAIXA</v>
      </c>
      <c r="C473" s="72" t="str">
        <f ca="1">IF(D473="Inativo","Inativo",IFERROR(VLOOKUP($G473,Conf!$O:$Q,3,0),IFERROR(VLOOKUP($G473,Conf!$E:$F,2,0),VLOOKUP($S473,Conf!$K:$M,3,0))))</f>
        <v>ENTREGADOR</v>
      </c>
      <c r="D473" s="72" t="str">
        <f ca="1">IFERROR(IF(TODAY()-K473&gt;365,"Inativo",IF(J473=2,"Férias",IF(J473=7,"Demitido","Afastamento"))),VLOOKUP(J473,Conf!$H:$I,2,0))</f>
        <v>Ativos</v>
      </c>
      <c r="E473" s="187">
        <v>6</v>
      </c>
      <c r="F473" s="187">
        <v>1554</v>
      </c>
      <c r="G473" t="s">
        <v>689</v>
      </c>
      <c r="H473" s="71"/>
      <c r="I473" t="s">
        <v>488</v>
      </c>
      <c r="J473" s="187">
        <v>1</v>
      </c>
      <c r="K473" t="s">
        <v>1385</v>
      </c>
      <c r="L473" s="185"/>
      <c r="M473" s="188">
        <v>43801</v>
      </c>
      <c r="N473" s="71"/>
      <c r="Q473" s="71"/>
      <c r="R473" s="71"/>
      <c r="S473" t="s">
        <v>263</v>
      </c>
      <c r="T473" s="71"/>
    </row>
    <row r="474" spans="1:20" x14ac:dyDescent="0.3">
      <c r="A474" s="72">
        <f>IFERROR(VLOOKUP($G474,Conf!$B:$C,2,0),E474)</f>
        <v>6</v>
      </c>
      <c r="B474" s="72" t="str">
        <f ca="1">IF(D474="Inativo","Inativo",IFERROR(VLOOKUP($G474,Conf!$O:$Q,2,0),VLOOKUP($S474,Conf!$K:$M,2,0)))</f>
        <v>FRENTE DE CAIXA</v>
      </c>
      <c r="C474" s="72" t="str">
        <f ca="1">IF(D474="Inativo","Inativo",IFERROR(VLOOKUP($G474,Conf!$O:$Q,3,0),IFERROR(VLOOKUP($G474,Conf!$E:$F,2,0),VLOOKUP($S474,Conf!$K:$M,3,0))))</f>
        <v>ESTACIONAMENTO</v>
      </c>
      <c r="D474" s="72" t="str">
        <f ca="1">IFERROR(IF(TODAY()-K474&gt;365,"Inativo",IF(J474=2,"Férias",IF(J474=7,"Demitido","Afastamento"))),VLOOKUP(J474,Conf!$H:$I,2,0))</f>
        <v>Ativos</v>
      </c>
      <c r="E474" s="187">
        <v>6</v>
      </c>
      <c r="F474" s="187">
        <v>2227</v>
      </c>
      <c r="G474" t="s">
        <v>767</v>
      </c>
      <c r="H474" s="71"/>
      <c r="I474" t="s">
        <v>220</v>
      </c>
      <c r="J474" s="187">
        <v>1</v>
      </c>
      <c r="K474" t="s">
        <v>1385</v>
      </c>
      <c r="L474" s="185"/>
      <c r="M474" s="188">
        <v>45719</v>
      </c>
      <c r="N474" s="71"/>
      <c r="O474" s="71"/>
      <c r="P474" s="71"/>
      <c r="Q474" s="71"/>
      <c r="R474" s="71"/>
      <c r="S474" t="s">
        <v>672</v>
      </c>
      <c r="T474" s="71"/>
    </row>
    <row r="475" spans="1:20" x14ac:dyDescent="0.3">
      <c r="A475" s="72">
        <f>IFERROR(VLOOKUP($G475,Conf!$B:$C,2,0),E475)</f>
        <v>6</v>
      </c>
      <c r="B475" s="72" t="str">
        <f ca="1">IF(D475="Inativo","Inativo",IFERROR(VLOOKUP($G475,Conf!$O:$Q,2,0),VLOOKUP($S475,Conf!$K:$M,2,0)))</f>
        <v>FRENTE DE CAIXA</v>
      </c>
      <c r="C475" s="72" t="str">
        <f ca="1">IF(D475="Inativo","Inativo",IFERROR(VLOOKUP($G475,Conf!$O:$Q,3,0),IFERROR(VLOOKUP($G475,Conf!$E:$F,2,0),VLOOKUP($S475,Conf!$K:$M,3,0))))</f>
        <v>ESTACIONAMENTO</v>
      </c>
      <c r="D475" s="72" t="str">
        <f ca="1">IFERROR(IF(TODAY()-K475&gt;365,"Inativo",IF(J475=2,"Férias",IF(J475=7,"Demitido","Afastamento"))),VLOOKUP(J475,Conf!$H:$I,2,0))</f>
        <v>Ativos</v>
      </c>
      <c r="E475" s="187">
        <v>6</v>
      </c>
      <c r="F475" s="187">
        <v>2327</v>
      </c>
      <c r="G475" t="s">
        <v>768</v>
      </c>
      <c r="H475" s="71"/>
      <c r="I475" t="s">
        <v>220</v>
      </c>
      <c r="J475" s="187">
        <v>1</v>
      </c>
      <c r="K475" t="s">
        <v>1385</v>
      </c>
      <c r="L475" s="185"/>
      <c r="M475" s="188">
        <v>45954</v>
      </c>
      <c r="N475" s="71"/>
      <c r="O475" s="71"/>
      <c r="P475" s="71"/>
      <c r="Q475" s="71"/>
      <c r="R475" s="71"/>
      <c r="S475" t="s">
        <v>672</v>
      </c>
      <c r="T475" s="71"/>
    </row>
    <row r="476" spans="1:20" x14ac:dyDescent="0.3">
      <c r="A476" s="72">
        <f>IFERROR(VLOOKUP($G476,Conf!$B:$C,2,0),E476)</f>
        <v>6</v>
      </c>
      <c r="B476" s="72" t="str">
        <f ca="1">IF(D476="Inativo","Inativo",IFERROR(VLOOKUP($G476,Conf!$O:$Q,2,0),VLOOKUP($S476,Conf!$K:$M,2,0)))</f>
        <v>FRENTE DE CAIXA</v>
      </c>
      <c r="C476" s="72" t="str">
        <f ca="1">IF(D476="Inativo","Inativo",IFERROR(VLOOKUP($G476,Conf!$O:$Q,3,0),IFERROR(VLOOKUP($G476,Conf!$E:$F,2,0),VLOOKUP($S476,Conf!$K:$M,3,0))))</f>
        <v>ESTACIONAMENTO</v>
      </c>
      <c r="D476" s="72" t="str">
        <f ca="1">IFERROR(IF(TODAY()-K476&gt;365,"Inativo",IF(J476=2,"Férias",IF(J476=7,"Demitido","Afastamento"))),VLOOKUP(J476,Conf!$H:$I,2,0))</f>
        <v>Ativos</v>
      </c>
      <c r="E476" s="187">
        <v>6</v>
      </c>
      <c r="F476" s="187">
        <v>11</v>
      </c>
      <c r="G476" t="s">
        <v>769</v>
      </c>
      <c r="H476" s="71"/>
      <c r="I476" t="s">
        <v>220</v>
      </c>
      <c r="J476" s="187">
        <v>1</v>
      </c>
      <c r="K476" t="s">
        <v>1385</v>
      </c>
      <c r="L476" s="185"/>
      <c r="M476" s="188">
        <v>46146</v>
      </c>
      <c r="N476" s="71"/>
      <c r="Q476" s="71"/>
      <c r="R476" s="71"/>
      <c r="S476" t="s">
        <v>770</v>
      </c>
      <c r="T476" s="71"/>
    </row>
    <row r="477" spans="1:20" x14ac:dyDescent="0.3">
      <c r="A477" s="72">
        <f>IFERROR(VLOOKUP($G477,Conf!$B:$C,2,0),E477)</f>
        <v>6</v>
      </c>
      <c r="B477" s="72" t="str">
        <f ca="1">IF(D477="Inativo","Inativo",IFERROR(VLOOKUP($G477,Conf!$O:$Q,2,0),VLOOKUP($S477,Conf!$K:$M,2,0)))</f>
        <v>FRENTE DE CAIXA</v>
      </c>
      <c r="C477" s="72" t="str">
        <f ca="1">IF(D477="Inativo","Inativo",IFERROR(VLOOKUP($G477,Conf!$O:$Q,3,0),IFERROR(VLOOKUP($G477,Conf!$E:$F,2,0),VLOOKUP($S477,Conf!$K:$M,3,0))))</f>
        <v>FISCAL DE CAIXA</v>
      </c>
      <c r="D477" s="72" t="str">
        <f ca="1">IFERROR(IF(TODAY()-K477&gt;365,"Inativo",IF(J477=2,"Férias",IF(J477=7,"Demitido","Afastamento"))),VLOOKUP(J477,Conf!$H:$I,2,0))</f>
        <v>Ativos</v>
      </c>
      <c r="E477" s="187">
        <v>6</v>
      </c>
      <c r="F477" s="187">
        <v>2234</v>
      </c>
      <c r="G477" t="s">
        <v>692</v>
      </c>
      <c r="H477" s="71"/>
      <c r="I477" t="s">
        <v>220</v>
      </c>
      <c r="J477" s="187">
        <v>1</v>
      </c>
      <c r="K477" t="s">
        <v>1385</v>
      </c>
      <c r="L477" s="185"/>
      <c r="M477" s="188">
        <v>45726</v>
      </c>
      <c r="N477" s="71"/>
      <c r="Q477" s="71"/>
      <c r="R477" s="71"/>
      <c r="S477" t="s">
        <v>278</v>
      </c>
      <c r="T477" s="71"/>
    </row>
    <row r="478" spans="1:20" x14ac:dyDescent="0.3">
      <c r="A478" s="72">
        <f>IFERROR(VLOOKUP($G478,Conf!$B:$C,2,0),E478)</f>
        <v>6</v>
      </c>
      <c r="B478" s="72" t="str">
        <f ca="1">IF(D478="Inativo","Inativo",IFERROR(VLOOKUP($G478,Conf!$O:$Q,2,0),VLOOKUP($S478,Conf!$K:$M,2,0)))</f>
        <v>FRENTE DE CAIXA</v>
      </c>
      <c r="C478" s="72" t="str">
        <f ca="1">IF(D478="Inativo","Inativo",IFERROR(VLOOKUP($G478,Conf!$O:$Q,3,0),IFERROR(VLOOKUP($G478,Conf!$E:$F,2,0),VLOOKUP($S478,Conf!$K:$M,3,0))))</f>
        <v>FISCAL DE CAIXA</v>
      </c>
      <c r="D478" s="72" t="str">
        <f ca="1">IFERROR(IF(TODAY()-K478&gt;365,"Inativo",IF(J478=2,"Férias",IF(J478=7,"Demitido","Afastamento"))),VLOOKUP(J478,Conf!$H:$I,2,0))</f>
        <v>Férias</v>
      </c>
      <c r="E478" s="187">
        <v>6</v>
      </c>
      <c r="F478" s="187">
        <v>2252</v>
      </c>
      <c r="G478" t="s">
        <v>693</v>
      </c>
      <c r="H478" s="71"/>
      <c r="I478" t="s">
        <v>220</v>
      </c>
      <c r="J478" s="187">
        <v>2</v>
      </c>
      <c r="K478" t="s">
        <v>1629</v>
      </c>
      <c r="L478" s="185"/>
      <c r="M478" s="188">
        <v>45770</v>
      </c>
      <c r="N478" s="71"/>
      <c r="Q478" s="71"/>
      <c r="R478" s="71"/>
      <c r="S478" t="s">
        <v>278</v>
      </c>
      <c r="T478" s="71"/>
    </row>
    <row r="479" spans="1:20" x14ac:dyDescent="0.3">
      <c r="A479" s="72">
        <f>IFERROR(VLOOKUP($G479,Conf!$B:$C,2,0),E479)</f>
        <v>6</v>
      </c>
      <c r="B479" s="72" t="str">
        <f ca="1">IF(D479="Inativo","Inativo",IFERROR(VLOOKUP($G479,Conf!$O:$Q,2,0),VLOOKUP($S479,Conf!$K:$M,2,0)))</f>
        <v>FRENTE DE CAIXA</v>
      </c>
      <c r="C479" s="72" t="str">
        <f ca="1">IF(D479="Inativo","Inativo",IFERROR(VLOOKUP($G479,Conf!$O:$Q,3,0),IFERROR(VLOOKUP($G479,Conf!$E:$F,2,0),VLOOKUP($S479,Conf!$K:$M,3,0))))</f>
        <v>FISCAL DE CAIXA</v>
      </c>
      <c r="D479" s="72" t="str">
        <f ca="1">IFERROR(IF(TODAY()-K479&gt;365,"Inativo",IF(J479=2,"Férias",IF(J479=7,"Demitido","Afastamento"))),VLOOKUP(J479,Conf!$H:$I,2,0))</f>
        <v>Afastamento</v>
      </c>
      <c r="E479" s="187">
        <v>6</v>
      </c>
      <c r="F479" s="187">
        <v>1658</v>
      </c>
      <c r="G479" t="s">
        <v>694</v>
      </c>
      <c r="H479" s="71"/>
      <c r="I479" t="s">
        <v>319</v>
      </c>
      <c r="J479" s="187">
        <v>6</v>
      </c>
      <c r="K479" t="s">
        <v>1362</v>
      </c>
      <c r="L479" s="185"/>
      <c r="M479" s="188">
        <v>44216</v>
      </c>
      <c r="N479" s="71"/>
      <c r="Q479" s="71"/>
      <c r="R479" s="71"/>
      <c r="S479" t="s">
        <v>278</v>
      </c>
      <c r="T479" s="71"/>
    </row>
    <row r="480" spans="1:20" x14ac:dyDescent="0.3">
      <c r="A480" s="72">
        <f>IFERROR(VLOOKUP($G480,Conf!$B:$C,2,0),E480)</f>
        <v>6</v>
      </c>
      <c r="B480" s="72" t="str">
        <f ca="1">IF(D480="Inativo","Inativo",IFERROR(VLOOKUP($G480,Conf!$O:$Q,2,0),VLOOKUP($S480,Conf!$K:$M,2,0)))</f>
        <v>FRENTE DE CAIXA</v>
      </c>
      <c r="C480" s="72" t="str">
        <f ca="1">IF(D480="Inativo","Inativo",IFERROR(VLOOKUP($G480,Conf!$O:$Q,3,0),IFERROR(VLOOKUP($G480,Conf!$E:$F,2,0),VLOOKUP($S480,Conf!$K:$M,3,0))))</f>
        <v>FISCAL DE CAIXA</v>
      </c>
      <c r="D480" s="72" t="str">
        <f ca="1">IFERROR(IF(TODAY()-K480&gt;365,"Inativo",IF(J480=2,"Férias",IF(J480=7,"Demitido","Afastamento"))),VLOOKUP(J480,Conf!$H:$I,2,0))</f>
        <v>Ativos</v>
      </c>
      <c r="E480" s="187">
        <v>6</v>
      </c>
      <c r="F480" s="187">
        <v>1695</v>
      </c>
      <c r="G480" t="s">
        <v>695</v>
      </c>
      <c r="H480" s="71"/>
      <c r="I480" t="s">
        <v>319</v>
      </c>
      <c r="J480" s="187">
        <v>1</v>
      </c>
      <c r="K480" t="s">
        <v>1385</v>
      </c>
      <c r="L480" s="185"/>
      <c r="M480" s="188">
        <v>44277</v>
      </c>
      <c r="N480" s="71"/>
      <c r="Q480" s="71"/>
      <c r="R480" s="71"/>
      <c r="S480" t="s">
        <v>278</v>
      </c>
      <c r="T480" s="71"/>
    </row>
    <row r="481" spans="1:20" x14ac:dyDescent="0.3">
      <c r="A481" s="72">
        <f>IFERROR(VLOOKUP($G481,Conf!$B:$C,2,0),E481)</f>
        <v>6</v>
      </c>
      <c r="B481" s="72" t="str">
        <f ca="1">IF(D481="Inativo","Inativo",IFERROR(VLOOKUP($G481,Conf!$O:$Q,2,0),VLOOKUP($S481,Conf!$K:$M,2,0)))</f>
        <v>FRENTE DE CAIXA</v>
      </c>
      <c r="C481" s="72" t="str">
        <f ca="1">IF(D481="Inativo","Inativo",IFERROR(VLOOKUP($G481,Conf!$O:$Q,3,0),IFERROR(VLOOKUP($G481,Conf!$E:$F,2,0),VLOOKUP($S481,Conf!$K:$M,3,0))))</f>
        <v>OPERADOR CAIXA</v>
      </c>
      <c r="D481" s="72" t="str">
        <f ca="1">IFERROR(IF(TODAY()-K481&gt;365,"Inativo",IF(J481=2,"Férias",IF(J481=7,"Demitido","Afastamento"))),VLOOKUP(J481,Conf!$H:$I,2,0))</f>
        <v>Ativos</v>
      </c>
      <c r="E481" s="187">
        <v>6</v>
      </c>
      <c r="F481" s="187">
        <v>2121</v>
      </c>
      <c r="G481" t="s">
        <v>696</v>
      </c>
      <c r="H481" s="71"/>
      <c r="I481" t="s">
        <v>656</v>
      </c>
      <c r="J481" s="187">
        <v>1</v>
      </c>
      <c r="K481" t="s">
        <v>1385</v>
      </c>
      <c r="L481" s="185"/>
      <c r="M481" s="188">
        <v>45511</v>
      </c>
      <c r="N481" s="71"/>
      <c r="Q481" s="71"/>
      <c r="R481" s="71"/>
      <c r="S481" t="s">
        <v>281</v>
      </c>
      <c r="T481" s="71"/>
    </row>
    <row r="482" spans="1:20" x14ac:dyDescent="0.3">
      <c r="A482" s="72">
        <f>IFERROR(VLOOKUP($G482,Conf!$B:$C,2,0),E482)</f>
        <v>6</v>
      </c>
      <c r="B482" s="72" t="str">
        <f ca="1">IF(D482="Inativo","Inativo",IFERROR(VLOOKUP($G482,Conf!$O:$Q,2,0),VLOOKUP($S482,Conf!$K:$M,2,0)))</f>
        <v>FRENTE DE CAIXA</v>
      </c>
      <c r="C482" s="72" t="str">
        <f ca="1">IF(D482="Inativo","Inativo",IFERROR(VLOOKUP($G482,Conf!$O:$Q,3,0),IFERROR(VLOOKUP($G482,Conf!$E:$F,2,0),VLOOKUP($S482,Conf!$K:$M,3,0))))</f>
        <v>OPERADOR CAIXA</v>
      </c>
      <c r="D482" s="72" t="str">
        <f ca="1">IFERROR(IF(TODAY()-K482&gt;365,"Inativo",IF(J482=2,"Férias",IF(J482=7,"Demitido","Afastamento"))),VLOOKUP(J482,Conf!$H:$I,2,0))</f>
        <v>Ativos</v>
      </c>
      <c r="E482" s="187">
        <v>6</v>
      </c>
      <c r="F482" s="187">
        <v>1334</v>
      </c>
      <c r="G482" t="s">
        <v>697</v>
      </c>
      <c r="H482" s="71"/>
      <c r="I482" t="s">
        <v>247</v>
      </c>
      <c r="J482" s="187">
        <v>1</v>
      </c>
      <c r="K482" t="s">
        <v>1385</v>
      </c>
      <c r="L482" s="185"/>
      <c r="M482" s="188">
        <v>42864</v>
      </c>
      <c r="N482" s="71"/>
      <c r="O482" s="71"/>
      <c r="P482" s="71"/>
      <c r="Q482" s="71"/>
      <c r="R482" s="71"/>
      <c r="S482" t="s">
        <v>281</v>
      </c>
      <c r="T482" s="71"/>
    </row>
    <row r="483" spans="1:20" x14ac:dyDescent="0.3">
      <c r="A483" s="72">
        <f>IFERROR(VLOOKUP($G483,Conf!$B:$C,2,0),E483)</f>
        <v>6</v>
      </c>
      <c r="B483" s="72" t="str">
        <f ca="1">IF(D483="Inativo","Inativo",IFERROR(VLOOKUP($G483,Conf!$O:$Q,2,0),VLOOKUP($S483,Conf!$K:$M,2,0)))</f>
        <v>FRENTE DE CAIXA</v>
      </c>
      <c r="C483" s="72" t="str">
        <f ca="1">IF(D483="Inativo","Inativo",IFERROR(VLOOKUP($G483,Conf!$O:$Q,3,0),IFERROR(VLOOKUP($G483,Conf!$E:$F,2,0),VLOOKUP($S483,Conf!$K:$M,3,0))))</f>
        <v>OPERADOR CAIXA</v>
      </c>
      <c r="D483" s="72" t="str">
        <f ca="1">IFERROR(IF(TODAY()-K483&gt;365,"Inativo",IF(J483=2,"Férias",IF(J483=7,"Demitido","Afastamento"))),VLOOKUP(J483,Conf!$H:$I,2,0))</f>
        <v>Demitido</v>
      </c>
      <c r="E483" s="187">
        <v>6</v>
      </c>
      <c r="F483" s="187">
        <v>2352</v>
      </c>
      <c r="G483" t="s">
        <v>698</v>
      </c>
      <c r="H483" s="71"/>
      <c r="I483" t="s">
        <v>466</v>
      </c>
      <c r="J483" s="187">
        <v>7</v>
      </c>
      <c r="K483" t="s">
        <v>1603</v>
      </c>
      <c r="L483" s="185"/>
      <c r="M483" s="188">
        <v>46036</v>
      </c>
      <c r="N483" s="71"/>
      <c r="Q483" s="71"/>
      <c r="R483" s="71"/>
      <c r="S483" t="s">
        <v>281</v>
      </c>
      <c r="T483" s="71"/>
    </row>
    <row r="484" spans="1:20" x14ac:dyDescent="0.3">
      <c r="A484" s="72">
        <f>IFERROR(VLOOKUP($G484,Conf!$B:$C,2,0),E484)</f>
        <v>6</v>
      </c>
      <c r="B484" s="72" t="str">
        <f ca="1">IF(D484="Inativo","Inativo",IFERROR(VLOOKUP($G484,Conf!$O:$Q,2,0),VLOOKUP($S484,Conf!$K:$M,2,0)))</f>
        <v>FRENTE DE CAIXA</v>
      </c>
      <c r="C484" s="72" t="str">
        <f ca="1">IF(D484="Inativo","Inativo",IFERROR(VLOOKUP($G484,Conf!$O:$Q,3,0),IFERROR(VLOOKUP($G484,Conf!$E:$F,2,0),VLOOKUP($S484,Conf!$K:$M,3,0))))</f>
        <v>OPERADOR CAIXA</v>
      </c>
      <c r="D484" s="72" t="str">
        <f ca="1">IFERROR(IF(TODAY()-K484&gt;365,"Inativo",IF(J484=2,"Férias",IF(J484=7,"Demitido","Afastamento"))),VLOOKUP(J484,Conf!$H:$I,2,0))</f>
        <v>Ativos</v>
      </c>
      <c r="E484" s="187">
        <v>6</v>
      </c>
      <c r="F484" s="187">
        <v>2434</v>
      </c>
      <c r="G484" t="s">
        <v>1304</v>
      </c>
      <c r="H484" s="71"/>
      <c r="I484" t="s">
        <v>220</v>
      </c>
      <c r="J484" s="187">
        <v>1</v>
      </c>
      <c r="K484" t="s">
        <v>1385</v>
      </c>
      <c r="L484" s="185"/>
      <c r="M484" s="188">
        <v>46181</v>
      </c>
      <c r="N484" s="71"/>
      <c r="Q484" s="71"/>
      <c r="R484" s="71"/>
      <c r="S484" t="s">
        <v>281</v>
      </c>
      <c r="T484" s="71"/>
    </row>
    <row r="485" spans="1:20" x14ac:dyDescent="0.3">
      <c r="A485" s="72">
        <f>IFERROR(VLOOKUP($G485,Conf!$B:$C,2,0),E485)</f>
        <v>6</v>
      </c>
      <c r="B485" s="72" t="str">
        <f ca="1">IF(D485="Inativo","Inativo",IFERROR(VLOOKUP($G485,Conf!$O:$Q,2,0),VLOOKUP($S485,Conf!$K:$M,2,0)))</f>
        <v>FRENTE DE CAIXA</v>
      </c>
      <c r="C485" s="72" t="str">
        <f ca="1">IF(D485="Inativo","Inativo",IFERROR(VLOOKUP($G485,Conf!$O:$Q,3,0),IFERROR(VLOOKUP($G485,Conf!$E:$F,2,0),VLOOKUP($S485,Conf!$K:$M,3,0))))</f>
        <v>OPERADOR CAIXA</v>
      </c>
      <c r="D485" s="72" t="str">
        <f ca="1">IFERROR(IF(TODAY()-K485&gt;365,"Inativo",IF(J485=2,"Férias",IF(J485=7,"Demitido","Afastamento"))),VLOOKUP(J485,Conf!$H:$I,2,0))</f>
        <v>Ativos</v>
      </c>
      <c r="E485" s="187">
        <v>6</v>
      </c>
      <c r="F485" s="187">
        <v>2317</v>
      </c>
      <c r="G485" t="s">
        <v>699</v>
      </c>
      <c r="H485" s="71"/>
      <c r="I485" t="s">
        <v>220</v>
      </c>
      <c r="J485" s="187">
        <v>1</v>
      </c>
      <c r="K485" t="s">
        <v>1385</v>
      </c>
      <c r="L485" s="185"/>
      <c r="M485" s="188">
        <v>45925</v>
      </c>
      <c r="N485" s="71"/>
      <c r="Q485" s="71"/>
      <c r="R485" s="71"/>
      <c r="S485" t="s">
        <v>281</v>
      </c>
      <c r="T485" s="71"/>
    </row>
    <row r="486" spans="1:20" x14ac:dyDescent="0.3">
      <c r="A486" s="72">
        <f>IFERROR(VLOOKUP($G486,Conf!$B:$C,2,0),E486)</f>
        <v>6</v>
      </c>
      <c r="B486" s="72" t="str">
        <f ca="1">IF(D486="Inativo","Inativo",IFERROR(VLOOKUP($G486,Conf!$O:$Q,2,0),VLOOKUP($S486,Conf!$K:$M,2,0)))</f>
        <v>FRENTE DE CAIXA</v>
      </c>
      <c r="C486" s="72" t="str">
        <f ca="1">IF(D486="Inativo","Inativo",IFERROR(VLOOKUP($G486,Conf!$O:$Q,3,0),IFERROR(VLOOKUP($G486,Conf!$E:$F,2,0),VLOOKUP($S486,Conf!$K:$M,3,0))))</f>
        <v>OPERADOR CAIXA</v>
      </c>
      <c r="D486" s="72" t="str">
        <f ca="1">IFERROR(IF(TODAY()-K486&gt;365,"Inativo",IF(J486=2,"Férias",IF(J486=7,"Demitido","Afastamento"))),VLOOKUP(J486,Conf!$H:$I,2,0))</f>
        <v>Ativos</v>
      </c>
      <c r="E486" s="187">
        <v>6</v>
      </c>
      <c r="F486" s="187">
        <v>2165</v>
      </c>
      <c r="G486" t="s">
        <v>700</v>
      </c>
      <c r="H486" s="71"/>
      <c r="I486" t="s">
        <v>222</v>
      </c>
      <c r="J486" s="187">
        <v>1</v>
      </c>
      <c r="K486" t="s">
        <v>1385</v>
      </c>
      <c r="L486" s="185"/>
      <c r="M486" s="188">
        <v>45597</v>
      </c>
      <c r="N486" s="71"/>
      <c r="Q486" s="71"/>
      <c r="R486" s="71"/>
      <c r="S486" t="s">
        <v>281</v>
      </c>
      <c r="T486" s="71"/>
    </row>
    <row r="487" spans="1:20" x14ac:dyDescent="0.3">
      <c r="A487" s="72">
        <f>IFERROR(VLOOKUP($G487,Conf!$B:$C,2,0),E487)</f>
        <v>6</v>
      </c>
      <c r="B487" s="72" t="str">
        <f ca="1">IF(D487="Inativo","Inativo",IFERROR(VLOOKUP($G487,Conf!$O:$Q,2,0),VLOOKUP($S487,Conf!$K:$M,2,0)))</f>
        <v>FRENTE DE CAIXA</v>
      </c>
      <c r="C487" s="72" t="str">
        <f ca="1">IF(D487="Inativo","Inativo",IFERROR(VLOOKUP($G487,Conf!$O:$Q,3,0),IFERROR(VLOOKUP($G487,Conf!$E:$F,2,0),VLOOKUP($S487,Conf!$K:$M,3,0))))</f>
        <v>OPERADOR CAIXA</v>
      </c>
      <c r="D487" s="72" t="str">
        <f ca="1">IFERROR(IF(TODAY()-K487&gt;365,"Inativo",IF(J487=2,"Férias",IF(J487=7,"Demitido","Afastamento"))),VLOOKUP(J487,Conf!$H:$I,2,0))</f>
        <v>Ativos</v>
      </c>
      <c r="E487" s="187">
        <v>6</v>
      </c>
      <c r="F487" s="187">
        <v>2422</v>
      </c>
      <c r="G487" t="s">
        <v>701</v>
      </c>
      <c r="H487" s="71"/>
      <c r="I487" t="s">
        <v>220</v>
      </c>
      <c r="J487" s="187">
        <v>1</v>
      </c>
      <c r="K487" t="s">
        <v>1385</v>
      </c>
      <c r="L487" s="185"/>
      <c r="M487" s="188">
        <v>46132</v>
      </c>
      <c r="N487" s="71"/>
      <c r="Q487" s="71"/>
      <c r="R487" s="71"/>
      <c r="S487" t="s">
        <v>281</v>
      </c>
      <c r="T487" s="71"/>
    </row>
    <row r="488" spans="1:20" x14ac:dyDescent="0.3">
      <c r="A488" s="72">
        <f>IFERROR(VLOOKUP($G488,Conf!$B:$C,2,0),E488)</f>
        <v>6</v>
      </c>
      <c r="B488" s="72" t="str">
        <f ca="1">IF(D488="Inativo","Inativo",IFERROR(VLOOKUP($G488,Conf!$O:$Q,2,0),VLOOKUP($S488,Conf!$K:$M,2,0)))</f>
        <v>FRENTE DE CAIXA</v>
      </c>
      <c r="C488" s="72" t="str">
        <f ca="1">IF(D488="Inativo","Inativo",IFERROR(VLOOKUP($G488,Conf!$O:$Q,3,0),IFERROR(VLOOKUP($G488,Conf!$E:$F,2,0),VLOOKUP($S488,Conf!$K:$M,3,0))))</f>
        <v>OPERADOR CAIXA</v>
      </c>
      <c r="D488" s="72" t="str">
        <f ca="1">IFERROR(IF(TODAY()-K488&gt;365,"Inativo",IF(J488=2,"Férias",IF(J488=7,"Demitido","Afastamento"))),VLOOKUP(J488,Conf!$H:$I,2,0))</f>
        <v>Ativos</v>
      </c>
      <c r="E488" s="187">
        <v>6</v>
      </c>
      <c r="F488" s="187">
        <v>2365</v>
      </c>
      <c r="G488" t="s">
        <v>702</v>
      </c>
      <c r="H488" s="71"/>
      <c r="I488" t="s">
        <v>220</v>
      </c>
      <c r="J488" s="187">
        <v>1</v>
      </c>
      <c r="K488" t="s">
        <v>1385</v>
      </c>
      <c r="L488" s="185"/>
      <c r="M488" s="188">
        <v>46055</v>
      </c>
      <c r="N488" s="71"/>
      <c r="O488" s="71"/>
      <c r="P488" s="71"/>
      <c r="Q488" s="71"/>
      <c r="R488" s="71"/>
      <c r="S488" t="s">
        <v>281</v>
      </c>
      <c r="T488" s="71"/>
    </row>
    <row r="489" spans="1:20" x14ac:dyDescent="0.3">
      <c r="A489" s="72">
        <f>IFERROR(VLOOKUP($G489,Conf!$B:$C,2,0),E489)</f>
        <v>6</v>
      </c>
      <c r="B489" s="72" t="str">
        <f ca="1">IF(D489="Inativo","Inativo",IFERROR(VLOOKUP($G489,Conf!$O:$Q,2,0),VLOOKUP($S489,Conf!$K:$M,2,0)))</f>
        <v>FRENTE DE CAIXA</v>
      </c>
      <c r="C489" s="72" t="str">
        <f ca="1">IF(D489="Inativo","Inativo",IFERROR(VLOOKUP($G489,Conf!$O:$Q,3,0),IFERROR(VLOOKUP($G489,Conf!$E:$F,2,0),VLOOKUP($S489,Conf!$K:$M,3,0))))</f>
        <v>OPERADOR CAIXA</v>
      </c>
      <c r="D489" s="72" t="str">
        <f ca="1">IFERROR(IF(TODAY()-K489&gt;365,"Inativo",IF(J489=2,"Férias",IF(J489=7,"Demitido","Afastamento"))),VLOOKUP(J489,Conf!$H:$I,2,0))</f>
        <v>Ativos</v>
      </c>
      <c r="E489" s="187">
        <v>6</v>
      </c>
      <c r="F489" s="187">
        <v>2405</v>
      </c>
      <c r="G489" t="s">
        <v>703</v>
      </c>
      <c r="H489" s="71"/>
      <c r="I489" t="s">
        <v>220</v>
      </c>
      <c r="J489" s="187">
        <v>1</v>
      </c>
      <c r="K489" t="s">
        <v>1385</v>
      </c>
      <c r="L489" s="185"/>
      <c r="M489" s="188">
        <v>46092</v>
      </c>
      <c r="N489" s="71"/>
      <c r="Q489" s="71"/>
      <c r="R489" s="71"/>
      <c r="S489" t="s">
        <v>281</v>
      </c>
      <c r="T489" s="71"/>
    </row>
    <row r="490" spans="1:20" x14ac:dyDescent="0.3">
      <c r="A490" s="72">
        <f>IFERROR(VLOOKUP($G490,Conf!$B:$C,2,0),E490)</f>
        <v>6</v>
      </c>
      <c r="B490" s="72" t="str">
        <f ca="1">IF(D490="Inativo","Inativo",IFERROR(VLOOKUP($G490,Conf!$O:$Q,2,0),VLOOKUP($S490,Conf!$K:$M,2,0)))</f>
        <v>FRENTE DE CAIXA</v>
      </c>
      <c r="C490" s="72" t="str">
        <f ca="1">IF(D490="Inativo","Inativo",IFERROR(VLOOKUP($G490,Conf!$O:$Q,3,0),IFERROR(VLOOKUP($G490,Conf!$E:$F,2,0),VLOOKUP($S490,Conf!$K:$M,3,0))))</f>
        <v>OPERADOR CAIXA</v>
      </c>
      <c r="D490" s="72" t="str">
        <f ca="1">IFERROR(IF(TODAY()-K490&gt;365,"Inativo",IF(J490=2,"Férias",IF(J490=7,"Demitido","Afastamento"))),VLOOKUP(J490,Conf!$H:$I,2,0))</f>
        <v>Ativos</v>
      </c>
      <c r="E490" s="187">
        <v>6</v>
      </c>
      <c r="F490" s="187">
        <v>2021</v>
      </c>
      <c r="G490" t="s">
        <v>704</v>
      </c>
      <c r="H490" s="71"/>
      <c r="I490" t="s">
        <v>296</v>
      </c>
      <c r="J490" s="187">
        <v>1</v>
      </c>
      <c r="K490" t="s">
        <v>1385</v>
      </c>
      <c r="L490" s="185"/>
      <c r="M490" s="188">
        <v>45223</v>
      </c>
      <c r="N490" s="71"/>
      <c r="O490" s="71"/>
      <c r="P490" s="71"/>
      <c r="Q490" s="71"/>
      <c r="R490" s="71"/>
      <c r="S490" t="s">
        <v>281</v>
      </c>
      <c r="T490" s="71"/>
    </row>
    <row r="491" spans="1:20" x14ac:dyDescent="0.3">
      <c r="A491" s="72">
        <f>IFERROR(VLOOKUP($G491,Conf!$B:$C,2,0),E491)</f>
        <v>6</v>
      </c>
      <c r="B491" s="72" t="str">
        <f ca="1">IF(D491="Inativo","Inativo",IFERROR(VLOOKUP($G491,Conf!$O:$Q,2,0),VLOOKUP($S491,Conf!$K:$M,2,0)))</f>
        <v>FRENTE DE CAIXA</v>
      </c>
      <c r="C491" s="72" t="str">
        <f ca="1">IF(D491="Inativo","Inativo",IFERROR(VLOOKUP($G491,Conf!$O:$Q,3,0),IFERROR(VLOOKUP($G491,Conf!$E:$F,2,0),VLOOKUP($S491,Conf!$K:$M,3,0))))</f>
        <v>OPERADOR CAIXA</v>
      </c>
      <c r="D491" s="72" t="str">
        <f ca="1">IFERROR(IF(TODAY()-K491&gt;365,"Inativo",IF(J491=2,"Férias",IF(J491=7,"Demitido","Afastamento"))),VLOOKUP(J491,Conf!$H:$I,2,0))</f>
        <v>Demitido</v>
      </c>
      <c r="E491" s="187">
        <v>6</v>
      </c>
      <c r="F491" s="187">
        <v>2337</v>
      </c>
      <c r="G491" t="s">
        <v>705</v>
      </c>
      <c r="H491" s="71"/>
      <c r="I491" t="s">
        <v>220</v>
      </c>
      <c r="J491" s="187">
        <v>7</v>
      </c>
      <c r="K491" t="s">
        <v>1543</v>
      </c>
      <c r="L491" s="185"/>
      <c r="M491" s="188">
        <v>45986</v>
      </c>
      <c r="N491" s="71"/>
      <c r="Q491" s="71"/>
      <c r="R491" s="71"/>
      <c r="S491" t="s">
        <v>281</v>
      </c>
      <c r="T491" s="71"/>
    </row>
    <row r="492" spans="1:20" x14ac:dyDescent="0.3">
      <c r="A492" s="72">
        <f>IFERROR(VLOOKUP($G492,Conf!$B:$C,2,0),E492)</f>
        <v>6</v>
      </c>
      <c r="B492" s="72" t="str">
        <f ca="1">IF(D492="Inativo","Inativo",IFERROR(VLOOKUP($G492,Conf!$O:$Q,2,0),VLOOKUP($S492,Conf!$K:$M,2,0)))</f>
        <v>FRENTE DE CAIXA</v>
      </c>
      <c r="C492" s="72" t="str">
        <f ca="1">IF(D492="Inativo","Inativo",IFERROR(VLOOKUP($G492,Conf!$O:$Q,3,0),IFERROR(VLOOKUP($G492,Conf!$E:$F,2,0),VLOOKUP($S492,Conf!$K:$M,3,0))))</f>
        <v>OPERADOR CAIXA</v>
      </c>
      <c r="D492" s="72" t="str">
        <f ca="1">IFERROR(IF(TODAY()-K492&gt;365,"Inativo",IF(J492=2,"Férias",IF(J492=7,"Demitido","Afastamento"))),VLOOKUP(J492,Conf!$H:$I,2,0))</f>
        <v>Ativos</v>
      </c>
      <c r="E492" s="187">
        <v>6</v>
      </c>
      <c r="F492" s="187">
        <v>2445</v>
      </c>
      <c r="G492" t="s">
        <v>1428</v>
      </c>
      <c r="H492" s="71"/>
      <c r="I492" t="s">
        <v>220</v>
      </c>
      <c r="J492" s="187">
        <v>1</v>
      </c>
      <c r="K492" t="s">
        <v>1385</v>
      </c>
      <c r="L492" s="185"/>
      <c r="M492" s="188">
        <v>46219</v>
      </c>
      <c r="N492" s="71"/>
      <c r="O492" s="71"/>
      <c r="P492" s="71"/>
      <c r="Q492" s="71"/>
      <c r="R492" s="71"/>
      <c r="S492" t="s">
        <v>281</v>
      </c>
      <c r="T492" s="71"/>
    </row>
    <row r="493" spans="1:20" x14ac:dyDescent="0.3">
      <c r="A493" s="72">
        <f>IFERROR(VLOOKUP($G493,Conf!$B:$C,2,0),E493)</f>
        <v>6</v>
      </c>
      <c r="B493" s="72" t="str">
        <f ca="1">IF(D493="Inativo","Inativo",IFERROR(VLOOKUP($G493,Conf!$O:$Q,2,0),VLOOKUP($S493,Conf!$K:$M,2,0)))</f>
        <v>FRENTE DE CAIXA</v>
      </c>
      <c r="C493" s="72" t="str">
        <f ca="1">IF(D493="Inativo","Inativo",IFERROR(VLOOKUP($G493,Conf!$O:$Q,3,0),IFERROR(VLOOKUP($G493,Conf!$E:$F,2,0),VLOOKUP($S493,Conf!$K:$M,3,0))))</f>
        <v>OPERADOR CAIXA</v>
      </c>
      <c r="D493" s="72" t="str">
        <f ca="1">IFERROR(IF(TODAY()-K493&gt;365,"Inativo",IF(J493=2,"Férias",IF(J493=7,"Demitido","Afastamento"))),VLOOKUP(J493,Conf!$H:$I,2,0))</f>
        <v>Férias</v>
      </c>
      <c r="E493" s="187">
        <v>6</v>
      </c>
      <c r="F493" s="187">
        <v>2297</v>
      </c>
      <c r="G493" t="s">
        <v>706</v>
      </c>
      <c r="H493" s="71"/>
      <c r="I493" t="s">
        <v>220</v>
      </c>
      <c r="J493" s="187">
        <v>2</v>
      </c>
      <c r="K493" t="s">
        <v>1629</v>
      </c>
      <c r="L493" s="185"/>
      <c r="M493" s="188">
        <v>45861</v>
      </c>
      <c r="N493" s="71"/>
      <c r="Q493" s="71"/>
      <c r="R493" s="71"/>
      <c r="S493" t="s">
        <v>281</v>
      </c>
      <c r="T493" s="71"/>
    </row>
    <row r="494" spans="1:20" x14ac:dyDescent="0.3">
      <c r="A494" s="72">
        <f>IFERROR(VLOOKUP($G494,Conf!$B:$C,2,0),E494)</f>
        <v>6</v>
      </c>
      <c r="B494" s="72" t="str">
        <f ca="1">IF(D494="Inativo","Inativo",IFERROR(VLOOKUP($G494,Conf!$O:$Q,2,0),VLOOKUP($S494,Conf!$K:$M,2,0)))</f>
        <v>FRENTE DE CAIXA</v>
      </c>
      <c r="C494" s="72" t="str">
        <f ca="1">IF(D494="Inativo","Inativo",IFERROR(VLOOKUP($G494,Conf!$O:$Q,3,0),IFERROR(VLOOKUP($G494,Conf!$E:$F,2,0),VLOOKUP($S494,Conf!$K:$M,3,0))))</f>
        <v>OPERADOR CAIXA</v>
      </c>
      <c r="D494" s="72" t="str">
        <f ca="1">IFERROR(IF(TODAY()-K494&gt;365,"Inativo",IF(J494=2,"Férias",IF(J494=7,"Demitido","Afastamento"))),VLOOKUP(J494,Conf!$H:$I,2,0))</f>
        <v>Ativos</v>
      </c>
      <c r="E494" s="187">
        <v>6</v>
      </c>
      <c r="F494" s="187">
        <v>2399</v>
      </c>
      <c r="G494" t="s">
        <v>707</v>
      </c>
      <c r="H494" s="71"/>
      <c r="I494" t="s">
        <v>220</v>
      </c>
      <c r="J494" s="187">
        <v>1</v>
      </c>
      <c r="K494" t="s">
        <v>1385</v>
      </c>
      <c r="L494" s="185"/>
      <c r="M494" s="188">
        <v>46083</v>
      </c>
      <c r="N494" s="71"/>
      <c r="O494" s="71"/>
      <c r="P494" s="71"/>
      <c r="Q494" s="71"/>
      <c r="R494" s="71"/>
      <c r="S494" t="s">
        <v>281</v>
      </c>
      <c r="T494" s="71"/>
    </row>
    <row r="495" spans="1:20" x14ac:dyDescent="0.3">
      <c r="A495" s="72">
        <f>IFERROR(VLOOKUP($G495,Conf!$B:$C,2,0),E495)</f>
        <v>6</v>
      </c>
      <c r="B495" s="72" t="str">
        <f ca="1">IF(D495="Inativo","Inativo",IFERROR(VLOOKUP($G495,Conf!$O:$Q,2,0),VLOOKUP($S495,Conf!$K:$M,2,0)))</f>
        <v>FRENTE DE CAIXA</v>
      </c>
      <c r="C495" s="72" t="str">
        <f ca="1">IF(D495="Inativo","Inativo",IFERROR(VLOOKUP($G495,Conf!$O:$Q,3,0),IFERROR(VLOOKUP($G495,Conf!$E:$F,2,0),VLOOKUP($S495,Conf!$K:$M,3,0))))</f>
        <v>OPERADOR CAIXA</v>
      </c>
      <c r="D495" s="72" t="str">
        <f ca="1">IFERROR(IF(TODAY()-K495&gt;365,"Inativo",IF(J495=2,"Férias",IF(J495=7,"Demitido","Afastamento"))),VLOOKUP(J495,Conf!$H:$I,2,0))</f>
        <v>Ativos</v>
      </c>
      <c r="E495" s="187">
        <v>6</v>
      </c>
      <c r="F495" s="187">
        <v>1783</v>
      </c>
      <c r="G495" t="s">
        <v>708</v>
      </c>
      <c r="H495" s="71"/>
      <c r="I495" t="s">
        <v>709</v>
      </c>
      <c r="J495" s="187">
        <v>1</v>
      </c>
      <c r="K495" t="s">
        <v>1385</v>
      </c>
      <c r="L495" s="185"/>
      <c r="M495" s="188">
        <v>44595</v>
      </c>
      <c r="N495" s="71"/>
      <c r="O495" s="71"/>
      <c r="P495" s="71"/>
      <c r="Q495" s="71"/>
      <c r="R495" s="71"/>
      <c r="S495" t="s">
        <v>281</v>
      </c>
      <c r="T495" s="71"/>
    </row>
    <row r="496" spans="1:20" x14ac:dyDescent="0.3">
      <c r="A496" s="72">
        <f>IFERROR(VLOOKUP($G496,Conf!$B:$C,2,0),E496)</f>
        <v>6</v>
      </c>
      <c r="B496" s="72" t="str">
        <f ca="1">IF(D496="Inativo","Inativo",IFERROR(VLOOKUP($G496,Conf!$O:$Q,2,0),VLOOKUP($S496,Conf!$K:$M,2,0)))</f>
        <v>FRENTE DE CAIXA</v>
      </c>
      <c r="C496" s="72" t="str">
        <f ca="1">IF(D496="Inativo","Inativo",IFERROR(VLOOKUP($G496,Conf!$O:$Q,3,0),IFERROR(VLOOKUP($G496,Conf!$E:$F,2,0),VLOOKUP($S496,Conf!$K:$M,3,0))))</f>
        <v>OPERADOR CAIXA</v>
      </c>
      <c r="D496" s="72" t="str">
        <f ca="1">IFERROR(IF(TODAY()-K496&gt;365,"Inativo",IF(J496=2,"Férias",IF(J496=7,"Demitido","Afastamento"))),VLOOKUP(J496,Conf!$H:$I,2,0))</f>
        <v>Ativos</v>
      </c>
      <c r="E496" s="187">
        <v>6</v>
      </c>
      <c r="F496" s="187">
        <v>2462</v>
      </c>
      <c r="G496" t="s">
        <v>1626</v>
      </c>
      <c r="H496" s="71"/>
      <c r="I496" t="s">
        <v>220</v>
      </c>
      <c r="J496" s="187">
        <v>1</v>
      </c>
      <c r="K496" t="s">
        <v>1385</v>
      </c>
      <c r="L496" s="185"/>
      <c r="M496" s="188">
        <v>46296</v>
      </c>
      <c r="N496" s="71"/>
      <c r="Q496" s="71"/>
      <c r="R496" s="71"/>
      <c r="S496" t="s">
        <v>281</v>
      </c>
      <c r="T496" s="71"/>
    </row>
    <row r="497" spans="1:20" x14ac:dyDescent="0.3">
      <c r="A497" s="72">
        <f>IFERROR(VLOOKUP($G497,Conf!$B:$C,2,0),E497)</f>
        <v>6</v>
      </c>
      <c r="B497" s="72" t="str">
        <f ca="1">IF(D497="Inativo","Inativo",IFERROR(VLOOKUP($G497,Conf!$O:$Q,2,0),VLOOKUP($S497,Conf!$K:$M,2,0)))</f>
        <v>FRENTE DE CAIXA</v>
      </c>
      <c r="C497" s="72" t="str">
        <f ca="1">IF(D497="Inativo","Inativo",IFERROR(VLOOKUP($G497,Conf!$O:$Q,3,0),IFERROR(VLOOKUP($G497,Conf!$E:$F,2,0),VLOOKUP($S497,Conf!$K:$M,3,0))))</f>
        <v>OPERADOR CAIXA</v>
      </c>
      <c r="D497" s="72" t="str">
        <f ca="1">IFERROR(IF(TODAY()-K497&gt;365,"Inativo",IF(J497=2,"Férias",IF(J497=7,"Demitido","Afastamento"))),VLOOKUP(J497,Conf!$H:$I,2,0))</f>
        <v>Ativos</v>
      </c>
      <c r="E497" s="187">
        <v>6</v>
      </c>
      <c r="F497" s="187">
        <v>1483</v>
      </c>
      <c r="G497" t="s">
        <v>710</v>
      </c>
      <c r="H497" s="71"/>
      <c r="I497" t="s">
        <v>220</v>
      </c>
      <c r="J497" s="187">
        <v>1</v>
      </c>
      <c r="K497" t="s">
        <v>1385</v>
      </c>
      <c r="L497" s="185"/>
      <c r="M497" s="188">
        <v>43517</v>
      </c>
      <c r="N497" s="71"/>
      <c r="Q497" s="71"/>
      <c r="R497" s="71"/>
      <c r="S497" t="s">
        <v>281</v>
      </c>
      <c r="T497" s="71"/>
    </row>
    <row r="498" spans="1:20" x14ac:dyDescent="0.3">
      <c r="A498" s="72">
        <f>IFERROR(VLOOKUP($G498,Conf!$B:$C,2,0),E498)</f>
        <v>6</v>
      </c>
      <c r="B498" s="72" t="str">
        <f ca="1">IF(D498="Inativo","Inativo",IFERROR(VLOOKUP($G498,Conf!$O:$Q,2,0),VLOOKUP($S498,Conf!$K:$M,2,0)))</f>
        <v>FRENTE DE CAIXA</v>
      </c>
      <c r="C498" s="72" t="str">
        <f ca="1">IF(D498="Inativo","Inativo",IFERROR(VLOOKUP($G498,Conf!$O:$Q,3,0),IFERROR(VLOOKUP($G498,Conf!$E:$F,2,0),VLOOKUP($S498,Conf!$K:$M,3,0))))</f>
        <v>OPERADOR CAIXA</v>
      </c>
      <c r="D498" s="72" t="str">
        <f ca="1">IFERROR(IF(TODAY()-K498&gt;365,"Inativo",IF(J498=2,"Férias",IF(J498=7,"Demitido","Afastamento"))),VLOOKUP(J498,Conf!$H:$I,2,0))</f>
        <v>Ativos</v>
      </c>
      <c r="E498" s="187">
        <v>6</v>
      </c>
      <c r="F498" s="187">
        <v>2442</v>
      </c>
      <c r="G498" t="s">
        <v>1396</v>
      </c>
      <c r="H498" s="71"/>
      <c r="I498" t="s">
        <v>220</v>
      </c>
      <c r="J498" s="187">
        <v>1</v>
      </c>
      <c r="K498" t="s">
        <v>1385</v>
      </c>
      <c r="L498" s="185"/>
      <c r="M498" s="188">
        <v>46209</v>
      </c>
      <c r="N498" s="71"/>
      <c r="O498" s="71"/>
      <c r="P498" s="71"/>
      <c r="Q498" s="71"/>
      <c r="R498" s="71"/>
      <c r="S498" t="s">
        <v>281</v>
      </c>
    </row>
    <row r="499" spans="1:20" x14ac:dyDescent="0.3">
      <c r="A499" s="72">
        <f>IFERROR(VLOOKUP($G499,Conf!$B:$C,2,0),E499)</f>
        <v>6</v>
      </c>
      <c r="B499" s="72" t="str">
        <f ca="1">IF(D499="Inativo","Inativo",IFERROR(VLOOKUP($G499,Conf!$O:$Q,2,0),VLOOKUP($S499,Conf!$K:$M,2,0)))</f>
        <v>FRENTE DE CAIXA</v>
      </c>
      <c r="C499" s="72" t="str">
        <f ca="1">IF(D499="Inativo","Inativo",IFERROR(VLOOKUP($G499,Conf!$O:$Q,3,0),IFERROR(VLOOKUP($G499,Conf!$E:$F,2,0),VLOOKUP($S499,Conf!$K:$M,3,0))))</f>
        <v>OPERADOR CAIXA</v>
      </c>
      <c r="D499" s="72" t="str">
        <f ca="1">IFERROR(IF(TODAY()-K499&gt;365,"Inativo",IF(J499=2,"Férias",IF(J499=7,"Demitido","Afastamento"))),VLOOKUP(J499,Conf!$H:$I,2,0))</f>
        <v>Ativos</v>
      </c>
      <c r="E499" s="187">
        <v>6</v>
      </c>
      <c r="F499" s="187">
        <v>2168</v>
      </c>
      <c r="G499" t="s">
        <v>711</v>
      </c>
      <c r="H499" s="71"/>
      <c r="I499" t="s">
        <v>602</v>
      </c>
      <c r="J499" s="187">
        <v>1</v>
      </c>
      <c r="K499" t="s">
        <v>1385</v>
      </c>
      <c r="L499" s="185"/>
      <c r="M499" s="188">
        <v>45597</v>
      </c>
      <c r="N499" s="71"/>
      <c r="Q499" s="71"/>
      <c r="R499" s="71"/>
      <c r="S499" t="s">
        <v>281</v>
      </c>
      <c r="T499" s="71"/>
    </row>
    <row r="500" spans="1:20" x14ac:dyDescent="0.3">
      <c r="A500" s="72">
        <f>IFERROR(VLOOKUP($G500,Conf!$B:$C,2,0),E500)</f>
        <v>6</v>
      </c>
      <c r="B500" s="72" t="str">
        <f ca="1">IF(D500="Inativo","Inativo",IFERROR(VLOOKUP($G500,Conf!$O:$Q,2,0),VLOOKUP($S500,Conf!$K:$M,2,0)))</f>
        <v>FRENTE DE CAIXA</v>
      </c>
      <c r="C500" s="72" t="str">
        <f ca="1">IF(D500="Inativo","Inativo",IFERROR(VLOOKUP($G500,Conf!$O:$Q,3,0),IFERROR(VLOOKUP($G500,Conf!$E:$F,2,0),VLOOKUP($S500,Conf!$K:$M,3,0))))</f>
        <v>OPERADOR CAIXA</v>
      </c>
      <c r="D500" s="72" t="str">
        <f ca="1">IFERROR(IF(TODAY()-K500&gt;365,"Inativo",IF(J500=2,"Férias",IF(J500=7,"Demitido","Afastamento"))),VLOOKUP(J500,Conf!$H:$I,2,0))</f>
        <v>Ativos</v>
      </c>
      <c r="E500" s="187">
        <v>6</v>
      </c>
      <c r="F500" s="187">
        <v>2236</v>
      </c>
      <c r="G500" t="s">
        <v>712</v>
      </c>
      <c r="H500" s="71"/>
      <c r="I500" t="s">
        <v>220</v>
      </c>
      <c r="J500" s="187">
        <v>1</v>
      </c>
      <c r="K500" t="s">
        <v>1385</v>
      </c>
      <c r="L500" s="185"/>
      <c r="M500" s="188">
        <v>45729</v>
      </c>
      <c r="N500" s="71"/>
      <c r="O500" s="71"/>
      <c r="P500" s="71"/>
      <c r="Q500" s="71"/>
      <c r="R500" s="71"/>
      <c r="S500" t="s">
        <v>281</v>
      </c>
      <c r="T500" s="71"/>
    </row>
    <row r="501" spans="1:20" x14ac:dyDescent="0.3">
      <c r="A501" s="72">
        <f>IFERROR(VLOOKUP($G501,Conf!$B:$C,2,0),E501)</f>
        <v>6</v>
      </c>
      <c r="B501" s="72" t="str">
        <f ca="1">IF(D501="Inativo","Inativo",IFERROR(VLOOKUP($G501,Conf!$O:$Q,2,0),VLOOKUP($S501,Conf!$K:$M,2,0)))</f>
        <v>FRIOS</v>
      </c>
      <c r="C501" s="72" t="str">
        <f ca="1">IF(D501="Inativo","Inativo",IFERROR(VLOOKUP($G501,Conf!$O:$Q,3,0),IFERROR(VLOOKUP($G501,Conf!$E:$F,2,0),VLOOKUP($S501,Conf!$K:$M,3,0))))</f>
        <v>ATENDENTE</v>
      </c>
      <c r="D501" s="72" t="str">
        <f ca="1">IFERROR(IF(TODAY()-K501&gt;365,"Inativo",IF(J501=2,"Férias",IF(J501=7,"Demitido","Afastamento"))),VLOOKUP(J501,Conf!$H:$I,2,0))</f>
        <v>Demitido</v>
      </c>
      <c r="E501" s="187">
        <v>6</v>
      </c>
      <c r="F501" s="187">
        <v>28</v>
      </c>
      <c r="G501" t="s">
        <v>1534</v>
      </c>
      <c r="H501" s="71"/>
      <c r="I501" t="s">
        <v>220</v>
      </c>
      <c r="J501" s="187">
        <v>7</v>
      </c>
      <c r="K501" t="s">
        <v>1603</v>
      </c>
      <c r="L501" s="185"/>
      <c r="M501" s="188">
        <v>46267</v>
      </c>
      <c r="N501" s="71"/>
      <c r="Q501" s="71"/>
      <c r="R501" s="71"/>
      <c r="S501" t="s">
        <v>1538</v>
      </c>
      <c r="T501" s="71"/>
    </row>
    <row r="502" spans="1:20" x14ac:dyDescent="0.3">
      <c r="A502" s="72">
        <f>IFERROR(VLOOKUP($G502,Conf!$B:$C,2,0),E502)</f>
        <v>6</v>
      </c>
      <c r="B502" s="72" t="str">
        <f ca="1">IF(D502="Inativo","Inativo",IFERROR(VLOOKUP($G502,Conf!$O:$Q,2,0),VLOOKUP($S502,Conf!$K:$M,2,0)))</f>
        <v>FRIOS</v>
      </c>
      <c r="C502" s="72" t="str">
        <f ca="1">IF(D502="Inativo","Inativo",IFERROR(VLOOKUP($G502,Conf!$O:$Q,3,0),IFERROR(VLOOKUP($G502,Conf!$E:$F,2,0),VLOOKUP($S502,Conf!$K:$M,3,0))))</f>
        <v>ATENDENTE</v>
      </c>
      <c r="D502" s="72" t="str">
        <f ca="1">IFERROR(IF(TODAY()-K502&gt;365,"Inativo",IF(J502=2,"Férias",IF(J502=7,"Demitido","Afastamento"))),VLOOKUP(J502,Conf!$H:$I,2,0))</f>
        <v>Demitido</v>
      </c>
      <c r="E502" s="187">
        <v>6</v>
      </c>
      <c r="F502" s="187">
        <v>2064</v>
      </c>
      <c r="G502" t="s">
        <v>713</v>
      </c>
      <c r="H502" s="71"/>
      <c r="I502" t="s">
        <v>319</v>
      </c>
      <c r="J502" s="187">
        <v>7</v>
      </c>
      <c r="K502" t="s">
        <v>1575</v>
      </c>
      <c r="L502" s="185"/>
      <c r="M502" s="188">
        <v>45371</v>
      </c>
      <c r="N502" s="71"/>
      <c r="Q502" s="71"/>
      <c r="R502" s="71"/>
      <c r="S502" t="s">
        <v>306</v>
      </c>
      <c r="T502" s="71"/>
    </row>
    <row r="503" spans="1:20" x14ac:dyDescent="0.3">
      <c r="A503" s="72">
        <f>IFERROR(VLOOKUP($G503,Conf!$B:$C,2,0),E503)</f>
        <v>6</v>
      </c>
      <c r="B503" s="72" t="str">
        <f ca="1">IF(D503="Inativo","Inativo",IFERROR(VLOOKUP($G503,Conf!$O:$Q,2,0),VLOOKUP($S503,Conf!$K:$M,2,0)))</f>
        <v>FRIOS</v>
      </c>
      <c r="C503" s="72" t="str">
        <f ca="1">IF(D503="Inativo","Inativo",IFERROR(VLOOKUP($G503,Conf!$O:$Q,3,0),IFERROR(VLOOKUP($G503,Conf!$E:$F,2,0),VLOOKUP($S503,Conf!$K:$M,3,0))))</f>
        <v>ENCARREGADO</v>
      </c>
      <c r="D503" s="72" t="str">
        <f ca="1">IFERROR(IF(TODAY()-K503&gt;365,"Inativo",IF(J503=2,"Férias",IF(J503=7,"Demitido","Afastamento"))),VLOOKUP(J503,Conf!$H:$I,2,0))</f>
        <v>Ativos</v>
      </c>
      <c r="E503" s="187">
        <v>6</v>
      </c>
      <c r="F503" s="187">
        <v>1447</v>
      </c>
      <c r="G503" t="s">
        <v>714</v>
      </c>
      <c r="H503" s="71"/>
      <c r="I503" t="s">
        <v>236</v>
      </c>
      <c r="J503" s="187">
        <v>1</v>
      </c>
      <c r="K503" t="s">
        <v>1385</v>
      </c>
      <c r="L503" s="185"/>
      <c r="M503" s="188">
        <v>43396</v>
      </c>
      <c r="N503" s="71"/>
      <c r="Q503" s="71"/>
      <c r="R503" s="71"/>
      <c r="S503" t="s">
        <v>632</v>
      </c>
      <c r="T503" s="71"/>
    </row>
    <row r="504" spans="1:20" x14ac:dyDescent="0.3">
      <c r="A504" s="72">
        <f>IFERROR(VLOOKUP($G504,Conf!$B:$C,2,0),E504)</f>
        <v>6</v>
      </c>
      <c r="B504" s="72" t="str">
        <f ca="1">IF(D504="Inativo","Inativo",IFERROR(VLOOKUP($G504,Conf!$O:$Q,2,0),VLOOKUP($S504,Conf!$K:$M,2,0)))</f>
        <v>FRIOS</v>
      </c>
      <c r="C504" s="72" t="str">
        <f ca="1">IF(D504="Inativo","Inativo",IFERROR(VLOOKUP($G504,Conf!$O:$Q,3,0),IFERROR(VLOOKUP($G504,Conf!$E:$F,2,0),VLOOKUP($S504,Conf!$K:$M,3,0))))</f>
        <v>REPOSITOR</v>
      </c>
      <c r="D504" s="72" t="str">
        <f ca="1">IFERROR(IF(TODAY()-K504&gt;365,"Inativo",IF(J504=2,"Férias",IF(J504=7,"Demitido","Afastamento"))),VLOOKUP(J504,Conf!$H:$I,2,0))</f>
        <v>Ativos</v>
      </c>
      <c r="E504" s="187">
        <v>6</v>
      </c>
      <c r="F504" s="187">
        <v>13</v>
      </c>
      <c r="G504" t="s">
        <v>715</v>
      </c>
      <c r="H504" s="71"/>
      <c r="I504" t="s">
        <v>220</v>
      </c>
      <c r="J504" s="187">
        <v>1</v>
      </c>
      <c r="K504" t="s">
        <v>1385</v>
      </c>
      <c r="L504" s="185"/>
      <c r="M504" s="188">
        <v>46162</v>
      </c>
      <c r="N504" s="71"/>
      <c r="Q504" s="71"/>
      <c r="R504" s="71"/>
      <c r="S504" t="s">
        <v>716</v>
      </c>
      <c r="T504" s="71"/>
    </row>
    <row r="505" spans="1:20" x14ac:dyDescent="0.3">
      <c r="A505" s="72">
        <f>IFERROR(VLOOKUP($G505,Conf!$B:$C,2,0),E505)</f>
        <v>6</v>
      </c>
      <c r="B505" s="72" t="str">
        <f ca="1">IF(D505="Inativo","Inativo",IFERROR(VLOOKUP($G505,Conf!$O:$Q,2,0),VLOOKUP($S505,Conf!$K:$M,2,0)))</f>
        <v>FRIOS</v>
      </c>
      <c r="C505" s="72" t="str">
        <f ca="1">IF(D505="Inativo","Inativo",IFERROR(VLOOKUP($G505,Conf!$O:$Q,3,0),IFERROR(VLOOKUP($G505,Conf!$E:$F,2,0),VLOOKUP($S505,Conf!$K:$M,3,0))))</f>
        <v>REPOSITOR</v>
      </c>
      <c r="D505" s="72" t="str">
        <f ca="1">IFERROR(IF(TODAY()-K505&gt;365,"Inativo",IF(J505=2,"Férias",IF(J505=7,"Demitido","Afastamento"))),VLOOKUP(J505,Conf!$H:$I,2,0))</f>
        <v>Afastamento</v>
      </c>
      <c r="E505" s="187">
        <v>6</v>
      </c>
      <c r="F505" s="187">
        <v>2255</v>
      </c>
      <c r="G505" t="s">
        <v>717</v>
      </c>
      <c r="H505" s="71"/>
      <c r="I505" t="s">
        <v>247</v>
      </c>
      <c r="J505" s="187">
        <v>3</v>
      </c>
      <c r="K505" t="s">
        <v>1602</v>
      </c>
      <c r="L505" s="185"/>
      <c r="M505" s="188">
        <v>45772</v>
      </c>
      <c r="N505" s="71"/>
      <c r="O505" s="71"/>
      <c r="P505" s="71"/>
      <c r="Q505" s="71"/>
      <c r="R505" s="71"/>
      <c r="S505" t="s">
        <v>508</v>
      </c>
      <c r="T505" s="71"/>
    </row>
    <row r="506" spans="1:20" x14ac:dyDescent="0.3">
      <c r="A506" s="72">
        <f>IFERROR(VLOOKUP($G506,Conf!$B:$C,2,0),E506)</f>
        <v>6</v>
      </c>
      <c r="B506" s="72" t="str">
        <f ca="1">IF(D506="Inativo","Inativo",IFERROR(VLOOKUP($G506,Conf!$O:$Q,2,0),VLOOKUP($S506,Conf!$K:$M,2,0)))</f>
        <v>FRIOS</v>
      </c>
      <c r="C506" s="72" t="str">
        <f ca="1">IF(D506="Inativo","Inativo",IFERROR(VLOOKUP($G506,Conf!$O:$Q,3,0),IFERROR(VLOOKUP($G506,Conf!$E:$F,2,0),VLOOKUP($S506,Conf!$K:$M,3,0))))</f>
        <v>REPOSITOR</v>
      </c>
      <c r="D506" s="72" t="str">
        <f ca="1">IFERROR(IF(TODAY()-K506&gt;365,"Inativo",IF(J506=2,"Férias",IF(J506=7,"Demitido","Afastamento"))),VLOOKUP(J506,Conf!$H:$I,2,0))</f>
        <v>Ativos</v>
      </c>
      <c r="E506" s="187">
        <v>6</v>
      </c>
      <c r="F506" s="187">
        <v>2394</v>
      </c>
      <c r="G506" t="s">
        <v>718</v>
      </c>
      <c r="H506" s="71"/>
      <c r="I506" t="s">
        <v>296</v>
      </c>
      <c r="J506" s="187">
        <v>1</v>
      </c>
      <c r="K506" t="s">
        <v>1385</v>
      </c>
      <c r="L506" s="185"/>
      <c r="M506" s="188">
        <v>46078</v>
      </c>
      <c r="N506" s="71"/>
      <c r="Q506" s="71"/>
      <c r="R506" s="71"/>
      <c r="S506" t="s">
        <v>428</v>
      </c>
      <c r="T506" s="71"/>
    </row>
    <row r="507" spans="1:20" x14ac:dyDescent="0.3">
      <c r="A507" s="72">
        <f>IFERROR(VLOOKUP($G507,Conf!$B:$C,2,0),E507)</f>
        <v>6</v>
      </c>
      <c r="B507" s="72" t="str">
        <f ca="1">IF(D507="Inativo","Inativo",IFERROR(VLOOKUP($G507,Conf!$O:$Q,2,0),VLOOKUP($S507,Conf!$K:$M,2,0)))</f>
        <v>GERÊNCIA</v>
      </c>
      <c r="C507" s="72" t="str">
        <f ca="1">IF(D507="Inativo","Inativo",IFERROR(VLOOKUP($G507,Conf!$O:$Q,3,0),IFERROR(VLOOKUP($G507,Conf!$E:$F,2,0),VLOOKUP($S507,Conf!$K:$M,3,0))))</f>
        <v>GERENTE</v>
      </c>
      <c r="D507" s="72" t="str">
        <f ca="1">IFERROR(IF(TODAY()-K507&gt;365,"Inativo",IF(J507=2,"Férias",IF(J507=7,"Demitido","Afastamento"))),VLOOKUP(J507,Conf!$H:$I,2,0))</f>
        <v>Ativos</v>
      </c>
      <c r="E507" s="71">
        <v>6</v>
      </c>
      <c r="F507" s="71">
        <v>9004</v>
      </c>
      <c r="G507" s="71" t="s">
        <v>1419</v>
      </c>
      <c r="H507" s="71"/>
      <c r="I507" s="71" t="s">
        <v>296</v>
      </c>
      <c r="J507" s="71">
        <v>1</v>
      </c>
      <c r="K507" s="185" t="s">
        <v>1385</v>
      </c>
      <c r="L507" s="185"/>
      <c r="M507" s="185">
        <v>46156</v>
      </c>
      <c r="N507" s="71"/>
      <c r="Q507" s="71"/>
      <c r="R507" s="71"/>
      <c r="S507" s="71" t="s">
        <v>351</v>
      </c>
      <c r="T507" s="71"/>
    </row>
    <row r="508" spans="1:20" x14ac:dyDescent="0.3">
      <c r="A508" s="72">
        <f>IFERROR(VLOOKUP($G508,Conf!$B:$C,2,0),E508)</f>
        <v>6</v>
      </c>
      <c r="B508" s="72" t="str">
        <f ca="1">IF(D508="Inativo","Inativo",IFERROR(VLOOKUP($G508,Conf!$O:$Q,2,0),VLOOKUP($S508,Conf!$K:$M,2,0)))</f>
        <v>GERÊNCIA</v>
      </c>
      <c r="C508" s="72" t="str">
        <f ca="1">IF(D508="Inativo","Inativo",IFERROR(VLOOKUP($G508,Conf!$O:$Q,3,0),IFERROR(VLOOKUP($G508,Conf!$E:$F,2,0),VLOOKUP($S508,Conf!$K:$M,3,0))))</f>
        <v>SUBGERENTE</v>
      </c>
      <c r="D508" s="72" t="str">
        <f ca="1">IFERROR(IF(TODAY()-K508&gt;365,"Inativo",IF(J508=2,"Férias",IF(J508=7,"Demitido","Afastamento"))),VLOOKUP(J508,Conf!$H:$I,2,0))</f>
        <v>Ativos</v>
      </c>
      <c r="E508" s="187">
        <v>6</v>
      </c>
      <c r="F508" s="187">
        <v>2293</v>
      </c>
      <c r="G508" t="s">
        <v>749</v>
      </c>
      <c r="H508" s="71"/>
      <c r="I508" t="s">
        <v>350</v>
      </c>
      <c r="J508" s="187">
        <v>1</v>
      </c>
      <c r="K508" t="s">
        <v>1385</v>
      </c>
      <c r="L508" s="185"/>
      <c r="M508" s="188">
        <v>45846</v>
      </c>
      <c r="N508" s="71"/>
      <c r="Q508" s="71"/>
      <c r="R508" s="71"/>
      <c r="S508" t="s">
        <v>660</v>
      </c>
      <c r="T508" s="71"/>
    </row>
    <row r="509" spans="1:20" x14ac:dyDescent="0.3">
      <c r="A509" s="72">
        <f>IFERROR(VLOOKUP($G509,Conf!$B:$C,2,0),E509)</f>
        <v>6</v>
      </c>
      <c r="B509" s="72" t="str">
        <f ca="1">IF(D509="Inativo","Inativo",IFERROR(VLOOKUP($G509,Conf!$O:$Q,2,0),VLOOKUP($S509,Conf!$K:$M,2,0)))</f>
        <v>HORTIFRUTI</v>
      </c>
      <c r="C509" s="72" t="str">
        <f ca="1">IF(D509="Inativo","Inativo",IFERROR(VLOOKUP($G509,Conf!$O:$Q,3,0),IFERROR(VLOOKUP($G509,Conf!$E:$F,2,0),VLOOKUP($S509,Conf!$K:$M,3,0))))</f>
        <v>ENCARREGADO</v>
      </c>
      <c r="D509" s="72" t="str">
        <f ca="1">IFERROR(IF(TODAY()-K509&gt;365,"Inativo",IF(J509=2,"Férias",IF(J509=7,"Demitido","Afastamento"))),VLOOKUP(J509,Conf!$H:$I,2,0))</f>
        <v>Ativos</v>
      </c>
      <c r="E509" s="187">
        <v>6</v>
      </c>
      <c r="F509" s="187">
        <v>996</v>
      </c>
      <c r="G509" t="s">
        <v>719</v>
      </c>
      <c r="H509" s="71"/>
      <c r="I509" t="s">
        <v>222</v>
      </c>
      <c r="J509" s="187">
        <v>1</v>
      </c>
      <c r="K509" t="s">
        <v>1385</v>
      </c>
      <c r="L509" s="185"/>
      <c r="M509" s="188">
        <v>41926</v>
      </c>
      <c r="N509" s="71"/>
      <c r="O509" s="71"/>
      <c r="P509" s="71"/>
      <c r="Q509" s="71"/>
      <c r="R509" s="71"/>
      <c r="S509" t="s">
        <v>429</v>
      </c>
      <c r="T509" s="71"/>
    </row>
    <row r="510" spans="1:20" x14ac:dyDescent="0.3">
      <c r="A510" s="72">
        <f>IFERROR(VLOOKUP($G510,Conf!$B:$C,2,0),E510)</f>
        <v>6</v>
      </c>
      <c r="B510" s="72" t="str">
        <f ca="1">IF(D510="Inativo","Inativo",IFERROR(VLOOKUP($G510,Conf!$O:$Q,2,0),VLOOKUP($S510,Conf!$K:$M,2,0)))</f>
        <v>HORTIFRUTI</v>
      </c>
      <c r="C510" s="72" t="str">
        <f ca="1">IF(D510="Inativo","Inativo",IFERROR(VLOOKUP($G510,Conf!$O:$Q,3,0),IFERROR(VLOOKUP($G510,Conf!$E:$F,2,0),VLOOKUP($S510,Conf!$K:$M,3,0))))</f>
        <v>REPOSITOR</v>
      </c>
      <c r="D510" s="72" t="str">
        <f ca="1">IFERROR(IF(TODAY()-K510&gt;365,"Inativo",IF(J510=2,"Férias",IF(J510=7,"Demitido","Afastamento"))),VLOOKUP(J510,Conf!$H:$I,2,0))</f>
        <v>Ativos</v>
      </c>
      <c r="E510" s="187">
        <v>6</v>
      </c>
      <c r="F510" s="187">
        <v>22</v>
      </c>
      <c r="G510" t="s">
        <v>1455</v>
      </c>
      <c r="H510" s="71"/>
      <c r="I510" t="s">
        <v>220</v>
      </c>
      <c r="J510" s="187">
        <v>1</v>
      </c>
      <c r="K510" t="s">
        <v>1385</v>
      </c>
      <c r="L510" s="185"/>
      <c r="M510" s="188">
        <v>46239</v>
      </c>
      <c r="N510" s="71"/>
      <c r="O510" s="71"/>
      <c r="P510" s="71"/>
      <c r="Q510" s="71"/>
      <c r="R510" s="71"/>
      <c r="S510" t="s">
        <v>722</v>
      </c>
      <c r="T510" s="71"/>
    </row>
    <row r="511" spans="1:20" x14ac:dyDescent="0.3">
      <c r="A511" s="72">
        <f>IFERROR(VLOOKUP($G511,Conf!$B:$C,2,0),E511)</f>
        <v>6</v>
      </c>
      <c r="B511" s="72" t="str">
        <f ca="1">IF(D511="Inativo","Inativo",IFERROR(VLOOKUP($G511,Conf!$O:$Q,2,0),VLOOKUP($S511,Conf!$K:$M,2,0)))</f>
        <v>HORTIFRUTI</v>
      </c>
      <c r="C511" s="72" t="str">
        <f ca="1">IF(D511="Inativo","Inativo",IFERROR(VLOOKUP($G511,Conf!$O:$Q,3,0),IFERROR(VLOOKUP($G511,Conf!$E:$F,2,0),VLOOKUP($S511,Conf!$K:$M,3,0))))</f>
        <v>REPOSITOR</v>
      </c>
      <c r="D511" s="72" t="str">
        <f ca="1">IFERROR(IF(TODAY()-K511&gt;365,"Inativo",IF(J511=2,"Férias",IF(J511=7,"Demitido","Afastamento"))),VLOOKUP(J511,Conf!$H:$I,2,0))</f>
        <v>Ativos</v>
      </c>
      <c r="E511" s="187">
        <v>6</v>
      </c>
      <c r="F511" s="187">
        <v>827</v>
      </c>
      <c r="G511" t="s">
        <v>720</v>
      </c>
      <c r="H511" s="71"/>
      <c r="I511" t="s">
        <v>258</v>
      </c>
      <c r="J511" s="187">
        <v>1</v>
      </c>
      <c r="K511" t="s">
        <v>1385</v>
      </c>
      <c r="L511" s="185"/>
      <c r="M511" s="188">
        <v>41582</v>
      </c>
      <c r="N511" s="71"/>
      <c r="O511" s="71"/>
      <c r="P511" s="71"/>
      <c r="Q511" s="71"/>
      <c r="R511" s="71"/>
      <c r="S511" t="s">
        <v>320</v>
      </c>
      <c r="T511" s="71"/>
    </row>
    <row r="512" spans="1:20" x14ac:dyDescent="0.3">
      <c r="A512" s="72">
        <f>IFERROR(VLOOKUP($G512,Conf!$B:$C,2,0),E512)</f>
        <v>6</v>
      </c>
      <c r="B512" s="72" t="str">
        <f ca="1">IF(D512="Inativo","Inativo",IFERROR(VLOOKUP($G512,Conf!$O:$Q,2,0),VLOOKUP($S512,Conf!$K:$M,2,0)))</f>
        <v>HORTIFRUTI</v>
      </c>
      <c r="C512" s="72" t="str">
        <f ca="1">IF(D512="Inativo","Inativo",IFERROR(VLOOKUP($G512,Conf!$O:$Q,3,0),IFERROR(VLOOKUP($G512,Conf!$E:$F,2,0),VLOOKUP($S512,Conf!$K:$M,3,0))))</f>
        <v>REPOSITOR</v>
      </c>
      <c r="D512" s="72" t="str">
        <f ca="1">IFERROR(IF(TODAY()-K512&gt;365,"Inativo",IF(J512=2,"Férias",IF(J512=7,"Demitido","Afastamento"))),VLOOKUP(J512,Conf!$H:$I,2,0))</f>
        <v>Ativos</v>
      </c>
      <c r="E512" s="187">
        <v>6</v>
      </c>
      <c r="F512" s="187">
        <v>10</v>
      </c>
      <c r="G512" t="s">
        <v>721</v>
      </c>
      <c r="H512" s="71"/>
      <c r="I512" t="s">
        <v>396</v>
      </c>
      <c r="J512" s="187">
        <v>1</v>
      </c>
      <c r="K512" t="s">
        <v>1385</v>
      </c>
      <c r="L512" s="185"/>
      <c r="M512" s="188">
        <v>46128</v>
      </c>
      <c r="N512" s="71"/>
      <c r="O512" s="71"/>
      <c r="P512" s="71"/>
      <c r="Q512" s="71"/>
      <c r="R512" s="71"/>
      <c r="S512" t="s">
        <v>722</v>
      </c>
      <c r="T512" s="71"/>
    </row>
    <row r="513" spans="1:20" x14ac:dyDescent="0.3">
      <c r="A513" s="72">
        <f>IFERROR(VLOOKUP($G513,Conf!$B:$C,2,0),E513)</f>
        <v>6</v>
      </c>
      <c r="B513" s="72" t="str">
        <f ca="1">IF(D513="Inativo","Inativo",IFERROR(VLOOKUP($G513,Conf!$O:$Q,2,0),VLOOKUP($S513,Conf!$K:$M,2,0)))</f>
        <v>HORTIFRUTI</v>
      </c>
      <c r="C513" s="72" t="str">
        <f ca="1">IF(D513="Inativo","Inativo",IFERROR(VLOOKUP($G513,Conf!$O:$Q,3,0),IFERROR(VLOOKUP($G513,Conf!$E:$F,2,0),VLOOKUP($S513,Conf!$K:$M,3,0))))</f>
        <v>REPOSITOR</v>
      </c>
      <c r="D513" s="72" t="str">
        <f ca="1">IFERROR(IF(TODAY()-K513&gt;365,"Inativo",IF(J513=2,"Férias",IF(J513=7,"Demitido","Afastamento"))),VLOOKUP(J513,Conf!$H:$I,2,0))</f>
        <v>Ativos</v>
      </c>
      <c r="E513" s="187">
        <v>6</v>
      </c>
      <c r="F513" s="187">
        <v>2370</v>
      </c>
      <c r="G513" t="s">
        <v>723</v>
      </c>
      <c r="H513" s="71"/>
      <c r="I513" t="s">
        <v>258</v>
      </c>
      <c r="J513" s="187">
        <v>1</v>
      </c>
      <c r="K513" t="s">
        <v>1385</v>
      </c>
      <c r="L513" s="185"/>
      <c r="M513" s="188">
        <v>46058</v>
      </c>
      <c r="N513" s="71"/>
      <c r="Q513" s="71"/>
      <c r="R513" s="71"/>
      <c r="S513" t="s">
        <v>320</v>
      </c>
      <c r="T513" s="71"/>
    </row>
    <row r="514" spans="1:20" x14ac:dyDescent="0.3">
      <c r="A514" s="72">
        <f>IFERROR(VLOOKUP($G514,Conf!$B:$C,2,0),E514)</f>
        <v>6</v>
      </c>
      <c r="B514" s="72" t="str">
        <f ca="1">IF(D514="Inativo","Inativo",IFERROR(VLOOKUP($G514,Conf!$O:$Q,2,0),VLOOKUP($S514,Conf!$K:$M,2,0)))</f>
        <v>HORTIFRUTI</v>
      </c>
      <c r="C514" s="72" t="str">
        <f ca="1">IF(D514="Inativo","Inativo",IFERROR(VLOOKUP($G514,Conf!$O:$Q,3,0),IFERROR(VLOOKUP($G514,Conf!$E:$F,2,0),VLOOKUP($S514,Conf!$K:$M,3,0))))</f>
        <v>REPOSITOR</v>
      </c>
      <c r="D514" s="72" t="str">
        <f ca="1">IFERROR(IF(TODAY()-K514&gt;365,"Inativo",IF(J514=2,"Férias",IF(J514=7,"Demitido","Afastamento"))),VLOOKUP(J514,Conf!$H:$I,2,0))</f>
        <v>Ativos</v>
      </c>
      <c r="E514" s="187">
        <v>6</v>
      </c>
      <c r="F514" s="187">
        <v>2290</v>
      </c>
      <c r="G514" t="s">
        <v>724</v>
      </c>
      <c r="H514" s="71"/>
      <c r="I514" t="s">
        <v>220</v>
      </c>
      <c r="J514" s="187">
        <v>1</v>
      </c>
      <c r="K514" t="s">
        <v>1385</v>
      </c>
      <c r="L514" s="185"/>
      <c r="M514" s="188">
        <v>45839</v>
      </c>
      <c r="N514" s="71"/>
      <c r="Q514" s="71"/>
      <c r="R514" s="71"/>
      <c r="S514" t="s">
        <v>320</v>
      </c>
      <c r="T514" s="71"/>
    </row>
    <row r="515" spans="1:20" x14ac:dyDescent="0.3">
      <c r="A515" s="72">
        <f>IFERROR(VLOOKUP($G515,Conf!$B:$C,2,0),E515)</f>
        <v>6</v>
      </c>
      <c r="B515" s="72" t="str">
        <f ca="1">IF(D515="Inativo","Inativo",IFERROR(VLOOKUP($G515,Conf!$O:$Q,2,0),VLOOKUP($S515,Conf!$K:$M,2,0)))</f>
        <v>LOJA</v>
      </c>
      <c r="C515" s="72" t="str">
        <f ca="1">IF(D515="Inativo","Inativo",IFERROR(VLOOKUP($G515,Conf!$O:$Q,3,0),IFERROR(VLOOKUP($G515,Conf!$E:$F,2,0),VLOOKUP($S515,Conf!$K:$M,3,0))))</f>
        <v>CARTAZISTA</v>
      </c>
      <c r="D515" s="72" t="str">
        <f ca="1">IFERROR(IF(TODAY()-K515&gt;365,"Inativo",IF(J515=2,"Férias",IF(J515=7,"Demitido","Afastamento"))),VLOOKUP(J515,Conf!$H:$I,2,0))</f>
        <v>Ativos</v>
      </c>
      <c r="E515" s="187">
        <v>6</v>
      </c>
      <c r="F515" s="187">
        <v>955</v>
      </c>
      <c r="G515" t="s">
        <v>732</v>
      </c>
      <c r="H515" s="71"/>
      <c r="I515" t="s">
        <v>244</v>
      </c>
      <c r="J515" s="187">
        <v>1</v>
      </c>
      <c r="K515" t="s">
        <v>1385</v>
      </c>
      <c r="L515" s="185"/>
      <c r="M515" s="188">
        <v>41841</v>
      </c>
      <c r="N515" s="71"/>
      <c r="Q515" s="71"/>
      <c r="R515" s="71"/>
      <c r="S515" t="s">
        <v>733</v>
      </c>
      <c r="T515" s="71"/>
    </row>
    <row r="516" spans="1:20" x14ac:dyDescent="0.3">
      <c r="A516" s="72">
        <f>IFERROR(VLOOKUP($G516,Conf!$B:$C,2,0),E516)</f>
        <v>6</v>
      </c>
      <c r="B516" s="72" t="str">
        <f ca="1">IF(D516="Inativo","Inativo",IFERROR(VLOOKUP($G516,Conf!$O:$Q,2,0),VLOOKUP($S516,Conf!$K:$M,2,0)))</f>
        <v>LOJA</v>
      </c>
      <c r="C516" s="72" t="str">
        <f ca="1">IF(D516="Inativo","Inativo",IFERROR(VLOOKUP($G516,Conf!$O:$Q,3,0),IFERROR(VLOOKUP($G516,Conf!$E:$F,2,0),VLOOKUP($S516,Conf!$K:$M,3,0))))</f>
        <v>ENCARREGADO</v>
      </c>
      <c r="D516" s="72" t="str">
        <f ca="1">IFERROR(IF(TODAY()-K516&gt;365,"Inativo",IF(J516=2,"Férias",IF(J516=7,"Demitido","Afastamento"))),VLOOKUP(J516,Conf!$H:$I,2,0))</f>
        <v>Ativos</v>
      </c>
      <c r="E516" s="187">
        <v>6</v>
      </c>
      <c r="F516" s="187">
        <v>3</v>
      </c>
      <c r="G516" t="s">
        <v>736</v>
      </c>
      <c r="H516" s="71"/>
      <c r="I516" t="s">
        <v>220</v>
      </c>
      <c r="J516" s="187">
        <v>1</v>
      </c>
      <c r="K516" t="s">
        <v>1385</v>
      </c>
      <c r="L516" s="185"/>
      <c r="M516" s="188">
        <v>46090</v>
      </c>
      <c r="N516" s="71"/>
      <c r="Q516" s="71"/>
      <c r="R516" s="71"/>
      <c r="S516" t="s">
        <v>737</v>
      </c>
      <c r="T516" s="71"/>
    </row>
    <row r="517" spans="1:20" x14ac:dyDescent="0.3">
      <c r="A517" s="72">
        <f>IFERROR(VLOOKUP($G517,Conf!$B:$C,2,0),E517)</f>
        <v>6</v>
      </c>
      <c r="B517" s="72" t="str">
        <f ca="1">IF(D517="Inativo","Inativo",IFERROR(VLOOKUP($G517,Conf!$O:$Q,2,0),VLOOKUP($S517,Conf!$K:$M,2,0)))</f>
        <v>LOJA</v>
      </c>
      <c r="C517" s="72" t="str">
        <f ca="1">IF(D517="Inativo","Inativo",IFERROR(VLOOKUP($G517,Conf!$O:$Q,3,0),IFERROR(VLOOKUP($G517,Conf!$E:$F,2,0),VLOOKUP($S517,Conf!$K:$M,3,0))))</f>
        <v>REPOSITOR</v>
      </c>
      <c r="D517" s="72" t="str">
        <f ca="1">IFERROR(IF(TODAY()-K517&gt;365,"Inativo",IF(J517=2,"Férias",IF(J517=7,"Demitido","Afastamento"))),VLOOKUP(J517,Conf!$H:$I,2,0))</f>
        <v>Ativos</v>
      </c>
      <c r="E517" s="187">
        <v>6</v>
      </c>
      <c r="F517" s="187">
        <v>23</v>
      </c>
      <c r="G517" t="s">
        <v>1456</v>
      </c>
      <c r="H517" s="71"/>
      <c r="I517" t="s">
        <v>220</v>
      </c>
      <c r="J517" s="187">
        <v>1</v>
      </c>
      <c r="K517" t="s">
        <v>1385</v>
      </c>
      <c r="L517" s="185"/>
      <c r="M517" s="188">
        <v>46240</v>
      </c>
      <c r="N517" s="71"/>
      <c r="Q517" s="71"/>
      <c r="R517" s="71"/>
      <c r="S517" t="s">
        <v>739</v>
      </c>
      <c r="T517" s="71"/>
    </row>
    <row r="518" spans="1:20" x14ac:dyDescent="0.3">
      <c r="A518" s="72">
        <f>IFERROR(VLOOKUP($G518,Conf!$B:$C,2,0),E518)</f>
        <v>6</v>
      </c>
      <c r="B518" s="72" t="str">
        <f ca="1">IF(D518="Inativo","Inativo",IFERROR(VLOOKUP($G518,Conf!$O:$Q,2,0),VLOOKUP($S518,Conf!$K:$M,2,0)))</f>
        <v>LOJA</v>
      </c>
      <c r="C518" s="72" t="str">
        <f ca="1">IF(D518="Inativo","Inativo",IFERROR(VLOOKUP($G518,Conf!$O:$Q,3,0),IFERROR(VLOOKUP($G518,Conf!$E:$F,2,0),VLOOKUP($S518,Conf!$K:$M,3,0))))</f>
        <v>REPOSITOR</v>
      </c>
      <c r="D518" s="72" t="str">
        <f ca="1">IFERROR(IF(TODAY()-K518&gt;365,"Inativo",IF(J518=2,"Férias",IF(J518=7,"Demitido","Afastamento"))),VLOOKUP(J518,Conf!$H:$I,2,0))</f>
        <v>Ativos</v>
      </c>
      <c r="E518" s="187">
        <v>6</v>
      </c>
      <c r="F518" s="187">
        <v>2176</v>
      </c>
      <c r="G518" t="s">
        <v>740</v>
      </c>
      <c r="H518" s="71"/>
      <c r="I518" t="s">
        <v>258</v>
      </c>
      <c r="J518" s="187">
        <v>1</v>
      </c>
      <c r="K518" t="s">
        <v>1385</v>
      </c>
      <c r="L518" s="185"/>
      <c r="M518" s="188">
        <v>45610</v>
      </c>
      <c r="N518" s="71"/>
      <c r="Q518" s="71"/>
      <c r="R518" s="71"/>
      <c r="S518" t="s">
        <v>742</v>
      </c>
      <c r="T518" s="71"/>
    </row>
    <row r="519" spans="1:20" x14ac:dyDescent="0.3">
      <c r="A519" s="72">
        <f>IFERROR(VLOOKUP($G519,Conf!$B:$C,2,0),E519)</f>
        <v>6</v>
      </c>
      <c r="B519" s="72" t="str">
        <f ca="1">IF(D519="Inativo","Inativo",IFERROR(VLOOKUP($G519,Conf!$O:$Q,2,0),VLOOKUP($S519,Conf!$K:$M,2,0)))</f>
        <v>LOJA</v>
      </c>
      <c r="C519" s="72" t="str">
        <f ca="1">IF(D519="Inativo","Inativo",IFERROR(VLOOKUP($G519,Conf!$O:$Q,3,0),IFERROR(VLOOKUP($G519,Conf!$E:$F,2,0),VLOOKUP($S519,Conf!$K:$M,3,0))))</f>
        <v>REPOSITOR</v>
      </c>
      <c r="D519" s="72" t="str">
        <f ca="1">IFERROR(IF(TODAY()-K519&gt;365,"Inativo",IF(J519=2,"Férias",IF(J519=7,"Demitido","Afastamento"))),VLOOKUP(J519,Conf!$H:$I,2,0))</f>
        <v>Ativos</v>
      </c>
      <c r="E519" s="187">
        <v>6</v>
      </c>
      <c r="F519" s="187">
        <v>24</v>
      </c>
      <c r="G519" t="s">
        <v>1460</v>
      </c>
      <c r="H519" s="71"/>
      <c r="I519" t="s">
        <v>220</v>
      </c>
      <c r="J519" s="187">
        <v>1</v>
      </c>
      <c r="K519" t="s">
        <v>1385</v>
      </c>
      <c r="L519" s="185"/>
      <c r="M519" s="188">
        <v>46244</v>
      </c>
      <c r="N519" s="71"/>
      <c r="Q519" s="71"/>
      <c r="R519" s="71"/>
      <c r="S519" t="s">
        <v>739</v>
      </c>
    </row>
    <row r="520" spans="1:20" x14ac:dyDescent="0.3">
      <c r="A520" s="72">
        <f>IFERROR(VLOOKUP($G520,Conf!$B:$C,2,0),E520)</f>
        <v>6</v>
      </c>
      <c r="B520" s="72" t="str">
        <f ca="1">IF(D520="Inativo","Inativo",IFERROR(VLOOKUP($G520,Conf!$O:$Q,2,0),VLOOKUP($S520,Conf!$K:$M,2,0)))</f>
        <v>LOJA</v>
      </c>
      <c r="C520" s="72" t="str">
        <f ca="1">IF(D520="Inativo","Inativo",IFERROR(VLOOKUP($G520,Conf!$O:$Q,3,0),IFERROR(VLOOKUP($G520,Conf!$E:$F,2,0),VLOOKUP($S520,Conf!$K:$M,3,0))))</f>
        <v>REPOSITOR</v>
      </c>
      <c r="D520" s="72" t="str">
        <f ca="1">IFERROR(IF(TODAY()-K520&gt;365,"Inativo",IF(J520=2,"Férias",IF(J520=7,"Demitido","Afastamento"))),VLOOKUP(J520,Conf!$H:$I,2,0))</f>
        <v>Ativos</v>
      </c>
      <c r="E520" s="187">
        <v>6</v>
      </c>
      <c r="F520" s="187">
        <v>4</v>
      </c>
      <c r="G520" t="s">
        <v>743</v>
      </c>
      <c r="H520" s="71"/>
      <c r="I520" t="s">
        <v>220</v>
      </c>
      <c r="J520" s="187">
        <v>1</v>
      </c>
      <c r="K520" t="s">
        <v>1385</v>
      </c>
      <c r="L520" s="185"/>
      <c r="M520" s="188">
        <v>46101</v>
      </c>
      <c r="N520" s="71"/>
      <c r="O520" s="71"/>
      <c r="P520" s="71"/>
      <c r="Q520" s="71"/>
      <c r="R520" s="71"/>
      <c r="S520" t="s">
        <v>739</v>
      </c>
      <c r="T520" s="71"/>
    </row>
    <row r="521" spans="1:20" x14ac:dyDescent="0.3">
      <c r="A521" s="72">
        <f>IFERROR(VLOOKUP($G521,Conf!$B:$C,2,0),E521)</f>
        <v>6</v>
      </c>
      <c r="B521" s="72" t="str">
        <f ca="1">IF(D521="Inativo","Inativo",IFERROR(VLOOKUP($G521,Conf!$O:$Q,2,0),VLOOKUP($S521,Conf!$K:$M,2,0)))</f>
        <v>LOJA</v>
      </c>
      <c r="C521" s="72" t="str">
        <f ca="1">IF(D521="Inativo","Inativo",IFERROR(VLOOKUP($G521,Conf!$O:$Q,3,0),IFERROR(VLOOKUP($G521,Conf!$E:$F,2,0),VLOOKUP($S521,Conf!$K:$M,3,0))))</f>
        <v>REPOSITOR</v>
      </c>
      <c r="D521" s="72" t="str">
        <f ca="1">IFERROR(IF(TODAY()-K521&gt;365,"Inativo",IF(J521=2,"Férias",IF(J521=7,"Demitido","Afastamento"))),VLOOKUP(J521,Conf!$H:$I,2,0))</f>
        <v>Ativos</v>
      </c>
      <c r="E521" s="187">
        <v>6</v>
      </c>
      <c r="F521" s="187">
        <v>2383</v>
      </c>
      <c r="G521" t="s">
        <v>744</v>
      </c>
      <c r="H521" s="71"/>
      <c r="I521" t="s">
        <v>220</v>
      </c>
      <c r="J521" s="187">
        <v>1</v>
      </c>
      <c r="K521" t="s">
        <v>1385</v>
      </c>
      <c r="L521" s="185"/>
      <c r="M521" s="188">
        <v>46072</v>
      </c>
      <c r="N521" s="71"/>
      <c r="Q521" s="71"/>
      <c r="R521" s="71"/>
      <c r="S521" t="s">
        <v>358</v>
      </c>
      <c r="T521" s="71"/>
    </row>
    <row r="522" spans="1:20" x14ac:dyDescent="0.3">
      <c r="A522" s="72">
        <f>IFERROR(VLOOKUP($G522,Conf!$B:$C,2,0),E522)</f>
        <v>6</v>
      </c>
      <c r="B522" s="72" t="str">
        <f ca="1">IF(D522="Inativo","Inativo",IFERROR(VLOOKUP($G522,Conf!$O:$Q,2,0),VLOOKUP($S522,Conf!$K:$M,2,0)))</f>
        <v>LOJA</v>
      </c>
      <c r="C522" s="72" t="str">
        <f ca="1">IF(D522="Inativo","Inativo",IFERROR(VLOOKUP($G522,Conf!$O:$Q,3,0),IFERROR(VLOOKUP($G522,Conf!$E:$F,2,0),VLOOKUP($S522,Conf!$K:$M,3,0))))</f>
        <v>REPOSITOR</v>
      </c>
      <c r="D522" s="72" t="str">
        <f ca="1">IFERROR(IF(TODAY()-K522&gt;365,"Inativo",IF(J522=2,"Férias",IF(J522=7,"Demitido","Afastamento"))),VLOOKUP(J522,Conf!$H:$I,2,0))</f>
        <v>Ativos</v>
      </c>
      <c r="E522" s="187">
        <v>6</v>
      </c>
      <c r="F522" s="187">
        <v>7</v>
      </c>
      <c r="G522" t="s">
        <v>745</v>
      </c>
      <c r="H522" s="71"/>
      <c r="I522" t="s">
        <v>220</v>
      </c>
      <c r="J522" s="187">
        <v>1</v>
      </c>
      <c r="K522" t="s">
        <v>1385</v>
      </c>
      <c r="L522" s="185"/>
      <c r="M522" s="188">
        <v>46118</v>
      </c>
      <c r="N522" s="71"/>
      <c r="Q522" s="71"/>
      <c r="R522" s="71"/>
      <c r="S522" t="s">
        <v>739</v>
      </c>
      <c r="T522" s="71"/>
    </row>
    <row r="523" spans="1:20" x14ac:dyDescent="0.3">
      <c r="A523" s="72">
        <f>IFERROR(VLOOKUP($G523,Conf!$B:$C,2,0),E523)</f>
        <v>6</v>
      </c>
      <c r="B523" s="72" t="str">
        <f ca="1">IF(D523="Inativo","Inativo",IFERROR(VLOOKUP($G523,Conf!$O:$Q,2,0),VLOOKUP($S523,Conf!$K:$M,2,0)))</f>
        <v>LOJA</v>
      </c>
      <c r="C523" s="72" t="str">
        <f ca="1">IF(D523="Inativo","Inativo",IFERROR(VLOOKUP($G523,Conf!$O:$Q,3,0),IFERROR(VLOOKUP($G523,Conf!$E:$F,2,0),VLOOKUP($S523,Conf!$K:$M,3,0))))</f>
        <v>REPOSITOR</v>
      </c>
      <c r="D523" s="72" t="str">
        <f ca="1">IFERROR(IF(TODAY()-K523&gt;365,"Inativo",IF(J523=2,"Férias",IF(J523=7,"Demitido","Afastamento"))),VLOOKUP(J523,Conf!$H:$I,2,0))</f>
        <v>Ativos</v>
      </c>
      <c r="E523" s="187">
        <v>6</v>
      </c>
      <c r="F523" s="187">
        <v>2138</v>
      </c>
      <c r="G523" t="s">
        <v>746</v>
      </c>
      <c r="H523" s="71"/>
      <c r="I523" t="s">
        <v>244</v>
      </c>
      <c r="J523" s="187">
        <v>1</v>
      </c>
      <c r="K523" t="s">
        <v>1385</v>
      </c>
      <c r="L523" s="185"/>
      <c r="M523" s="188">
        <v>45538</v>
      </c>
      <c r="N523" s="71"/>
      <c r="Q523" s="71"/>
      <c r="R523" s="71"/>
      <c r="S523" t="s">
        <v>358</v>
      </c>
      <c r="T523" s="71"/>
    </row>
    <row r="524" spans="1:20" x14ac:dyDescent="0.3">
      <c r="A524" s="72">
        <f>IFERROR(VLOOKUP($G524,Conf!$B:$C,2,0),E524)</f>
        <v>6</v>
      </c>
      <c r="B524" s="72" t="str">
        <f ca="1">IF(D524="Inativo","Inativo",IFERROR(VLOOKUP($G524,Conf!$O:$Q,2,0),VLOOKUP($S524,Conf!$K:$M,2,0)))</f>
        <v>LOJA</v>
      </c>
      <c r="C524" s="72" t="str">
        <f ca="1">IF(D524="Inativo","Inativo",IFERROR(VLOOKUP($G524,Conf!$O:$Q,3,0),IFERROR(VLOOKUP($G524,Conf!$E:$F,2,0),VLOOKUP($S524,Conf!$K:$M,3,0))))</f>
        <v>REPOSITOR</v>
      </c>
      <c r="D524" s="72" t="str">
        <f ca="1">IFERROR(IF(TODAY()-K524&gt;365,"Inativo",IF(J524=2,"Férias",IF(J524=7,"Demitido","Afastamento"))),VLOOKUP(J524,Conf!$H:$I,2,0))</f>
        <v>Ativos</v>
      </c>
      <c r="E524" s="187">
        <v>6</v>
      </c>
      <c r="F524" s="187">
        <v>2401</v>
      </c>
      <c r="G524" t="s">
        <v>747</v>
      </c>
      <c r="H524" s="71"/>
      <c r="I524" t="s">
        <v>220</v>
      </c>
      <c r="J524" s="187">
        <v>1</v>
      </c>
      <c r="K524" t="s">
        <v>1385</v>
      </c>
      <c r="L524" s="185"/>
      <c r="M524" s="188">
        <v>46085</v>
      </c>
      <c r="N524" s="71"/>
      <c r="O524" s="71"/>
      <c r="P524" s="71"/>
      <c r="Q524" s="71"/>
      <c r="R524" s="71"/>
      <c r="S524" t="s">
        <v>358</v>
      </c>
      <c r="T524" s="71"/>
    </row>
    <row r="525" spans="1:20" x14ac:dyDescent="0.3">
      <c r="A525" s="72">
        <f>IFERROR(VLOOKUP($G525,Conf!$B:$C,2,0),E525)</f>
        <v>6</v>
      </c>
      <c r="B525" s="72" t="str">
        <f ca="1">IF(D525="Inativo","Inativo",IFERROR(VLOOKUP($G525,Conf!$O:$Q,2,0),VLOOKUP($S525,Conf!$K:$M,2,0)))</f>
        <v>LOJA</v>
      </c>
      <c r="C525" s="72" t="str">
        <f ca="1">IF(D525="Inativo","Inativo",IFERROR(VLOOKUP($G525,Conf!$O:$Q,3,0),IFERROR(VLOOKUP($G525,Conf!$E:$F,2,0),VLOOKUP($S525,Conf!$K:$M,3,0))))</f>
        <v>REPOSITOR</v>
      </c>
      <c r="D525" s="72" t="str">
        <f ca="1">IFERROR(IF(TODAY()-K525&gt;365,"Inativo",IF(J525=2,"Férias",IF(J525=7,"Demitido","Afastamento"))),VLOOKUP(J525,Conf!$H:$I,2,0))</f>
        <v>Ativos</v>
      </c>
      <c r="E525" s="187">
        <v>6</v>
      </c>
      <c r="F525" s="187">
        <v>2375</v>
      </c>
      <c r="G525" t="s">
        <v>748</v>
      </c>
      <c r="H525" s="71"/>
      <c r="I525" t="s">
        <v>220</v>
      </c>
      <c r="J525" s="187">
        <v>1</v>
      </c>
      <c r="K525" t="s">
        <v>1385</v>
      </c>
      <c r="L525" s="185"/>
      <c r="M525" s="188">
        <v>46063</v>
      </c>
      <c r="N525" s="71"/>
      <c r="O525" s="71"/>
      <c r="P525" s="71"/>
      <c r="Q525" s="71"/>
      <c r="R525" s="71"/>
      <c r="S525" t="s">
        <v>358</v>
      </c>
      <c r="T525" s="71"/>
    </row>
    <row r="526" spans="1:20" x14ac:dyDescent="0.3">
      <c r="A526" s="72">
        <f>IFERROR(VLOOKUP($G526,Conf!$B:$C,2,0),E526)</f>
        <v>6</v>
      </c>
      <c r="B526" s="72" t="str">
        <f ca="1">IF(D526="Inativo","Inativo",IFERROR(VLOOKUP($G526,Conf!$O:$Q,2,0),VLOOKUP($S526,Conf!$K:$M,2,0)))</f>
        <v>LOJA</v>
      </c>
      <c r="C526" s="72" t="str">
        <f ca="1">IF(D526="Inativo","Inativo",IFERROR(VLOOKUP($G526,Conf!$O:$Q,3,0),IFERROR(VLOOKUP($G526,Conf!$E:$F,2,0),VLOOKUP($S526,Conf!$K:$M,3,0))))</f>
        <v>REPOSITOR</v>
      </c>
      <c r="D526" s="72" t="str">
        <f ca="1">IFERROR(IF(TODAY()-K526&gt;365,"Inativo",IF(J526=2,"Férias",IF(J526=7,"Demitido","Afastamento"))),VLOOKUP(J526,Conf!$H:$I,2,0))</f>
        <v>Ativos</v>
      </c>
      <c r="E526" s="187">
        <v>6</v>
      </c>
      <c r="F526" s="187">
        <v>19</v>
      </c>
      <c r="G526" t="s">
        <v>1334</v>
      </c>
      <c r="H526" s="71"/>
      <c r="I526" t="s">
        <v>220</v>
      </c>
      <c r="J526" s="187">
        <v>1</v>
      </c>
      <c r="K526" t="s">
        <v>1385</v>
      </c>
      <c r="L526" s="185"/>
      <c r="M526" s="188">
        <v>46195</v>
      </c>
      <c r="N526" s="71"/>
      <c r="Q526" s="71"/>
      <c r="R526" s="71"/>
      <c r="S526" t="s">
        <v>739</v>
      </c>
      <c r="T526" s="71"/>
    </row>
    <row r="527" spans="1:20" x14ac:dyDescent="0.3">
      <c r="A527" s="72">
        <f>IFERROR(VLOOKUP($G527,Conf!$B:$C,2,0),E527)</f>
        <v>6</v>
      </c>
      <c r="B527" s="72" t="str">
        <f ca="1">IF(D527="Inativo","Inativo",IFERROR(VLOOKUP($G527,Conf!$O:$Q,2,0),VLOOKUP($S527,Conf!$K:$M,2,0)))</f>
        <v>PADARIA</v>
      </c>
      <c r="C527" s="72" t="str">
        <f ca="1">IF(D527="Inativo","Inativo",IFERROR(VLOOKUP($G527,Conf!$O:$Q,3,0),IFERROR(VLOOKUP($G527,Conf!$E:$F,2,0),VLOOKUP($S527,Conf!$K:$M,3,0))))</f>
        <v>ATENDENTE</v>
      </c>
      <c r="D527" s="72" t="str">
        <f ca="1">IFERROR(IF(TODAY()-K527&gt;365,"Inativo",IF(J527=2,"Férias",IF(J527=7,"Demitido","Afastamento"))),VLOOKUP(J527,Conf!$H:$I,2,0))</f>
        <v>Ativos</v>
      </c>
      <c r="E527" s="187">
        <v>6</v>
      </c>
      <c r="F527" s="187">
        <v>27</v>
      </c>
      <c r="G527" t="s">
        <v>1519</v>
      </c>
      <c r="H527" s="71"/>
      <c r="I527" t="s">
        <v>220</v>
      </c>
      <c r="J527" s="187">
        <v>1</v>
      </c>
      <c r="K527" t="s">
        <v>1385</v>
      </c>
      <c r="L527" s="185"/>
      <c r="M527" s="188">
        <v>46266</v>
      </c>
      <c r="N527" s="71"/>
      <c r="O527" s="71"/>
      <c r="P527" s="71"/>
      <c r="Q527" s="71"/>
      <c r="R527" s="71"/>
      <c r="S527" t="s">
        <v>758</v>
      </c>
    </row>
    <row r="528" spans="1:20" x14ac:dyDescent="0.3">
      <c r="A528" s="72">
        <f>IFERROR(VLOOKUP($G528,Conf!$B:$C,2,0),E528)</f>
        <v>6</v>
      </c>
      <c r="B528" s="72" t="str">
        <f ca="1">IF(D528="Inativo","Inativo",IFERROR(VLOOKUP($G528,Conf!$O:$Q,2,0),VLOOKUP($S528,Conf!$K:$M,2,0)))</f>
        <v>PADARIA</v>
      </c>
      <c r="C528" s="72" t="str">
        <f ca="1">IF(D528="Inativo","Inativo",IFERROR(VLOOKUP($G528,Conf!$O:$Q,3,0),IFERROR(VLOOKUP($G528,Conf!$E:$F,2,0),VLOOKUP($S528,Conf!$K:$M,3,0))))</f>
        <v>ATENDENTE</v>
      </c>
      <c r="D528" s="72" t="str">
        <f ca="1">IFERROR(IF(TODAY()-K528&gt;365,"Inativo",IF(J528=2,"Férias",IF(J528=7,"Demitido","Afastamento"))),VLOOKUP(J528,Conf!$H:$I,2,0))</f>
        <v>Ativos</v>
      </c>
      <c r="E528" s="187">
        <v>6</v>
      </c>
      <c r="F528" s="187">
        <v>32</v>
      </c>
      <c r="G528" t="s">
        <v>1651</v>
      </c>
      <c r="H528" s="71"/>
      <c r="I528" t="s">
        <v>220</v>
      </c>
      <c r="J528" s="187">
        <v>1</v>
      </c>
      <c r="K528" t="s">
        <v>1385</v>
      </c>
      <c r="L528" s="185"/>
      <c r="M528" s="188">
        <v>46302</v>
      </c>
      <c r="N528" s="71"/>
      <c r="O528" s="71"/>
      <c r="P528" s="71"/>
      <c r="Q528" s="71"/>
      <c r="R528" s="71"/>
      <c r="S528" t="s">
        <v>758</v>
      </c>
      <c r="T528" s="71"/>
    </row>
    <row r="529" spans="1:20" x14ac:dyDescent="0.3">
      <c r="A529" s="72">
        <f>IFERROR(VLOOKUP($G529,Conf!$B:$C,2,0),E529)</f>
        <v>6</v>
      </c>
      <c r="B529" s="72" t="str">
        <f ca="1">IF(D529="Inativo","Inativo",IFERROR(VLOOKUP($G529,Conf!$O:$Q,2,0),VLOOKUP($S529,Conf!$K:$M,2,0)))</f>
        <v>PADARIA</v>
      </c>
      <c r="C529" s="72" t="str">
        <f ca="1">IF(D529="Inativo","Inativo",IFERROR(VLOOKUP($G529,Conf!$O:$Q,3,0),IFERROR(VLOOKUP($G529,Conf!$E:$F,2,0),VLOOKUP($S529,Conf!$K:$M,3,0))))</f>
        <v>ATENDENTE</v>
      </c>
      <c r="D529" s="72" t="str">
        <f ca="1">IFERROR(IF(TODAY()-K529&gt;365,"Inativo",IF(J529=2,"Férias",IF(J529=7,"Demitido","Afastamento"))),VLOOKUP(J529,Conf!$H:$I,2,0))</f>
        <v>Ativos</v>
      </c>
      <c r="E529" s="187">
        <v>6</v>
      </c>
      <c r="F529" s="187">
        <v>707</v>
      </c>
      <c r="G529" t="s">
        <v>750</v>
      </c>
      <c r="H529" s="71"/>
      <c r="I529" t="s">
        <v>244</v>
      </c>
      <c r="J529" s="187">
        <v>1</v>
      </c>
      <c r="K529" t="s">
        <v>1385</v>
      </c>
      <c r="L529" s="185"/>
      <c r="M529" s="188">
        <v>41487</v>
      </c>
      <c r="N529" s="71"/>
      <c r="Q529" s="71"/>
      <c r="R529" s="71"/>
      <c r="S529" t="s">
        <v>589</v>
      </c>
      <c r="T529" s="71"/>
    </row>
    <row r="530" spans="1:20" x14ac:dyDescent="0.3">
      <c r="A530" s="72">
        <f>IFERROR(VLOOKUP($G530,Conf!$B:$C,2,0),E530)</f>
        <v>6</v>
      </c>
      <c r="B530" s="72" t="str">
        <f ca="1">IF(D530="Inativo","Inativo",IFERROR(VLOOKUP($G530,Conf!$O:$Q,2,0),VLOOKUP($S530,Conf!$K:$M,2,0)))</f>
        <v>PADARIA</v>
      </c>
      <c r="C530" s="72" t="str">
        <f ca="1">IF(D530="Inativo","Inativo",IFERROR(VLOOKUP($G530,Conf!$O:$Q,3,0),IFERROR(VLOOKUP($G530,Conf!$E:$F,2,0),VLOOKUP($S530,Conf!$K:$M,3,0))))</f>
        <v>ATENDENTE</v>
      </c>
      <c r="D530" s="72" t="str">
        <f ca="1">IFERROR(IF(TODAY()-K530&gt;365,"Inativo",IF(J530=2,"Férias",IF(J530=7,"Demitido","Afastamento"))),VLOOKUP(J530,Conf!$H:$I,2,0))</f>
        <v>Ativos</v>
      </c>
      <c r="E530" s="187">
        <v>6</v>
      </c>
      <c r="F530" s="187">
        <v>2254</v>
      </c>
      <c r="G530" t="s">
        <v>756</v>
      </c>
      <c r="H530" s="71"/>
      <c r="I530" t="s">
        <v>405</v>
      </c>
      <c r="J530" s="187">
        <v>1</v>
      </c>
      <c r="K530" t="s">
        <v>1385</v>
      </c>
      <c r="L530" s="185"/>
      <c r="M530" s="188">
        <v>45772</v>
      </c>
      <c r="N530" s="71"/>
      <c r="Q530" s="71"/>
      <c r="R530" s="71"/>
      <c r="S530" t="s">
        <v>589</v>
      </c>
      <c r="T530" s="71"/>
    </row>
    <row r="531" spans="1:20" x14ac:dyDescent="0.3">
      <c r="A531" s="72">
        <f>IFERROR(VLOOKUP($G531,Conf!$B:$C,2,0),E531)</f>
        <v>6</v>
      </c>
      <c r="B531" s="72" t="str">
        <f ca="1">IF(D531="Inativo","Inativo",IFERROR(VLOOKUP($G531,Conf!$O:$Q,2,0),VLOOKUP($S531,Conf!$K:$M,2,0)))</f>
        <v>PADARIA</v>
      </c>
      <c r="C531" s="72" t="str">
        <f ca="1">IF(D531="Inativo","Inativo",IFERROR(VLOOKUP($G531,Conf!$O:$Q,3,0),IFERROR(VLOOKUP($G531,Conf!$E:$F,2,0),VLOOKUP($S531,Conf!$K:$M,3,0))))</f>
        <v>ATENDENTE</v>
      </c>
      <c r="D531" s="72" t="str">
        <f ca="1">IFERROR(IF(TODAY()-K531&gt;365,"Inativo",IF(J531=2,"Férias",IF(J531=7,"Demitido","Afastamento"))),VLOOKUP(J531,Conf!$H:$I,2,0))</f>
        <v>Ativos</v>
      </c>
      <c r="E531" s="187">
        <v>6</v>
      </c>
      <c r="F531" s="187">
        <v>2284</v>
      </c>
      <c r="G531" t="s">
        <v>757</v>
      </c>
      <c r="H531" s="71"/>
      <c r="I531" t="s">
        <v>220</v>
      </c>
      <c r="J531" s="187">
        <v>1</v>
      </c>
      <c r="K531" t="s">
        <v>1385</v>
      </c>
      <c r="L531" s="185"/>
      <c r="M531" s="188">
        <v>45819</v>
      </c>
      <c r="N531" s="71"/>
      <c r="O531" s="71"/>
      <c r="P531" s="71"/>
      <c r="Q531" s="71"/>
      <c r="R531" s="71"/>
      <c r="S531" t="s">
        <v>589</v>
      </c>
      <c r="T531" s="71"/>
    </row>
    <row r="532" spans="1:20" x14ac:dyDescent="0.3">
      <c r="A532" s="72">
        <f>IFERROR(VLOOKUP($G532,Conf!$B:$C,2,0),E532)</f>
        <v>6</v>
      </c>
      <c r="B532" s="72" t="str">
        <f ca="1">IF(D532="Inativo","Inativo",IFERROR(VLOOKUP($G532,Conf!$O:$Q,2,0),VLOOKUP($S532,Conf!$K:$M,2,0)))</f>
        <v>PADARIA</v>
      </c>
      <c r="C532" s="72" t="str">
        <f ca="1">IF(D532="Inativo","Inativo",IFERROR(VLOOKUP($G532,Conf!$O:$Q,3,0),IFERROR(VLOOKUP($G532,Conf!$E:$F,2,0),VLOOKUP($S532,Conf!$K:$M,3,0))))</f>
        <v>ATENDENTE</v>
      </c>
      <c r="D532" s="72" t="str">
        <f ca="1">IFERROR(IF(TODAY()-K532&gt;365,"Inativo",IF(J532=2,"Férias",IF(J532=7,"Demitido","Afastamento"))),VLOOKUP(J532,Conf!$H:$I,2,0))</f>
        <v>Ativos</v>
      </c>
      <c r="E532" s="187">
        <v>6</v>
      </c>
      <c r="F532" s="187">
        <v>2205</v>
      </c>
      <c r="G532" t="s">
        <v>759</v>
      </c>
      <c r="H532" s="71"/>
      <c r="I532" t="s">
        <v>222</v>
      </c>
      <c r="J532" s="187">
        <v>1</v>
      </c>
      <c r="K532" t="s">
        <v>1385</v>
      </c>
      <c r="L532" s="185"/>
      <c r="M532" s="188">
        <v>45691</v>
      </c>
      <c r="N532" s="71"/>
      <c r="Q532" s="71"/>
      <c r="R532" s="71"/>
      <c r="S532" t="s">
        <v>589</v>
      </c>
      <c r="T532" s="71"/>
    </row>
    <row r="533" spans="1:20" x14ac:dyDescent="0.3">
      <c r="A533" s="72">
        <f>IFERROR(VLOOKUP($G533,Conf!$B:$C,2,0),E533)</f>
        <v>6</v>
      </c>
      <c r="B533" s="72" t="str">
        <f ca="1">IF(D533="Inativo","Inativo",IFERROR(VLOOKUP($G533,Conf!$O:$Q,2,0),VLOOKUP($S533,Conf!$K:$M,2,0)))</f>
        <v>PADARIA</v>
      </c>
      <c r="C533" s="72" t="str">
        <f ca="1">IF(D533="Inativo","Inativo",IFERROR(VLOOKUP($G533,Conf!$O:$Q,3,0),IFERROR(VLOOKUP($G533,Conf!$E:$F,2,0),VLOOKUP($S533,Conf!$K:$M,3,0))))</f>
        <v>ATENDENTE</v>
      </c>
      <c r="D533" s="72" t="str">
        <f ca="1">IFERROR(IF(TODAY()-K533&gt;365,"Inativo",IF(J533=2,"Férias",IF(J533=7,"Demitido","Afastamento"))),VLOOKUP(J533,Conf!$H:$I,2,0))</f>
        <v>Ativos</v>
      </c>
      <c r="E533" s="187">
        <v>6</v>
      </c>
      <c r="F533" s="187">
        <v>31</v>
      </c>
      <c r="G533" t="s">
        <v>1625</v>
      </c>
      <c r="H533" s="71"/>
      <c r="I533" t="s">
        <v>220</v>
      </c>
      <c r="J533" s="187">
        <v>1</v>
      </c>
      <c r="K533" t="s">
        <v>1385</v>
      </c>
      <c r="L533" s="185"/>
      <c r="M533" s="188">
        <v>46296</v>
      </c>
      <c r="N533" s="71"/>
      <c r="Q533" s="71"/>
      <c r="R533" s="71"/>
      <c r="S533" t="s">
        <v>758</v>
      </c>
      <c r="T533" s="71"/>
    </row>
    <row r="534" spans="1:20" x14ac:dyDescent="0.3">
      <c r="A534" s="72">
        <f>IFERROR(VLOOKUP($G534,Conf!$B:$C,2,0),E534)</f>
        <v>6</v>
      </c>
      <c r="B534" s="72" t="str">
        <f ca="1">IF(D534="Inativo","Inativo",IFERROR(VLOOKUP($G534,Conf!$O:$Q,2,0),VLOOKUP($S534,Conf!$K:$M,2,0)))</f>
        <v>PADARIA</v>
      </c>
      <c r="C534" s="72" t="str">
        <f ca="1">IF(D534="Inativo","Inativo",IFERROR(VLOOKUP($G534,Conf!$O:$Q,3,0),IFERROR(VLOOKUP($G534,Conf!$E:$F,2,0),VLOOKUP($S534,Conf!$K:$M,3,0))))</f>
        <v>AUXILIAR</v>
      </c>
      <c r="D534" s="72" t="str">
        <f ca="1">IFERROR(IF(TODAY()-K534&gt;365,"Inativo",IF(J534=2,"Férias",IF(J534=7,"Demitido","Afastamento"))),VLOOKUP(J534,Conf!$H:$I,2,0))</f>
        <v>Ativos</v>
      </c>
      <c r="E534" s="187">
        <v>6</v>
      </c>
      <c r="F534" s="187">
        <v>2082</v>
      </c>
      <c r="G534" t="s">
        <v>751</v>
      </c>
      <c r="H534" s="71"/>
      <c r="I534" t="s">
        <v>220</v>
      </c>
      <c r="J534" s="187">
        <v>1</v>
      </c>
      <c r="K534" t="s">
        <v>1385</v>
      </c>
      <c r="L534" s="185"/>
      <c r="M534" s="188">
        <v>45428</v>
      </c>
      <c r="N534" s="71"/>
      <c r="O534" s="71"/>
      <c r="P534" s="71"/>
      <c r="Q534" s="71"/>
      <c r="R534" s="71"/>
      <c r="S534" t="s">
        <v>326</v>
      </c>
      <c r="T534" s="71"/>
    </row>
    <row r="535" spans="1:20" x14ac:dyDescent="0.3">
      <c r="A535" s="72">
        <f>IFERROR(VLOOKUP($G535,Conf!$B:$C,2,0),E535)</f>
        <v>6</v>
      </c>
      <c r="B535" s="72" t="str">
        <f ca="1">IF(D535="Inativo","Inativo",IFERROR(VLOOKUP($G535,Conf!$O:$Q,2,0),VLOOKUP($S535,Conf!$K:$M,2,0)))</f>
        <v>PADARIA</v>
      </c>
      <c r="C535" s="72" t="str">
        <f ca="1">IF(D535="Inativo","Inativo",IFERROR(VLOOKUP($G535,Conf!$O:$Q,3,0),IFERROR(VLOOKUP($G535,Conf!$E:$F,2,0),VLOOKUP($S535,Conf!$K:$M,3,0))))</f>
        <v>AUXILIAR</v>
      </c>
      <c r="D535" s="72" t="str">
        <f ca="1">IFERROR(IF(TODAY()-K535&gt;365,"Inativo",IF(J535=2,"Férias",IF(J535=7,"Demitido","Afastamento"))),VLOOKUP(J535,Conf!$H:$I,2,0))</f>
        <v>Ativos</v>
      </c>
      <c r="E535" s="187">
        <v>6</v>
      </c>
      <c r="F535" s="187">
        <v>2</v>
      </c>
      <c r="G535" t="s">
        <v>752</v>
      </c>
      <c r="H535" s="71"/>
      <c r="I535" t="s">
        <v>244</v>
      </c>
      <c r="J535" s="187">
        <v>1</v>
      </c>
      <c r="K535" t="s">
        <v>1385</v>
      </c>
      <c r="L535" s="185"/>
      <c r="M535" s="188">
        <v>46086</v>
      </c>
      <c r="N535" s="71"/>
      <c r="Q535" s="71"/>
      <c r="R535" s="71"/>
      <c r="S535" t="s">
        <v>753</v>
      </c>
      <c r="T535" s="71"/>
    </row>
    <row r="536" spans="1:20" x14ac:dyDescent="0.3">
      <c r="A536" s="72">
        <f>IFERROR(VLOOKUP($G536,Conf!$B:$C,2,0),E536)</f>
        <v>6</v>
      </c>
      <c r="B536" s="72" t="str">
        <f ca="1">IF(D536="Inativo","Inativo",IFERROR(VLOOKUP($G536,Conf!$O:$Q,2,0),VLOOKUP($S536,Conf!$K:$M,2,0)))</f>
        <v>PADARIA</v>
      </c>
      <c r="C536" s="72" t="str">
        <f ca="1">IF(D536="Inativo","Inativo",IFERROR(VLOOKUP($G536,Conf!$O:$Q,3,0),IFERROR(VLOOKUP($G536,Conf!$E:$F,2,0),VLOOKUP($S536,Conf!$K:$M,3,0))))</f>
        <v>AUXILIAR</v>
      </c>
      <c r="D536" s="72" t="str">
        <f ca="1">IFERROR(IF(TODAY()-K536&gt;365,"Inativo",IF(J536=2,"Férias",IF(J536=7,"Demitido","Afastamento"))),VLOOKUP(J536,Conf!$H:$I,2,0))</f>
        <v>Ativos</v>
      </c>
      <c r="E536" s="187">
        <v>6</v>
      </c>
      <c r="F536" s="187">
        <v>5</v>
      </c>
      <c r="G536" t="s">
        <v>754</v>
      </c>
      <c r="H536" s="71"/>
      <c r="I536" t="s">
        <v>244</v>
      </c>
      <c r="J536" s="187">
        <v>1</v>
      </c>
      <c r="K536" t="s">
        <v>1385</v>
      </c>
      <c r="L536" s="185"/>
      <c r="M536" s="188">
        <v>46106</v>
      </c>
      <c r="N536" s="71"/>
      <c r="Q536" s="71"/>
      <c r="R536" s="71"/>
      <c r="S536" t="s">
        <v>753</v>
      </c>
      <c r="T536" s="71"/>
    </row>
    <row r="537" spans="1:20" x14ac:dyDescent="0.3">
      <c r="A537" s="72">
        <f>IFERROR(VLOOKUP($G537,Conf!$B:$C,2,0),E537)</f>
        <v>6</v>
      </c>
      <c r="B537" s="72" t="str">
        <f ca="1">IF(D537="Inativo","Inativo",IFERROR(VLOOKUP($G537,Conf!$O:$Q,2,0),VLOOKUP($S537,Conf!$K:$M,2,0)))</f>
        <v>PADARIA</v>
      </c>
      <c r="C537" s="72" t="str">
        <f ca="1">IF(D537="Inativo","Inativo",IFERROR(VLOOKUP($G537,Conf!$O:$Q,3,0),IFERROR(VLOOKUP($G537,Conf!$E:$F,2,0),VLOOKUP($S537,Conf!$K:$M,3,0))))</f>
        <v>AUXILIAR</v>
      </c>
      <c r="D537" s="72" t="str">
        <f ca="1">IFERROR(IF(TODAY()-K537&gt;365,"Inativo",IF(J537=2,"Férias",IF(J537=7,"Demitido","Afastamento"))),VLOOKUP(J537,Conf!$H:$I,2,0))</f>
        <v>Ativos</v>
      </c>
      <c r="E537" s="187">
        <v>6</v>
      </c>
      <c r="F537" s="187">
        <v>2127</v>
      </c>
      <c r="G537" t="s">
        <v>755</v>
      </c>
      <c r="H537" s="71"/>
      <c r="I537" t="s">
        <v>741</v>
      </c>
      <c r="J537" s="187">
        <v>1</v>
      </c>
      <c r="K537" t="s">
        <v>1385</v>
      </c>
      <c r="L537" s="185"/>
      <c r="M537" s="188">
        <v>45518</v>
      </c>
      <c r="N537" s="71"/>
      <c r="Q537" s="71"/>
      <c r="R537" s="71"/>
      <c r="S537" t="s">
        <v>326</v>
      </c>
      <c r="T537" s="71"/>
    </row>
    <row r="538" spans="1:20" x14ac:dyDescent="0.3">
      <c r="A538" s="72">
        <f>IFERROR(VLOOKUP($G538,Conf!$B:$C,2,0),E538)</f>
        <v>6</v>
      </c>
      <c r="B538" s="72" t="str">
        <f ca="1">IF(D538="Inativo","Inativo",IFERROR(VLOOKUP($G538,Conf!$O:$Q,2,0),VLOOKUP($S538,Conf!$K:$M,2,0)))</f>
        <v>PADARIA</v>
      </c>
      <c r="C538" s="72" t="str">
        <f ca="1">IF(D538="Inativo","Inativo",IFERROR(VLOOKUP($G538,Conf!$O:$Q,3,0),IFERROR(VLOOKUP($G538,Conf!$E:$F,2,0),VLOOKUP($S538,Conf!$K:$M,3,0))))</f>
        <v>ENCARREGADO</v>
      </c>
      <c r="D538" s="72" t="str">
        <f ca="1">IFERROR(IF(TODAY()-K538&gt;365,"Inativo",IF(J538=2,"Férias",IF(J538=7,"Demitido","Afastamento"))),VLOOKUP(J538,Conf!$H:$I,2,0))</f>
        <v>Ativos</v>
      </c>
      <c r="E538" s="187">
        <v>6</v>
      </c>
      <c r="F538" s="187">
        <v>735</v>
      </c>
      <c r="G538" t="s">
        <v>762</v>
      </c>
      <c r="H538" s="71"/>
      <c r="I538" t="s">
        <v>244</v>
      </c>
      <c r="J538" s="187">
        <v>1</v>
      </c>
      <c r="K538" t="s">
        <v>1385</v>
      </c>
      <c r="L538" s="185"/>
      <c r="M538" s="188">
        <v>41498</v>
      </c>
      <c r="N538" s="71"/>
      <c r="Q538" s="71"/>
      <c r="R538" s="71"/>
      <c r="S538" t="s">
        <v>461</v>
      </c>
      <c r="T538" s="71"/>
    </row>
    <row r="539" spans="1:20" x14ac:dyDescent="0.3">
      <c r="A539" s="72">
        <f>IFERROR(VLOOKUP($G539,Conf!$B:$C,2,0),E539)</f>
        <v>6</v>
      </c>
      <c r="B539" s="72" t="str">
        <f ca="1">IF(D539="Inativo","Inativo",IFERROR(VLOOKUP($G539,Conf!$O:$Q,2,0),VLOOKUP($S539,Conf!$K:$M,2,0)))</f>
        <v>PADARIA</v>
      </c>
      <c r="C539" s="72" t="str">
        <f ca="1">IF(D539="Inativo","Inativo",IFERROR(VLOOKUP($G539,Conf!$O:$Q,3,0),IFERROR(VLOOKUP($G539,Conf!$E:$F,2,0),VLOOKUP($S539,Conf!$K:$M,3,0))))</f>
        <v>ENCARREGADO</v>
      </c>
      <c r="D539" s="72" t="str">
        <f ca="1">IFERROR(IF(TODAY()-K539&gt;365,"Inativo",IF(J539=2,"Férias",IF(J539=7,"Demitido","Afastamento"))),VLOOKUP(J539,Conf!$H:$I,2,0))</f>
        <v>Ativos</v>
      </c>
      <c r="E539" s="187">
        <v>6</v>
      </c>
      <c r="F539" s="187">
        <v>976</v>
      </c>
      <c r="G539" t="s">
        <v>763</v>
      </c>
      <c r="H539" s="71"/>
      <c r="I539" t="s">
        <v>244</v>
      </c>
      <c r="J539" s="187">
        <v>1</v>
      </c>
      <c r="K539" t="s">
        <v>1385</v>
      </c>
      <c r="L539" s="185"/>
      <c r="M539" s="188">
        <v>41876</v>
      </c>
      <c r="N539" s="71"/>
      <c r="Q539" s="71"/>
      <c r="R539" s="71"/>
      <c r="S539" t="s">
        <v>764</v>
      </c>
      <c r="T539" s="71"/>
    </row>
    <row r="540" spans="1:20" x14ac:dyDescent="0.3">
      <c r="A540" s="72">
        <f>IFERROR(VLOOKUP($G540,Conf!$B:$C,2,0),E540)</f>
        <v>6</v>
      </c>
      <c r="B540" s="72" t="str">
        <f ca="1">IF(D540="Inativo","Inativo",IFERROR(VLOOKUP($G540,Conf!$O:$Q,2,0),VLOOKUP($S540,Conf!$K:$M,2,0)))</f>
        <v>PADARIA</v>
      </c>
      <c r="C540" s="72" t="str">
        <f ca="1">IF(D540="Inativo","Inativo",IFERROR(VLOOKUP($G540,Conf!$O:$Q,3,0),IFERROR(VLOOKUP($G540,Conf!$E:$F,2,0),VLOOKUP($S540,Conf!$K:$M,3,0))))</f>
        <v>PADEIRO(A)</v>
      </c>
      <c r="D540" s="72" t="str">
        <f ca="1">IFERROR(IF(TODAY()-K540&gt;365,"Inativo",IF(J540=2,"Férias",IF(J540=7,"Demitido","Afastamento"))),VLOOKUP(J540,Conf!$H:$I,2,0))</f>
        <v>Ativos</v>
      </c>
      <c r="E540" s="187">
        <v>6</v>
      </c>
      <c r="F540" s="187">
        <v>25</v>
      </c>
      <c r="G540" t="s">
        <v>1465</v>
      </c>
      <c r="H540" s="71"/>
      <c r="I540" t="s">
        <v>236</v>
      </c>
      <c r="J540" s="187">
        <v>1</v>
      </c>
      <c r="K540" t="s">
        <v>1385</v>
      </c>
      <c r="L540" s="185"/>
      <c r="M540" s="188">
        <v>46248</v>
      </c>
      <c r="N540" s="71"/>
      <c r="Q540" s="71"/>
      <c r="R540" s="71"/>
      <c r="S540" t="s">
        <v>1333</v>
      </c>
      <c r="T540" s="71"/>
    </row>
    <row r="541" spans="1:20" x14ac:dyDescent="0.3">
      <c r="A541" s="72">
        <f>IFERROR(VLOOKUP($G541,Conf!$B:$C,2,0),E541)</f>
        <v>6</v>
      </c>
      <c r="B541" s="72" t="str">
        <f ca="1">IF(D541="Inativo","Inativo",IFERROR(VLOOKUP($G541,Conf!$O:$Q,2,0),VLOOKUP($S541,Conf!$K:$M,2,0)))</f>
        <v>PADARIA</v>
      </c>
      <c r="C541" s="72" t="str">
        <f ca="1">IF(D541="Inativo","Inativo",IFERROR(VLOOKUP($G541,Conf!$O:$Q,3,0),IFERROR(VLOOKUP($G541,Conf!$E:$F,2,0),VLOOKUP($S541,Conf!$K:$M,3,0))))</f>
        <v>PADEIRO(A)</v>
      </c>
      <c r="D541" s="72" t="str">
        <f ca="1">IFERROR(IF(TODAY()-K541&gt;365,"Inativo",IF(J541=2,"Férias",IF(J541=7,"Demitido","Afastamento"))),VLOOKUP(J541,Conf!$H:$I,2,0))</f>
        <v>Ativos</v>
      </c>
      <c r="E541" s="187">
        <v>6</v>
      </c>
      <c r="F541" s="187">
        <v>1603</v>
      </c>
      <c r="G541" t="s">
        <v>765</v>
      </c>
      <c r="H541" s="71"/>
      <c r="I541" t="s">
        <v>258</v>
      </c>
      <c r="J541" s="187">
        <v>1</v>
      </c>
      <c r="K541" t="s">
        <v>1385</v>
      </c>
      <c r="L541" s="185"/>
      <c r="M541" s="188">
        <v>44060</v>
      </c>
      <c r="N541" s="71"/>
      <c r="O541" s="71"/>
      <c r="P541" s="71"/>
      <c r="Q541" s="71"/>
      <c r="R541" s="71"/>
      <c r="S541" t="s">
        <v>464</v>
      </c>
      <c r="T541" s="71"/>
    </row>
    <row r="542" spans="1:20" x14ac:dyDescent="0.3">
      <c r="A542" s="72">
        <f>IFERROR(VLOOKUP($G542,Conf!$B:$C,2,0),E542)</f>
        <v>6</v>
      </c>
      <c r="B542" s="72" t="str">
        <f ca="1">IF(D542="Inativo","Inativo",IFERROR(VLOOKUP($G542,Conf!$O:$Q,2,0),VLOOKUP($S542,Conf!$K:$M,2,0)))</f>
        <v>PADARIA</v>
      </c>
      <c r="C542" s="72" t="str">
        <f ca="1">IF(D542="Inativo","Inativo",IFERROR(VLOOKUP($G542,Conf!$O:$Q,3,0),IFERROR(VLOOKUP($G542,Conf!$E:$F,2,0),VLOOKUP($S542,Conf!$K:$M,3,0))))</f>
        <v>PADEIRO(A)</v>
      </c>
      <c r="D542" s="72" t="str">
        <f ca="1">IFERROR(IF(TODAY()-K542&gt;365,"Inativo",IF(J542=2,"Férias",IF(J542=7,"Demitido","Afastamento"))),VLOOKUP(J542,Conf!$H:$I,2,0))</f>
        <v>Ativos</v>
      </c>
      <c r="E542" s="187">
        <v>6</v>
      </c>
      <c r="F542" s="187">
        <v>2358</v>
      </c>
      <c r="G542" t="s">
        <v>766</v>
      </c>
      <c r="H542" s="71"/>
      <c r="I542" t="s">
        <v>244</v>
      </c>
      <c r="J542" s="187">
        <v>1</v>
      </c>
      <c r="K542" t="s">
        <v>1385</v>
      </c>
      <c r="L542" s="185"/>
      <c r="M542" s="188">
        <v>46042</v>
      </c>
      <c r="N542" s="71"/>
      <c r="Q542" s="71"/>
      <c r="R542" s="71"/>
      <c r="S542" t="s">
        <v>384</v>
      </c>
      <c r="T542" s="71"/>
    </row>
    <row r="543" spans="1:20" x14ac:dyDescent="0.3">
      <c r="A543" s="72">
        <f>IFERROR(VLOOKUP($G543,Conf!$B:$C,2,0),E543)</f>
        <v>6</v>
      </c>
      <c r="B543" s="72" t="str">
        <f ca="1">IF(D543="Inativo","Inativo",IFERROR(VLOOKUP($G543,Conf!$O:$Q,2,0),VLOOKUP($S543,Conf!$K:$M,2,0)))</f>
        <v>PADARIA</v>
      </c>
      <c r="C543" s="72" t="str">
        <f ca="1">IF(D543="Inativo","Inativo",IFERROR(VLOOKUP($G543,Conf!$O:$Q,3,0),IFERROR(VLOOKUP($G543,Conf!$E:$F,2,0),VLOOKUP($S543,Conf!$K:$M,3,0))))</f>
        <v>PADEIRO(A)</v>
      </c>
      <c r="D543" s="72" t="str">
        <f ca="1">IFERROR(IF(TODAY()-K543&gt;365,"Inativo",IF(J543=2,"Férias",IF(J543=7,"Demitido","Afastamento"))),VLOOKUP(J543,Conf!$H:$I,2,0))</f>
        <v>Ativos</v>
      </c>
      <c r="E543" s="187">
        <v>6</v>
      </c>
      <c r="F543" s="187">
        <v>18</v>
      </c>
      <c r="G543" t="s">
        <v>1332</v>
      </c>
      <c r="H543" s="71"/>
      <c r="I543" t="s">
        <v>236</v>
      </c>
      <c r="J543" s="187">
        <v>1</v>
      </c>
      <c r="K543" t="s">
        <v>1385</v>
      </c>
      <c r="L543" s="185"/>
      <c r="M543" s="188">
        <v>46191</v>
      </c>
      <c r="N543" s="71"/>
      <c r="O543" s="71"/>
      <c r="P543" s="71"/>
      <c r="Q543" s="71"/>
      <c r="R543" s="71"/>
      <c r="S543" t="s">
        <v>1333</v>
      </c>
      <c r="T543" s="71"/>
    </row>
    <row r="544" spans="1:20" x14ac:dyDescent="0.3">
      <c r="A544" s="72">
        <f>IFERROR(VLOOKUP($G544,Conf!$B:$C,2,0),E544)</f>
        <v>6</v>
      </c>
      <c r="B544" s="72" t="str">
        <f ca="1">IF(D544="Inativo","Inativo",IFERROR(VLOOKUP($G544,Conf!$O:$Q,2,0),VLOOKUP($S544,Conf!$K:$M,2,0)))</f>
        <v>ROTISSERIA</v>
      </c>
      <c r="C544" s="72" t="str">
        <f ca="1">IF(D544="Inativo","Inativo",IFERROR(VLOOKUP($G544,Conf!$O:$Q,3,0),IFERROR(VLOOKUP($G544,Conf!$E:$F,2,0),VLOOKUP($S544,Conf!$K:$M,3,0))))</f>
        <v>AUXILIAR</v>
      </c>
      <c r="D544" s="72" t="str">
        <f ca="1">IFERROR(IF(TODAY()-K544&gt;365,"Inativo",IF(J544=2,"Férias",IF(J544=7,"Demitido","Afastamento"))),VLOOKUP(J544,Conf!$H:$I,2,0))</f>
        <v>Ativos</v>
      </c>
      <c r="E544" s="187">
        <v>6</v>
      </c>
      <c r="F544" s="187">
        <v>1749</v>
      </c>
      <c r="G544" t="s">
        <v>760</v>
      </c>
      <c r="H544" s="71"/>
      <c r="I544" t="s">
        <v>222</v>
      </c>
      <c r="J544" s="187">
        <v>1</v>
      </c>
      <c r="K544" t="s">
        <v>1385</v>
      </c>
      <c r="L544" s="185"/>
      <c r="M544" s="188">
        <v>44462</v>
      </c>
      <c r="N544" s="71"/>
      <c r="O544" s="71"/>
      <c r="P544" s="71"/>
      <c r="Q544" s="71"/>
      <c r="R544" s="71"/>
      <c r="S544" t="s">
        <v>761</v>
      </c>
      <c r="T544" s="71"/>
    </row>
    <row r="545" spans="1:20" x14ac:dyDescent="0.3">
      <c r="A545" s="72">
        <f>IFERROR(VLOOKUP($G545,Conf!$B:$C,2,0),E545)</f>
        <v>6</v>
      </c>
      <c r="B545" s="72" t="str">
        <f ca="1">IF(D545="Inativo","Inativo",IFERROR(VLOOKUP($G545,Conf!$O:$Q,2,0),VLOOKUP($S545,Conf!$K:$M,2,0)))</f>
        <v>ROTISSERIA</v>
      </c>
      <c r="C545" s="72" t="str">
        <f ca="1">IF(D545="Inativo","Inativo",IFERROR(VLOOKUP($G545,Conf!$O:$Q,3,0),IFERROR(VLOOKUP($G545,Conf!$E:$F,2,0),VLOOKUP($S545,Conf!$K:$M,3,0))))</f>
        <v>COZINHEIRO</v>
      </c>
      <c r="D545" s="72" t="str">
        <f ca="1">IFERROR(IF(TODAY()-K545&gt;365,"Inativo",IF(J545=2,"Férias",IF(J545=7,"Demitido","Afastamento"))),VLOOKUP(J545,Conf!$H:$I,2,0))</f>
        <v>Ativos</v>
      </c>
      <c r="E545" s="187">
        <v>6</v>
      </c>
      <c r="F545" s="187">
        <v>824</v>
      </c>
      <c r="G545" t="s">
        <v>771</v>
      </c>
      <c r="H545" s="71"/>
      <c r="I545" t="s">
        <v>244</v>
      </c>
      <c r="J545" s="187">
        <v>1</v>
      </c>
      <c r="K545" t="s">
        <v>1385</v>
      </c>
      <c r="L545" s="185"/>
      <c r="M545" s="188">
        <v>41579</v>
      </c>
      <c r="N545" s="71"/>
      <c r="Q545" s="71"/>
      <c r="R545" s="71"/>
      <c r="S545" t="s">
        <v>391</v>
      </c>
      <c r="T545" s="71"/>
    </row>
    <row r="546" spans="1:20" x14ac:dyDescent="0.3">
      <c r="A546" s="72">
        <f>IFERROR(VLOOKUP($G546,Conf!$B:$C,2,0),E546)</f>
        <v>6</v>
      </c>
      <c r="B546" s="72" t="str">
        <f ca="1">IF(D546="Inativo","Inativo",IFERROR(VLOOKUP($G546,Conf!$O:$Q,2,0),VLOOKUP($S546,Conf!$K:$M,2,0)))</f>
        <v>ROTISSERIA</v>
      </c>
      <c r="C546" s="72" t="str">
        <f ca="1">IF(D546="Inativo","Inativo",IFERROR(VLOOKUP($G546,Conf!$O:$Q,3,0),IFERROR(VLOOKUP($G546,Conf!$E:$F,2,0),VLOOKUP($S546,Conf!$K:$M,3,0))))</f>
        <v>COZINHEIRO</v>
      </c>
      <c r="D546" s="72" t="str">
        <f ca="1">IFERROR(IF(TODAY()-K546&gt;365,"Inativo",IF(J546=2,"Férias",IF(J546=7,"Demitido","Afastamento"))),VLOOKUP(J546,Conf!$H:$I,2,0))</f>
        <v>Ativos</v>
      </c>
      <c r="E546" s="187">
        <v>6</v>
      </c>
      <c r="F546" s="187">
        <v>1622</v>
      </c>
      <c r="G546" t="s">
        <v>772</v>
      </c>
      <c r="H546" s="71"/>
      <c r="I546" t="s">
        <v>244</v>
      </c>
      <c r="J546" s="187">
        <v>1</v>
      </c>
      <c r="K546" t="s">
        <v>1385</v>
      </c>
      <c r="L546" s="185"/>
      <c r="M546" s="188">
        <v>44109</v>
      </c>
      <c r="N546" s="71"/>
      <c r="O546" s="71"/>
      <c r="P546" s="71"/>
      <c r="Q546" s="71"/>
      <c r="R546" s="71"/>
      <c r="S546" t="s">
        <v>391</v>
      </c>
      <c r="T546" s="71"/>
    </row>
    <row r="547" spans="1:20" x14ac:dyDescent="0.3">
      <c r="A547" s="72">
        <f>IFERROR(VLOOKUP($G547,Conf!$B:$C,2,0),E547)</f>
        <v>7</v>
      </c>
      <c r="B547" s="72" t="str">
        <f ca="1">IF(D547="Inativo","Inativo",IFERROR(VLOOKUP($G547,Conf!$O:$Q,2,0),VLOOKUP($S547,Conf!$K:$M,2,0)))</f>
        <v>AÇOUGUE</v>
      </c>
      <c r="C547" s="72" t="str">
        <f ca="1">IF(D547="Inativo","Inativo",IFERROR(VLOOKUP($G547,Conf!$O:$Q,3,0),IFERROR(VLOOKUP($G547,Conf!$E:$F,2,0),VLOOKUP($S547,Conf!$K:$M,3,0))))</f>
        <v>AÇOUGUEIRO</v>
      </c>
      <c r="D547" s="72" t="str">
        <f ca="1">IFERROR(IF(TODAY()-K547&gt;365,"Inativo",IF(J547=2,"Férias",IF(J547=7,"Demitido","Afastamento"))),VLOOKUP(J547,Conf!$H:$I,2,0))</f>
        <v>Demitido</v>
      </c>
      <c r="E547" s="187">
        <v>7</v>
      </c>
      <c r="F547" s="187">
        <v>364</v>
      </c>
      <c r="G547" t="s">
        <v>1555</v>
      </c>
      <c r="H547" s="71"/>
      <c r="I547" t="s">
        <v>220</v>
      </c>
      <c r="J547" s="187">
        <v>7</v>
      </c>
      <c r="K547" t="s">
        <v>1588</v>
      </c>
      <c r="L547" s="185"/>
      <c r="M547" s="188">
        <v>46280</v>
      </c>
      <c r="N547" s="71"/>
      <c r="Q547" s="71"/>
      <c r="R547" s="71"/>
      <c r="S547" t="s">
        <v>774</v>
      </c>
      <c r="T547" s="71"/>
    </row>
    <row r="548" spans="1:20" x14ac:dyDescent="0.3">
      <c r="A548" s="72">
        <f>IFERROR(VLOOKUP($G548,Conf!$B:$C,2,0),E548)</f>
        <v>7</v>
      </c>
      <c r="B548" s="72" t="str">
        <f ca="1">IF(D548="Inativo","Inativo",IFERROR(VLOOKUP($G548,Conf!$O:$Q,2,0),VLOOKUP($S548,Conf!$K:$M,2,0)))</f>
        <v>AÇOUGUE</v>
      </c>
      <c r="C548" s="72" t="str">
        <f ca="1">IF(D548="Inativo","Inativo",IFERROR(VLOOKUP($G548,Conf!$O:$Q,3,0),IFERROR(VLOOKUP($G548,Conf!$E:$F,2,0),VLOOKUP($S548,Conf!$K:$M,3,0))))</f>
        <v>AÇOUGUEIRO</v>
      </c>
      <c r="D548" s="72" t="str">
        <f ca="1">IFERROR(IF(TODAY()-K548&gt;365,"Inativo",IF(J548=2,"Férias",IF(J548=7,"Demitido","Afastamento"))),VLOOKUP(J548,Conf!$H:$I,2,0))</f>
        <v>Ativos</v>
      </c>
      <c r="E548" s="187">
        <v>7</v>
      </c>
      <c r="F548" s="187">
        <v>254</v>
      </c>
      <c r="G548" t="s">
        <v>775</v>
      </c>
      <c r="H548" s="71"/>
      <c r="I548" t="s">
        <v>380</v>
      </c>
      <c r="J548" s="187">
        <v>1</v>
      </c>
      <c r="K548" t="s">
        <v>1385</v>
      </c>
      <c r="L548" s="185"/>
      <c r="M548" s="188">
        <v>45671</v>
      </c>
      <c r="N548" s="71"/>
      <c r="O548" s="71"/>
      <c r="P548" s="71"/>
      <c r="Q548" s="71"/>
      <c r="R548" s="71"/>
      <c r="S548" t="s">
        <v>774</v>
      </c>
      <c r="T548" s="71"/>
    </row>
    <row r="549" spans="1:20" x14ac:dyDescent="0.3">
      <c r="A549" s="72">
        <f>IFERROR(VLOOKUP($G549,Conf!$B:$C,2,0),E549)</f>
        <v>7</v>
      </c>
      <c r="B549" s="72" t="str">
        <f ca="1">IF(D549="Inativo","Inativo",IFERROR(VLOOKUP($G549,Conf!$O:$Q,2,0),VLOOKUP($S549,Conf!$K:$M,2,0)))</f>
        <v>AÇOUGUE</v>
      </c>
      <c r="C549" s="72" t="str">
        <f ca="1">IF(D549="Inativo","Inativo",IFERROR(VLOOKUP($G549,Conf!$O:$Q,3,0),IFERROR(VLOOKUP($G549,Conf!$E:$F,2,0),VLOOKUP($S549,Conf!$K:$M,3,0))))</f>
        <v>AÇOUGUEIRO</v>
      </c>
      <c r="D549" s="72" t="str">
        <f ca="1">IFERROR(IF(TODAY()-K549&gt;365,"Inativo",IF(J549=2,"Férias",IF(J549=7,"Demitido","Afastamento"))),VLOOKUP(J549,Conf!$H:$I,2,0))</f>
        <v>Ativos</v>
      </c>
      <c r="E549" s="187">
        <v>7</v>
      </c>
      <c r="F549" s="187">
        <v>258</v>
      </c>
      <c r="G549" t="s">
        <v>776</v>
      </c>
      <c r="H549" s="71"/>
      <c r="I549" t="s">
        <v>222</v>
      </c>
      <c r="J549" s="187">
        <v>1</v>
      </c>
      <c r="K549" t="s">
        <v>1385</v>
      </c>
      <c r="L549" s="185"/>
      <c r="M549" s="188">
        <v>45681</v>
      </c>
      <c r="N549" s="71"/>
      <c r="Q549" s="71"/>
      <c r="R549" s="71"/>
      <c r="S549" t="s">
        <v>774</v>
      </c>
      <c r="T549" s="71"/>
    </row>
    <row r="550" spans="1:20" x14ac:dyDescent="0.3">
      <c r="A550" s="72">
        <f>IFERROR(VLOOKUP($G550,Conf!$B:$C,2,0),E550)</f>
        <v>7</v>
      </c>
      <c r="B550" s="72" t="str">
        <f ca="1">IF(D550="Inativo","Inativo",IFERROR(VLOOKUP($G550,Conf!$O:$Q,2,0),VLOOKUP($S550,Conf!$K:$M,2,0)))</f>
        <v>AÇOUGUE</v>
      </c>
      <c r="C550" s="72" t="str">
        <f ca="1">IF(D550="Inativo","Inativo",IFERROR(VLOOKUP($G550,Conf!$O:$Q,3,0),IFERROR(VLOOKUP($G550,Conf!$E:$F,2,0),VLOOKUP($S550,Conf!$K:$M,3,0))))</f>
        <v>AÇOUGUEIRO</v>
      </c>
      <c r="D550" s="72" t="str">
        <f ca="1">IFERROR(IF(TODAY()-K550&gt;365,"Inativo",IF(J550=2,"Férias",IF(J550=7,"Demitido","Afastamento"))),VLOOKUP(J550,Conf!$H:$I,2,0))</f>
        <v>Ativos</v>
      </c>
      <c r="E550" s="187">
        <v>7</v>
      </c>
      <c r="F550" s="187">
        <v>244</v>
      </c>
      <c r="G550" t="s">
        <v>777</v>
      </c>
      <c r="H550" s="71"/>
      <c r="I550" t="s">
        <v>390</v>
      </c>
      <c r="J550" s="187">
        <v>1</v>
      </c>
      <c r="K550" t="s">
        <v>1385</v>
      </c>
      <c r="L550" s="185"/>
      <c r="M550" s="188">
        <v>45617</v>
      </c>
      <c r="N550" s="71"/>
      <c r="Q550" s="71"/>
      <c r="R550" s="71"/>
      <c r="S550" t="s">
        <v>774</v>
      </c>
      <c r="T550" s="71"/>
    </row>
    <row r="551" spans="1:20" x14ac:dyDescent="0.3">
      <c r="A551" s="72">
        <f>IFERROR(VLOOKUP($G551,Conf!$B:$C,2,0),E551)</f>
        <v>7</v>
      </c>
      <c r="B551" s="72" t="str">
        <f ca="1">IF(D551="Inativo","Inativo",IFERROR(VLOOKUP($G551,Conf!$O:$Q,2,0),VLOOKUP($S551,Conf!$K:$M,2,0)))</f>
        <v>AÇOUGUE</v>
      </c>
      <c r="C551" s="72" t="str">
        <f ca="1">IF(D551="Inativo","Inativo",IFERROR(VLOOKUP($G551,Conf!$O:$Q,3,0),IFERROR(VLOOKUP($G551,Conf!$E:$F,2,0),VLOOKUP($S551,Conf!$K:$M,3,0))))</f>
        <v>AÇOUGUEIRO</v>
      </c>
      <c r="D551" s="72" t="str">
        <f ca="1">IFERROR(IF(TODAY()-K551&gt;365,"Inativo",IF(J551=2,"Férias",IF(J551=7,"Demitido","Afastamento"))),VLOOKUP(J551,Conf!$H:$I,2,0))</f>
        <v>Ativos</v>
      </c>
      <c r="E551" s="187">
        <v>7</v>
      </c>
      <c r="F551" s="187">
        <v>222</v>
      </c>
      <c r="G551" t="s">
        <v>778</v>
      </c>
      <c r="H551" s="71"/>
      <c r="I551" t="s">
        <v>220</v>
      </c>
      <c r="J551" s="187">
        <v>1</v>
      </c>
      <c r="K551" t="s">
        <v>1385</v>
      </c>
      <c r="L551" s="185"/>
      <c r="M551" s="188">
        <v>45485</v>
      </c>
      <c r="N551" s="71"/>
      <c r="O551" s="71"/>
      <c r="P551" s="71"/>
      <c r="Q551" s="71"/>
      <c r="R551" s="71"/>
      <c r="S551" t="s">
        <v>774</v>
      </c>
      <c r="T551" s="71"/>
    </row>
    <row r="552" spans="1:20" x14ac:dyDescent="0.3">
      <c r="A552" s="72">
        <f>IFERROR(VLOOKUP($G552,Conf!$B:$C,2,0),E552)</f>
        <v>7</v>
      </c>
      <c r="B552" s="72" t="str">
        <f ca="1">IF(D552="Inativo","Inativo",IFERROR(VLOOKUP($G552,Conf!$O:$Q,2,0),VLOOKUP($S552,Conf!$K:$M,2,0)))</f>
        <v>AÇOUGUE</v>
      </c>
      <c r="C552" s="72" t="str">
        <f ca="1">IF(D552="Inativo","Inativo",IFERROR(VLOOKUP($G552,Conf!$O:$Q,3,0),IFERROR(VLOOKUP($G552,Conf!$E:$F,2,0),VLOOKUP($S552,Conf!$K:$M,3,0))))</f>
        <v>AÇOUGUEIRO</v>
      </c>
      <c r="D552" s="72" t="str">
        <f ca="1">IFERROR(IF(TODAY()-K552&gt;365,"Inativo",IF(J552=2,"Férias",IF(J552=7,"Demitido","Afastamento"))),VLOOKUP(J552,Conf!$H:$I,2,0))</f>
        <v>Ativos</v>
      </c>
      <c r="E552" s="187">
        <v>7</v>
      </c>
      <c r="F552" s="187">
        <v>341</v>
      </c>
      <c r="G552" t="s">
        <v>779</v>
      </c>
      <c r="H552" s="71"/>
      <c r="I552" t="s">
        <v>220</v>
      </c>
      <c r="J552" s="187">
        <v>1</v>
      </c>
      <c r="K552" t="s">
        <v>1385</v>
      </c>
      <c r="L552" s="185"/>
      <c r="M552" s="188">
        <v>46146</v>
      </c>
      <c r="N552" s="71"/>
      <c r="Q552" s="71"/>
      <c r="R552" s="71"/>
      <c r="S552" t="s">
        <v>774</v>
      </c>
      <c r="T552" s="71"/>
    </row>
    <row r="553" spans="1:20" x14ac:dyDescent="0.3">
      <c r="A553" s="72">
        <f>IFERROR(VLOOKUP($G553,Conf!$B:$C,2,0),E553)</f>
        <v>7</v>
      </c>
      <c r="B553" s="72" t="str">
        <f ca="1">IF(D553="Inativo","Inativo",IFERROR(VLOOKUP($G553,Conf!$O:$Q,2,0),VLOOKUP($S553,Conf!$K:$M,2,0)))</f>
        <v>AÇOUGUE</v>
      </c>
      <c r="C553" s="72" t="str">
        <f ca="1">IF(D553="Inativo","Inativo",IFERROR(VLOOKUP($G553,Conf!$O:$Q,3,0),IFERROR(VLOOKUP($G553,Conf!$E:$F,2,0),VLOOKUP($S553,Conf!$K:$M,3,0))))</f>
        <v>BALCONISTA</v>
      </c>
      <c r="D553" s="72" t="str">
        <f ca="1">IFERROR(IF(TODAY()-K553&gt;365,"Inativo",IF(J553=2,"Férias",IF(J553=7,"Demitido","Afastamento"))),VLOOKUP(J553,Conf!$H:$I,2,0))</f>
        <v>Ativos</v>
      </c>
      <c r="E553" s="187">
        <v>7</v>
      </c>
      <c r="F553" s="187">
        <v>356</v>
      </c>
      <c r="G553" t="s">
        <v>1430</v>
      </c>
      <c r="H553" s="71"/>
      <c r="I553" t="s">
        <v>220</v>
      </c>
      <c r="J553" s="187">
        <v>1</v>
      </c>
      <c r="K553" t="s">
        <v>1385</v>
      </c>
      <c r="L553" s="185"/>
      <c r="M553" s="188">
        <v>46223</v>
      </c>
      <c r="N553" s="71"/>
      <c r="Q553" s="71"/>
      <c r="R553" s="71"/>
      <c r="S553" t="s">
        <v>780</v>
      </c>
      <c r="T553" s="71"/>
    </row>
    <row r="554" spans="1:20" x14ac:dyDescent="0.3">
      <c r="A554" s="72">
        <f>IFERROR(VLOOKUP($G554,Conf!$B:$C,2,0),E554)</f>
        <v>7</v>
      </c>
      <c r="B554" s="72" t="str">
        <f ca="1">IF(D554="Inativo","Inativo",IFERROR(VLOOKUP($G554,Conf!$O:$Q,2,0),VLOOKUP($S554,Conf!$K:$M,2,0)))</f>
        <v>AÇOUGUE</v>
      </c>
      <c r="C554" s="72" t="str">
        <f ca="1">IF(D554="Inativo","Inativo",IFERROR(VLOOKUP($G554,Conf!$O:$Q,3,0),IFERROR(VLOOKUP($G554,Conf!$E:$F,2,0),VLOOKUP($S554,Conf!$K:$M,3,0))))</f>
        <v>BALCONISTA</v>
      </c>
      <c r="D554" s="72" t="str">
        <f ca="1">IFERROR(IF(TODAY()-K554&gt;365,"Inativo",IF(J554=2,"Férias",IF(J554=7,"Demitido","Afastamento"))),VLOOKUP(J554,Conf!$H:$I,2,0))</f>
        <v>Demitido</v>
      </c>
      <c r="E554" s="187">
        <v>7</v>
      </c>
      <c r="F554" s="187">
        <v>357</v>
      </c>
      <c r="G554" t="s">
        <v>1466</v>
      </c>
      <c r="H554" s="71"/>
      <c r="I554" t="s">
        <v>220</v>
      </c>
      <c r="J554" s="187">
        <v>7</v>
      </c>
      <c r="K554" t="s">
        <v>1575</v>
      </c>
      <c r="L554" s="185"/>
      <c r="M554" s="188">
        <v>46247</v>
      </c>
      <c r="N554" s="71"/>
      <c r="Q554" s="71"/>
      <c r="R554" s="71"/>
      <c r="S554" t="s">
        <v>780</v>
      </c>
      <c r="T554" s="71"/>
    </row>
    <row r="555" spans="1:20" x14ac:dyDescent="0.3">
      <c r="A555" s="72">
        <f>IFERROR(VLOOKUP($G555,Conf!$B:$C,2,0),E555)</f>
        <v>7</v>
      </c>
      <c r="B555" s="72" t="str">
        <f ca="1">IF(D555="Inativo","Inativo",IFERROR(VLOOKUP($G555,Conf!$O:$Q,2,0),VLOOKUP($S555,Conf!$K:$M,2,0)))</f>
        <v>AÇOUGUE</v>
      </c>
      <c r="C555" s="72" t="str">
        <f ca="1">IF(D555="Inativo","Inativo",IFERROR(VLOOKUP($G555,Conf!$O:$Q,3,0),IFERROR(VLOOKUP($G555,Conf!$E:$F,2,0),VLOOKUP($S555,Conf!$K:$M,3,0))))</f>
        <v>ENCARREGADO</v>
      </c>
      <c r="D555" s="72" t="str">
        <f ca="1">IFERROR(IF(TODAY()-K555&gt;365,"Inativo",IF(J555=2,"Férias",IF(J555=7,"Demitido","Afastamento"))),VLOOKUP(J555,Conf!$H:$I,2,0))</f>
        <v>Ativos</v>
      </c>
      <c r="E555" s="187">
        <v>7</v>
      </c>
      <c r="F555" s="187">
        <v>9</v>
      </c>
      <c r="G555" t="s">
        <v>782</v>
      </c>
      <c r="H555" s="71"/>
      <c r="I555" t="s">
        <v>222</v>
      </c>
      <c r="J555" s="187">
        <v>1</v>
      </c>
      <c r="K555" t="s">
        <v>1385</v>
      </c>
      <c r="L555" s="185"/>
      <c r="M555" s="188">
        <v>43983</v>
      </c>
      <c r="N555" s="71"/>
      <c r="Q555" s="71"/>
      <c r="R555" s="71"/>
      <c r="S555" t="s">
        <v>783</v>
      </c>
      <c r="T555" s="71"/>
    </row>
    <row r="556" spans="1:20" x14ac:dyDescent="0.3">
      <c r="A556" s="72">
        <f>IFERROR(VLOOKUP($G556,Conf!$B:$C,2,0),E556)</f>
        <v>7</v>
      </c>
      <c r="B556" s="72" t="str">
        <f ca="1">IF(D556="Inativo","Inativo",IFERROR(VLOOKUP($G556,Conf!$O:$Q,2,0),VLOOKUP($S556,Conf!$K:$M,2,0)))</f>
        <v>AÇOUGUE</v>
      </c>
      <c r="C556" s="72" t="str">
        <f ca="1">IF(D556="Inativo","Inativo",IFERROR(VLOOKUP($G556,Conf!$O:$Q,3,0),IFERROR(VLOOKUP($G556,Conf!$E:$F,2,0),VLOOKUP($S556,Conf!$K:$M,3,0))))</f>
        <v>ENCARREGADO</v>
      </c>
      <c r="D556" s="72" t="str">
        <f ca="1">IFERROR(IF(TODAY()-K556&gt;365,"Inativo",IF(J556=2,"Férias",IF(J556=7,"Demitido","Afastamento"))),VLOOKUP(J556,Conf!$H:$I,2,0))</f>
        <v>Ativos</v>
      </c>
      <c r="E556" s="187">
        <v>7</v>
      </c>
      <c r="F556" s="187">
        <v>214</v>
      </c>
      <c r="G556" t="s">
        <v>784</v>
      </c>
      <c r="H556" s="71"/>
      <c r="I556" t="s">
        <v>785</v>
      </c>
      <c r="J556" s="187">
        <v>1</v>
      </c>
      <c r="K556" t="s">
        <v>1385</v>
      </c>
      <c r="L556" s="185"/>
      <c r="M556" s="188">
        <v>45422</v>
      </c>
      <c r="N556" s="71"/>
      <c r="Q556" s="71"/>
      <c r="R556" s="71"/>
      <c r="S556" t="s">
        <v>786</v>
      </c>
      <c r="T556" s="71"/>
    </row>
    <row r="557" spans="1:20" x14ac:dyDescent="0.3">
      <c r="A557" s="72">
        <f>IFERROR(VLOOKUP($G557,Conf!$B:$C,2,0),E557)</f>
        <v>7</v>
      </c>
      <c r="B557" s="72" t="str">
        <f ca="1">IF(D557="Inativo","Inativo",IFERROR(VLOOKUP($G557,Conf!$O:$Q,2,0),VLOOKUP($S557,Conf!$K:$M,2,0)))</f>
        <v>ADMINISTRATIVO</v>
      </c>
      <c r="C557" s="72" t="str">
        <f ca="1">IF(D557="Inativo","Inativo",IFERROR(VLOOKUP($G557,Conf!$O:$Q,3,0),IFERROR(VLOOKUP($G557,Conf!$E:$F,2,0),VLOOKUP($S557,Conf!$K:$M,3,0))))</f>
        <v>APRENDIZ</v>
      </c>
      <c r="D557" s="72" t="str">
        <f ca="1">IFERROR(IF(TODAY()-K557&gt;365,"Inativo",IF(J557=2,"Férias",IF(J557=7,"Demitido","Afastamento"))),VLOOKUP(J557,Conf!$H:$I,2,0))</f>
        <v>Ativos</v>
      </c>
      <c r="E557" s="187">
        <v>7</v>
      </c>
      <c r="F557" s="187">
        <v>1667</v>
      </c>
      <c r="G557" t="s">
        <v>858</v>
      </c>
      <c r="H557" s="71"/>
      <c r="I557" t="s">
        <v>859</v>
      </c>
      <c r="J557" s="187">
        <v>1</v>
      </c>
      <c r="K557" t="s">
        <v>1385</v>
      </c>
      <c r="L557" s="185"/>
      <c r="M557" s="188">
        <v>45950</v>
      </c>
      <c r="N557" s="71"/>
      <c r="O557" s="71"/>
      <c r="P557" s="71"/>
      <c r="Q557" s="71"/>
      <c r="R557" s="71"/>
      <c r="S557" t="s">
        <v>337</v>
      </c>
      <c r="T557" s="71"/>
    </row>
    <row r="558" spans="1:20" x14ac:dyDescent="0.3">
      <c r="A558" s="72">
        <f>IFERROR(VLOOKUP($G558,Conf!$B:$C,2,0),E558)</f>
        <v>7</v>
      </c>
      <c r="B558" s="72" t="str">
        <f ca="1">IF(D558="Inativo","Inativo",IFERROR(VLOOKUP($G558,Conf!$O:$Q,2,0),VLOOKUP($S558,Conf!$K:$M,2,0)))</f>
        <v>ADMINISTRATIVO</v>
      </c>
      <c r="C558" s="72" t="str">
        <f ca="1">IF(D558="Inativo","Inativo",IFERROR(VLOOKUP($G558,Conf!$O:$Q,3,0),IFERROR(VLOOKUP($G558,Conf!$E:$F,2,0),VLOOKUP($S558,Conf!$K:$M,3,0))))</f>
        <v>APRENDIZ</v>
      </c>
      <c r="D558" s="72" t="str">
        <f ca="1">IFERROR(IF(TODAY()-K558&gt;365,"Inativo",IF(J558=2,"Férias",IF(J558=7,"Demitido","Afastamento"))),VLOOKUP(J558,Conf!$H:$I,2,0))</f>
        <v>Ativos</v>
      </c>
      <c r="E558" s="187">
        <v>7</v>
      </c>
      <c r="F558" s="187">
        <v>1668</v>
      </c>
      <c r="G558" t="s">
        <v>860</v>
      </c>
      <c r="H558" s="71"/>
      <c r="I558" t="s">
        <v>859</v>
      </c>
      <c r="J558" s="187">
        <v>1</v>
      </c>
      <c r="K558" t="s">
        <v>1385</v>
      </c>
      <c r="L558" s="185"/>
      <c r="M558" s="188">
        <v>45950</v>
      </c>
      <c r="N558" s="71"/>
      <c r="Q558" s="71"/>
      <c r="R558" s="71"/>
      <c r="S558" t="s">
        <v>337</v>
      </c>
      <c r="T558" s="71"/>
    </row>
    <row r="559" spans="1:20" x14ac:dyDescent="0.3">
      <c r="A559" s="72">
        <f>IFERROR(VLOOKUP($G559,Conf!$B:$C,2,0),E559)</f>
        <v>7</v>
      </c>
      <c r="B559" s="72" t="str">
        <f ca="1">IF(D559="Inativo","Inativo",IFERROR(VLOOKUP($G559,Conf!$O:$Q,2,0),VLOOKUP($S559,Conf!$K:$M,2,0)))</f>
        <v>ADMINISTRATIVO</v>
      </c>
      <c r="C559" s="72" t="str">
        <f ca="1">IF(D559="Inativo","Inativo",IFERROR(VLOOKUP($G559,Conf!$O:$Q,3,0),IFERROR(VLOOKUP($G559,Conf!$E:$F,2,0),VLOOKUP($S559,Conf!$K:$M,3,0))))</f>
        <v>CONTROLADORIA</v>
      </c>
      <c r="D559" s="72" t="str">
        <f ca="1">IFERROR(IF(TODAY()-K559&gt;365,"Inativo",IF(J559=2,"Férias",IF(J559=7,"Demitido","Afastamento"))),VLOOKUP(J559,Conf!$H:$I,2,0))</f>
        <v>Férias</v>
      </c>
      <c r="E559" s="187">
        <v>7</v>
      </c>
      <c r="F559" s="187">
        <v>1671</v>
      </c>
      <c r="G559" t="s">
        <v>794</v>
      </c>
      <c r="H559" s="71"/>
      <c r="I559" t="s">
        <v>396</v>
      </c>
      <c r="J559" s="187">
        <v>2</v>
      </c>
      <c r="K559" t="s">
        <v>1640</v>
      </c>
      <c r="L559" s="185"/>
      <c r="M559" s="188">
        <v>45950</v>
      </c>
      <c r="N559" s="71"/>
      <c r="Q559" s="71"/>
      <c r="R559" s="71"/>
      <c r="S559" t="s">
        <v>256</v>
      </c>
      <c r="T559" s="71"/>
    </row>
    <row r="560" spans="1:20" x14ac:dyDescent="0.3">
      <c r="A560" s="72">
        <f>IFERROR(VLOOKUP($G560,Conf!$B:$C,2,0),E560)</f>
        <v>7</v>
      </c>
      <c r="B560" s="72" t="str">
        <f ca="1">IF(D560="Inativo","Inativo",IFERROR(VLOOKUP($G560,Conf!$O:$Q,2,0),VLOOKUP($S560,Conf!$K:$M,2,0)))</f>
        <v>ADMINISTRATIVO</v>
      </c>
      <c r="C560" s="72" t="str">
        <f ca="1">IF(D560="Inativo","Inativo",IFERROR(VLOOKUP($G560,Conf!$O:$Q,3,0),IFERROR(VLOOKUP($G560,Conf!$E:$F,2,0),VLOOKUP($S560,Conf!$K:$M,3,0))))</f>
        <v>CONTROLADORIA</v>
      </c>
      <c r="D560" s="72" t="str">
        <f ca="1">IFERROR(IF(TODAY()-K560&gt;365,"Inativo",IF(J560=2,"Férias",IF(J560=7,"Demitido","Afastamento"))),VLOOKUP(J560,Conf!$H:$I,2,0))</f>
        <v>Ativos</v>
      </c>
      <c r="E560" s="187">
        <v>7</v>
      </c>
      <c r="F560" s="187">
        <v>1249</v>
      </c>
      <c r="G560" t="s">
        <v>795</v>
      </c>
      <c r="H560" s="71"/>
      <c r="I560" t="s">
        <v>244</v>
      </c>
      <c r="J560" s="187">
        <v>1</v>
      </c>
      <c r="K560" t="s">
        <v>1385</v>
      </c>
      <c r="L560" s="185"/>
      <c r="M560" s="188">
        <v>44783</v>
      </c>
      <c r="N560" s="71"/>
      <c r="O560" s="71"/>
      <c r="P560" s="71"/>
      <c r="Q560" s="71"/>
      <c r="R560" s="71"/>
      <c r="S560" t="s">
        <v>256</v>
      </c>
      <c r="T560" s="71"/>
    </row>
    <row r="561" spans="1:20" x14ac:dyDescent="0.3">
      <c r="A561" s="72">
        <f>IFERROR(VLOOKUP($G561,Conf!$B:$C,2,0),E561)</f>
        <v>7</v>
      </c>
      <c r="B561" s="72" t="str">
        <f ca="1">IF(D561="Inativo","Inativo",IFERROR(VLOOKUP($G561,Conf!$O:$Q,2,0),VLOOKUP($S561,Conf!$K:$M,2,0)))</f>
        <v>ADMINISTRATIVO</v>
      </c>
      <c r="C561" s="72" t="str">
        <f ca="1">IF(D561="Inativo","Inativo",IFERROR(VLOOKUP($G561,Conf!$O:$Q,3,0),IFERROR(VLOOKUP($G561,Conf!$E:$F,2,0),VLOOKUP($S561,Conf!$K:$M,3,0))))</f>
        <v>LIMPEZA</v>
      </c>
      <c r="D561" s="72" t="str">
        <f ca="1">IFERROR(IF(TODAY()-K561&gt;365,"Inativo",IF(J561=2,"Férias",IF(J561=7,"Demitido","Afastamento"))),VLOOKUP(J561,Conf!$H:$I,2,0))</f>
        <v>Ativos</v>
      </c>
      <c r="E561" s="187">
        <v>7</v>
      </c>
      <c r="F561" s="187">
        <v>337</v>
      </c>
      <c r="G561" t="s">
        <v>854</v>
      </c>
      <c r="H561" s="71"/>
      <c r="I561" t="s">
        <v>244</v>
      </c>
      <c r="J561" s="187">
        <v>1</v>
      </c>
      <c r="K561" t="s">
        <v>1385</v>
      </c>
      <c r="L561" s="185"/>
      <c r="M561" s="188">
        <v>46128</v>
      </c>
      <c r="N561" s="71"/>
      <c r="O561" s="71"/>
      <c r="P561" s="71"/>
      <c r="Q561" s="71"/>
      <c r="R561" s="71"/>
      <c r="S561" t="s">
        <v>855</v>
      </c>
      <c r="T561" s="71"/>
    </row>
    <row r="562" spans="1:20" x14ac:dyDescent="0.3">
      <c r="A562" s="72">
        <f>IFERROR(VLOOKUP($G562,Conf!$B:$C,2,0),E562)</f>
        <v>7</v>
      </c>
      <c r="B562" s="72" t="str">
        <f ca="1">IF(D562="Inativo","Inativo",IFERROR(VLOOKUP($G562,Conf!$O:$Q,2,0),VLOOKUP($S562,Conf!$K:$M,2,0)))</f>
        <v>ADMINISTRATIVO</v>
      </c>
      <c r="C562" s="72" t="str">
        <f ca="1">IF(D562="Inativo","Inativo",IFERROR(VLOOKUP($G562,Conf!$O:$Q,3,0),IFERROR(VLOOKUP($G562,Conf!$E:$F,2,0),VLOOKUP($S562,Conf!$K:$M,3,0))))</f>
        <v>LIMPEZA</v>
      </c>
      <c r="D562" s="72" t="str">
        <f ca="1">IFERROR(IF(TODAY()-K562&gt;365,"Inativo",IF(J562=2,"Férias",IF(J562=7,"Demitido","Afastamento"))),VLOOKUP(J562,Conf!$H:$I,2,0))</f>
        <v>Ativos</v>
      </c>
      <c r="E562" s="187">
        <v>7</v>
      </c>
      <c r="F562" s="187">
        <v>13</v>
      </c>
      <c r="G562" t="s">
        <v>856</v>
      </c>
      <c r="H562" s="71"/>
      <c r="I562" t="s">
        <v>380</v>
      </c>
      <c r="J562" s="187">
        <v>1</v>
      </c>
      <c r="K562" t="s">
        <v>1385</v>
      </c>
      <c r="L562" s="185"/>
      <c r="M562" s="188">
        <v>43983</v>
      </c>
      <c r="N562" s="71"/>
      <c r="Q562" s="71"/>
      <c r="R562" s="71"/>
      <c r="S562" t="s">
        <v>855</v>
      </c>
      <c r="T562" s="71"/>
    </row>
    <row r="563" spans="1:20" x14ac:dyDescent="0.3">
      <c r="A563" s="72">
        <f>IFERROR(VLOOKUP($G563,Conf!$B:$C,2,0),E563)</f>
        <v>7</v>
      </c>
      <c r="B563" s="72" t="str">
        <f ca="1">IF(D563="Inativo","Inativo",IFERROR(VLOOKUP($G563,Conf!$O:$Q,2,0),VLOOKUP($S563,Conf!$K:$M,2,0)))</f>
        <v>ADMINISTRATIVO</v>
      </c>
      <c r="C563" s="72" t="str">
        <f ca="1">IF(D563="Inativo","Inativo",IFERROR(VLOOKUP($G563,Conf!$O:$Q,3,0),IFERROR(VLOOKUP($G563,Conf!$E:$F,2,0),VLOOKUP($S563,Conf!$K:$M,3,0))))</f>
        <v>LIMPEZA</v>
      </c>
      <c r="D563" s="72" t="str">
        <f ca="1">IFERROR(IF(TODAY()-K563&gt;365,"Inativo",IF(J563=2,"Férias",IF(J563=7,"Demitido","Afastamento"))),VLOOKUP(J563,Conf!$H:$I,2,0))</f>
        <v>Ativos</v>
      </c>
      <c r="E563" s="187">
        <v>7</v>
      </c>
      <c r="F563" s="187">
        <v>220</v>
      </c>
      <c r="G563" t="s">
        <v>857</v>
      </c>
      <c r="H563" s="71"/>
      <c r="I563" t="s">
        <v>884</v>
      </c>
      <c r="J563" s="187">
        <v>1</v>
      </c>
      <c r="K563" t="s">
        <v>1385</v>
      </c>
      <c r="L563" s="185"/>
      <c r="M563" s="188">
        <v>45462</v>
      </c>
      <c r="N563" s="71"/>
      <c r="O563" s="71"/>
      <c r="P563" s="71"/>
      <c r="Q563" s="71"/>
      <c r="R563" s="71"/>
      <c r="S563" t="s">
        <v>855</v>
      </c>
      <c r="T563" s="71"/>
    </row>
    <row r="564" spans="1:20" x14ac:dyDescent="0.3">
      <c r="A564" s="72">
        <f>IFERROR(VLOOKUP($G564,Conf!$B:$C,2,0),E564)</f>
        <v>7</v>
      </c>
      <c r="B564" s="72" t="str">
        <f ca="1">IF(D564="Inativo","Inativo",IFERROR(VLOOKUP($G564,Conf!$O:$Q,2,0),VLOOKUP($S564,Conf!$K:$M,2,0)))</f>
        <v>ADMINISTRATIVO</v>
      </c>
      <c r="C564" s="72" t="str">
        <f ca="1">IF(D564="Inativo","Inativo",IFERROR(VLOOKUP($G564,Conf!$O:$Q,3,0),IFERROR(VLOOKUP($G564,Conf!$E:$F,2,0),VLOOKUP($S564,Conf!$K:$M,3,0))))</f>
        <v>LIMPEZA</v>
      </c>
      <c r="D564" s="72" t="str">
        <f ca="1">IFERROR(IF(TODAY()-K564&gt;365,"Inativo",IF(J564=2,"Férias",IF(J564=7,"Demitido","Afastamento"))),VLOOKUP(J564,Conf!$H:$I,2,0))</f>
        <v>Ativos</v>
      </c>
      <c r="E564" s="187">
        <v>7</v>
      </c>
      <c r="F564" s="187">
        <v>369</v>
      </c>
      <c r="G564" t="s">
        <v>1627</v>
      </c>
      <c r="H564" s="71"/>
      <c r="I564" t="s">
        <v>220</v>
      </c>
      <c r="J564" s="187">
        <v>1</v>
      </c>
      <c r="K564" t="s">
        <v>1385</v>
      </c>
      <c r="L564" s="185"/>
      <c r="M564" s="188">
        <v>46296</v>
      </c>
      <c r="N564" s="71"/>
      <c r="O564" s="71"/>
      <c r="P564" s="71"/>
      <c r="Q564" s="71"/>
      <c r="R564" s="71"/>
      <c r="S564" t="s">
        <v>855</v>
      </c>
      <c r="T564" s="71"/>
    </row>
    <row r="565" spans="1:20" x14ac:dyDescent="0.3">
      <c r="A565" s="72">
        <f>IFERROR(VLOOKUP($G565,Conf!$B:$C,2,0),E565)</f>
        <v>7</v>
      </c>
      <c r="B565" s="72" t="str">
        <f ca="1">IF(D565="Inativo","Inativo",IFERROR(VLOOKUP($G565,Conf!$O:$Q,2,0),VLOOKUP($S565,Conf!$K:$M,2,0)))</f>
        <v>CONFEITARIA</v>
      </c>
      <c r="C565" s="72" t="str">
        <f ca="1">IF(D565="Inativo","Inativo",IFERROR(VLOOKUP($G565,Conf!$O:$Q,3,0),IFERROR(VLOOKUP($G565,Conf!$E:$F,2,0),VLOOKUP($S565,Conf!$K:$M,3,0))))</f>
        <v>CONFEITEIRO(A)</v>
      </c>
      <c r="D565" s="72" t="str">
        <f ca="1">IFERROR(IF(TODAY()-K565&gt;365,"Inativo",IF(J565=2,"Férias",IF(J565=7,"Demitido","Afastamento"))),VLOOKUP(J565,Conf!$H:$I,2,0))</f>
        <v>Ativos</v>
      </c>
      <c r="E565" s="187">
        <v>7</v>
      </c>
      <c r="F565" s="187">
        <v>182</v>
      </c>
      <c r="G565" t="s">
        <v>787</v>
      </c>
      <c r="H565" s="71"/>
      <c r="I565" t="s">
        <v>380</v>
      </c>
      <c r="J565" s="187">
        <v>1</v>
      </c>
      <c r="K565" t="s">
        <v>1385</v>
      </c>
      <c r="L565" s="185"/>
      <c r="M565" s="188">
        <v>45240</v>
      </c>
      <c r="N565" s="71"/>
      <c r="O565" s="71"/>
      <c r="P565" s="71"/>
      <c r="Q565" s="71"/>
      <c r="R565" s="71"/>
      <c r="S565" t="s">
        <v>788</v>
      </c>
      <c r="T565" s="71"/>
    </row>
    <row r="566" spans="1:20" x14ac:dyDescent="0.3">
      <c r="A566" s="72">
        <f>IFERROR(VLOOKUP($G566,Conf!$B:$C,2,0),E566)</f>
        <v>7</v>
      </c>
      <c r="B566" s="72" t="str">
        <f ca="1">IF(D566="Inativo","Inativo",IFERROR(VLOOKUP($G566,Conf!$O:$Q,2,0),VLOOKUP($S566,Conf!$K:$M,2,0)))</f>
        <v>CONFEITARIA</v>
      </c>
      <c r="C566" s="72" t="str">
        <f ca="1">IF(D566="Inativo","Inativo",IFERROR(VLOOKUP($G566,Conf!$O:$Q,3,0),IFERROR(VLOOKUP($G566,Conf!$E:$F,2,0),VLOOKUP($S566,Conf!$K:$M,3,0))))</f>
        <v>CONFEITEIRO(A)</v>
      </c>
      <c r="D566" s="72" t="str">
        <f ca="1">IFERROR(IF(TODAY()-K566&gt;365,"Inativo",IF(J566=2,"Férias",IF(J566=7,"Demitido","Afastamento"))),VLOOKUP(J566,Conf!$H:$I,2,0))</f>
        <v>Ativos</v>
      </c>
      <c r="E566" s="187">
        <v>7</v>
      </c>
      <c r="F566" s="187">
        <v>110</v>
      </c>
      <c r="G566" t="s">
        <v>789</v>
      </c>
      <c r="H566" s="71"/>
      <c r="I566" t="s">
        <v>380</v>
      </c>
      <c r="J566" s="187">
        <v>1</v>
      </c>
      <c r="K566" t="s">
        <v>1385</v>
      </c>
      <c r="L566" s="185"/>
      <c r="M566" s="188">
        <v>44736</v>
      </c>
      <c r="N566" s="71"/>
      <c r="Q566" s="71"/>
      <c r="R566" s="71"/>
      <c r="S566" t="s">
        <v>788</v>
      </c>
      <c r="T566" s="71"/>
    </row>
    <row r="567" spans="1:20" x14ac:dyDescent="0.3">
      <c r="A567" s="72">
        <f>IFERROR(VLOOKUP($G567,Conf!$B:$C,2,0),E567)</f>
        <v>7</v>
      </c>
      <c r="B567" s="72" t="str">
        <f ca="1">IF(D567="Inativo","Inativo",IFERROR(VLOOKUP($G567,Conf!$O:$Q,2,0),VLOOKUP($S567,Conf!$K:$M,2,0)))</f>
        <v>CONFEITARIA</v>
      </c>
      <c r="C567" s="72" t="str">
        <f ca="1">IF(D567="Inativo","Inativo",IFERROR(VLOOKUP($G567,Conf!$O:$Q,3,0),IFERROR(VLOOKUP($G567,Conf!$E:$F,2,0),VLOOKUP($S567,Conf!$K:$M,3,0))))</f>
        <v>CONFEITEIRO(A)</v>
      </c>
      <c r="D567" s="72" t="str">
        <f ca="1">IFERROR(IF(TODAY()-K567&gt;365,"Inativo",IF(J567=2,"Férias",IF(J567=7,"Demitido","Afastamento"))),VLOOKUP(J567,Conf!$H:$I,2,0))</f>
        <v>Ativos</v>
      </c>
      <c r="E567" s="187">
        <v>7</v>
      </c>
      <c r="F567" s="187">
        <v>283</v>
      </c>
      <c r="G567" t="s">
        <v>790</v>
      </c>
      <c r="H567" s="71"/>
      <c r="I567" t="s">
        <v>225</v>
      </c>
      <c r="J567" s="187">
        <v>1</v>
      </c>
      <c r="K567" t="s">
        <v>1385</v>
      </c>
      <c r="L567" s="185"/>
      <c r="M567" s="188">
        <v>45839</v>
      </c>
      <c r="N567" s="71"/>
      <c r="O567" s="71"/>
      <c r="P567" s="71"/>
      <c r="Q567" s="71"/>
      <c r="R567" s="71"/>
      <c r="S567" t="s">
        <v>788</v>
      </c>
      <c r="T567" s="71"/>
    </row>
    <row r="568" spans="1:20" x14ac:dyDescent="0.3">
      <c r="A568" s="72">
        <f>IFERROR(VLOOKUP($G568,Conf!$B:$C,2,0),E568)</f>
        <v>7</v>
      </c>
      <c r="B568" s="72" t="str">
        <f ca="1">IF(D568="Inativo","Inativo",IFERROR(VLOOKUP($G568,Conf!$O:$Q,2,0),VLOOKUP($S568,Conf!$K:$M,2,0)))</f>
        <v>DEPOSITO</v>
      </c>
      <c r="C568" s="72" t="str">
        <f ca="1">IF(D568="Inativo","Inativo",IFERROR(VLOOKUP($G568,Conf!$O:$Q,3,0),IFERROR(VLOOKUP($G568,Conf!$E:$F,2,0),VLOOKUP($S568,Conf!$K:$M,3,0))))</f>
        <v>AUXILIAR</v>
      </c>
      <c r="D568" s="72" t="str">
        <f ca="1">IFERROR(IF(TODAY()-K568&gt;365,"Inativo",IF(J568=2,"Férias",IF(J568=7,"Demitido","Afastamento"))),VLOOKUP(J568,Conf!$H:$I,2,0))</f>
        <v>Férias</v>
      </c>
      <c r="E568" s="187">
        <v>7</v>
      </c>
      <c r="F568" s="187">
        <v>313</v>
      </c>
      <c r="G568" t="s">
        <v>791</v>
      </c>
      <c r="H568" s="71"/>
      <c r="I568" t="s">
        <v>435</v>
      </c>
      <c r="J568" s="187">
        <v>2</v>
      </c>
      <c r="K568" t="s">
        <v>1640</v>
      </c>
      <c r="L568" s="185"/>
      <c r="M568" s="188">
        <v>45953</v>
      </c>
      <c r="N568" s="71"/>
      <c r="Q568" s="71"/>
      <c r="R568" s="71"/>
      <c r="S568" t="s">
        <v>792</v>
      </c>
      <c r="T568" s="71"/>
    </row>
    <row r="569" spans="1:20" x14ac:dyDescent="0.3">
      <c r="A569" s="72">
        <f>IFERROR(VLOOKUP($G569,Conf!$B:$C,2,0),E569)</f>
        <v>7</v>
      </c>
      <c r="B569" s="72" t="str">
        <f ca="1">IF(D569="Inativo","Inativo",IFERROR(VLOOKUP($G569,Conf!$O:$Q,2,0),VLOOKUP($S569,Conf!$K:$M,2,0)))</f>
        <v>DEPOSITO</v>
      </c>
      <c r="C569" s="72" t="str">
        <f ca="1">IF(D569="Inativo","Inativo",IFERROR(VLOOKUP($G569,Conf!$O:$Q,3,0),IFERROR(VLOOKUP($G569,Conf!$E:$F,2,0),VLOOKUP($S569,Conf!$K:$M,3,0))))</f>
        <v>AUXILIAR</v>
      </c>
      <c r="D569" s="72" t="str">
        <f ca="1">IFERROR(IF(TODAY()-K569&gt;365,"Inativo",IF(J569=2,"Férias",IF(J569=7,"Demitido","Afastamento"))),VLOOKUP(J569,Conf!$H:$I,2,0))</f>
        <v>Ativos</v>
      </c>
      <c r="E569" s="187">
        <v>7</v>
      </c>
      <c r="F569" s="187">
        <v>48</v>
      </c>
      <c r="G569" t="s">
        <v>793</v>
      </c>
      <c r="H569" s="71"/>
      <c r="I569" t="s">
        <v>401</v>
      </c>
      <c r="J569" s="187">
        <v>1</v>
      </c>
      <c r="K569" t="s">
        <v>1385</v>
      </c>
      <c r="L569" s="185"/>
      <c r="M569" s="188">
        <v>44046</v>
      </c>
      <c r="N569" s="71"/>
      <c r="Q569" s="71"/>
      <c r="R569" s="71"/>
      <c r="S569" t="s">
        <v>792</v>
      </c>
      <c r="T569" s="71"/>
    </row>
    <row r="570" spans="1:20" x14ac:dyDescent="0.3">
      <c r="A570" s="72">
        <f>IFERROR(VLOOKUP($G570,Conf!$B:$C,2,0),E570)</f>
        <v>7</v>
      </c>
      <c r="B570" s="72" t="str">
        <f ca="1">IF(D570="Inativo","Inativo",IFERROR(VLOOKUP($G570,Conf!$O:$Q,2,0),VLOOKUP($S570,Conf!$K:$M,2,0)))</f>
        <v>DEPOSITO</v>
      </c>
      <c r="C570" s="72" t="str">
        <f ca="1">IF(D570="Inativo","Inativo",IFERROR(VLOOKUP($G570,Conf!$O:$Q,3,0),IFERROR(VLOOKUP($G570,Conf!$E:$F,2,0),VLOOKUP($S570,Conf!$K:$M,3,0))))</f>
        <v>CONFERENTE</v>
      </c>
      <c r="D570" s="72" t="str">
        <f ca="1">IFERROR(IF(TODAY()-K570&gt;365,"Inativo",IF(J570=2,"Férias",IF(J570=7,"Demitido","Afastamento"))),VLOOKUP(J570,Conf!$H:$I,2,0))</f>
        <v>Ativos</v>
      </c>
      <c r="E570" s="187">
        <v>7</v>
      </c>
      <c r="F570" s="187">
        <v>234</v>
      </c>
      <c r="G570" t="s">
        <v>868</v>
      </c>
      <c r="H570" s="71"/>
      <c r="I570" t="s">
        <v>435</v>
      </c>
      <c r="J570" s="187">
        <v>1</v>
      </c>
      <c r="K570" t="s">
        <v>1385</v>
      </c>
      <c r="L570" s="185"/>
      <c r="M570" s="188">
        <v>45566</v>
      </c>
      <c r="N570" s="71"/>
      <c r="Q570" s="71"/>
      <c r="R570" s="71"/>
      <c r="S570" t="s">
        <v>869</v>
      </c>
      <c r="T570" s="71"/>
    </row>
    <row r="571" spans="1:20" x14ac:dyDescent="0.3">
      <c r="A571" s="72">
        <f>IFERROR(VLOOKUP($G571,Conf!$B:$C,2,0),E571)</f>
        <v>7</v>
      </c>
      <c r="B571" s="72" t="str">
        <f ca="1">IF(D571="Inativo","Inativo",IFERROR(VLOOKUP($G571,Conf!$O:$Q,2,0),VLOOKUP($S571,Conf!$K:$M,2,0)))</f>
        <v>DEPOSITO</v>
      </c>
      <c r="C571" s="72" t="str">
        <f ca="1">IF(D571="Inativo","Inativo",IFERROR(VLOOKUP($G571,Conf!$O:$Q,3,0),IFERROR(VLOOKUP($G571,Conf!$E:$F,2,0),VLOOKUP($S571,Conf!$K:$M,3,0))))</f>
        <v>ENCARREGADO</v>
      </c>
      <c r="D571" s="72" t="str">
        <f ca="1">IFERROR(IF(TODAY()-K571&gt;365,"Inativo",IF(J571=2,"Férias",IF(J571=7,"Demitido","Afastamento"))),VLOOKUP(J571,Conf!$H:$I,2,0))</f>
        <v>Ativos</v>
      </c>
      <c r="E571" s="187">
        <v>7</v>
      </c>
      <c r="F571" s="187">
        <v>257</v>
      </c>
      <c r="G571" t="s">
        <v>862</v>
      </c>
      <c r="H571" s="71"/>
      <c r="I571" t="s">
        <v>350</v>
      </c>
      <c r="J571" s="187">
        <v>1</v>
      </c>
      <c r="K571" t="s">
        <v>1385</v>
      </c>
      <c r="L571" s="185"/>
      <c r="M571" s="188">
        <v>45678</v>
      </c>
      <c r="N571" s="71"/>
      <c r="Q571" s="71"/>
      <c r="R571" s="71"/>
      <c r="S571" t="s">
        <v>863</v>
      </c>
      <c r="T571" s="71"/>
    </row>
    <row r="572" spans="1:20" x14ac:dyDescent="0.3">
      <c r="A572" s="72">
        <f>IFERROR(VLOOKUP($G572,Conf!$B:$C,2,0),E572)</f>
        <v>7</v>
      </c>
      <c r="B572" s="72" t="str">
        <f ca="1">IF(D572="Inativo","Inativo",IFERROR(VLOOKUP($G572,Conf!$O:$Q,2,0),VLOOKUP($S572,Conf!$K:$M,2,0)))</f>
        <v>DEPOSITO</v>
      </c>
      <c r="C572" s="72" t="str">
        <f ca="1">IF(D572="Inativo","Inativo",IFERROR(VLOOKUP($G572,Conf!$O:$Q,3,0),IFERROR(VLOOKUP($G572,Conf!$E:$F,2,0),VLOOKUP($S572,Conf!$K:$M,3,0))))</f>
        <v>ENCARREGADO</v>
      </c>
      <c r="D572" s="72" t="str">
        <f ca="1">IFERROR(IF(TODAY()-K572&gt;365,"Inativo",IF(J572=2,"Férias",IF(J572=7,"Demitido","Afastamento"))),VLOOKUP(J572,Conf!$H:$I,2,0))</f>
        <v>Ativos</v>
      </c>
      <c r="E572" s="187">
        <v>7</v>
      </c>
      <c r="F572" s="187">
        <v>242</v>
      </c>
      <c r="G572" t="s">
        <v>796</v>
      </c>
      <c r="H572" s="71"/>
      <c r="I572" t="s">
        <v>220</v>
      </c>
      <c r="J572" s="187">
        <v>1</v>
      </c>
      <c r="K572" t="s">
        <v>1385</v>
      </c>
      <c r="L572" s="185"/>
      <c r="M572" s="188">
        <v>45604</v>
      </c>
      <c r="N572" s="71"/>
      <c r="Q572" s="71"/>
      <c r="R572" s="71"/>
      <c r="S572" t="s">
        <v>797</v>
      </c>
      <c r="T572" s="71"/>
    </row>
    <row r="573" spans="1:20" x14ac:dyDescent="0.3">
      <c r="A573" s="72">
        <f>IFERROR(VLOOKUP($G573,Conf!$B:$C,2,0),E573)</f>
        <v>7</v>
      </c>
      <c r="B573" s="72" t="str">
        <f ca="1">IF(D573="Inativo","Inativo",IFERROR(VLOOKUP($G573,Conf!$O:$Q,2,0),VLOOKUP($S573,Conf!$K:$M,2,0)))</f>
        <v>FRENTE DE CAIXA</v>
      </c>
      <c r="C573" s="72" t="str">
        <f ca="1">IF(D573="Inativo","Inativo",IFERROR(VLOOKUP($G573,Conf!$O:$Q,3,0),IFERROR(VLOOKUP($G573,Conf!$E:$F,2,0),VLOOKUP($S573,Conf!$K:$M,3,0))))</f>
        <v>EMPACOTADOR</v>
      </c>
      <c r="D573" s="72" t="str">
        <f ca="1">IFERROR(IF(TODAY()-K573&gt;365,"Inativo",IF(J573=2,"Férias",IF(J573=7,"Demitido","Afastamento"))),VLOOKUP(J573,Conf!$H:$I,2,0))</f>
        <v>Afastamento</v>
      </c>
      <c r="E573" s="187">
        <v>7</v>
      </c>
      <c r="F573" s="187">
        <v>43</v>
      </c>
      <c r="G573" t="s">
        <v>803</v>
      </c>
      <c r="H573" s="71"/>
      <c r="I573" t="s">
        <v>222</v>
      </c>
      <c r="J573" s="187">
        <v>3</v>
      </c>
      <c r="K573" t="s">
        <v>406</v>
      </c>
      <c r="L573" s="185"/>
      <c r="M573" s="188">
        <v>44036</v>
      </c>
      <c r="N573" s="71"/>
      <c r="Q573" s="71"/>
      <c r="R573" s="71"/>
      <c r="S573" t="s">
        <v>804</v>
      </c>
      <c r="T573" s="71"/>
    </row>
    <row r="574" spans="1:20" x14ac:dyDescent="0.3">
      <c r="A574" s="72">
        <f>IFERROR(VLOOKUP($G574,Conf!$B:$C,2,0),E574)</f>
        <v>7</v>
      </c>
      <c r="B574" s="72" t="str">
        <f ca="1">IF(D574="Inativo","Inativo",IFERROR(VLOOKUP($G574,Conf!$O:$Q,2,0),VLOOKUP($S574,Conf!$K:$M,2,0)))</f>
        <v>FRENTE DE CAIXA</v>
      </c>
      <c r="C574" s="72" t="str">
        <f ca="1">IF(D574="Inativo","Inativo",IFERROR(VLOOKUP($G574,Conf!$O:$Q,3,0),IFERROR(VLOOKUP($G574,Conf!$E:$F,2,0),VLOOKUP($S574,Conf!$K:$M,3,0))))</f>
        <v>EMPACOTADOR</v>
      </c>
      <c r="D574" s="72" t="str">
        <f ca="1">IFERROR(IF(TODAY()-K574&gt;365,"Inativo",IF(J574=2,"Férias",IF(J574=7,"Demitido","Afastamento"))),VLOOKUP(J574,Conf!$H:$I,2,0))</f>
        <v>Ativos</v>
      </c>
      <c r="E574" s="187">
        <v>7</v>
      </c>
      <c r="F574" s="187">
        <v>37</v>
      </c>
      <c r="G574" t="s">
        <v>805</v>
      </c>
      <c r="H574" s="71"/>
      <c r="I574" t="s">
        <v>225</v>
      </c>
      <c r="J574" s="187">
        <v>1</v>
      </c>
      <c r="K574" t="s">
        <v>1385</v>
      </c>
      <c r="L574" s="185"/>
      <c r="M574" s="188">
        <v>44018</v>
      </c>
      <c r="N574" s="71"/>
      <c r="Q574" s="71"/>
      <c r="R574" s="71"/>
      <c r="S574" t="s">
        <v>804</v>
      </c>
      <c r="T574" s="71"/>
    </row>
    <row r="575" spans="1:20" x14ac:dyDescent="0.3">
      <c r="A575" s="72">
        <f>IFERROR(VLOOKUP($G575,Conf!$B:$C,2,0),E575)</f>
        <v>7</v>
      </c>
      <c r="B575" s="72" t="str">
        <f ca="1">IF(D575="Inativo","Inativo",IFERROR(VLOOKUP($G575,Conf!$O:$Q,2,0),VLOOKUP($S575,Conf!$K:$M,2,0)))</f>
        <v>FRENTE DE CAIXA</v>
      </c>
      <c r="C575" s="72" t="str">
        <f ca="1">IF(D575="Inativo","Inativo",IFERROR(VLOOKUP($G575,Conf!$O:$Q,3,0),IFERROR(VLOOKUP($G575,Conf!$E:$F,2,0),VLOOKUP($S575,Conf!$K:$M,3,0))))</f>
        <v>EMPACOTADOR</v>
      </c>
      <c r="D575" s="72" t="str">
        <f ca="1">IFERROR(IF(TODAY()-K575&gt;365,"Inativo",IF(J575=2,"Férias",IF(J575=7,"Demitido","Afastamento"))),VLOOKUP(J575,Conf!$H:$I,2,0))</f>
        <v>Ativos</v>
      </c>
      <c r="E575" s="187">
        <v>7</v>
      </c>
      <c r="F575" s="187">
        <v>155</v>
      </c>
      <c r="G575" t="s">
        <v>806</v>
      </c>
      <c r="H575" s="71"/>
      <c r="I575" t="s">
        <v>225</v>
      </c>
      <c r="J575" s="187">
        <v>1</v>
      </c>
      <c r="K575" t="s">
        <v>1385</v>
      </c>
      <c r="L575" s="185"/>
      <c r="M575" s="188">
        <v>45086</v>
      </c>
      <c r="N575" s="71"/>
      <c r="O575" s="71"/>
      <c r="P575" s="71"/>
      <c r="Q575" s="71"/>
      <c r="R575" s="71"/>
      <c r="S575" t="s">
        <v>807</v>
      </c>
      <c r="T575" s="71"/>
    </row>
    <row r="576" spans="1:20" x14ac:dyDescent="0.3">
      <c r="A576" s="72">
        <f>IFERROR(VLOOKUP($G576,Conf!$B:$C,2,0),E576)</f>
        <v>7</v>
      </c>
      <c r="B576" s="72" t="str">
        <f ca="1">IF(D576="Inativo","Inativo",IFERROR(VLOOKUP($G576,Conf!$O:$Q,2,0),VLOOKUP($S576,Conf!$K:$M,2,0)))</f>
        <v>FRENTE DE CAIXA</v>
      </c>
      <c r="C576" s="72" t="str">
        <f ca="1">IF(D576="Inativo","Inativo",IFERROR(VLOOKUP($G576,Conf!$O:$Q,3,0),IFERROR(VLOOKUP($G576,Conf!$E:$F,2,0),VLOOKUP($S576,Conf!$K:$M,3,0))))</f>
        <v>EMPACOTADOR</v>
      </c>
      <c r="D576" s="72" t="str">
        <f ca="1">IFERROR(IF(TODAY()-K576&gt;365,"Inativo",IF(J576=2,"Férias",IF(J576=7,"Demitido","Afastamento"))),VLOOKUP(J576,Conf!$H:$I,2,0))</f>
        <v>Ativos</v>
      </c>
      <c r="E576" s="187">
        <v>7</v>
      </c>
      <c r="F576" s="187">
        <v>316</v>
      </c>
      <c r="G576" t="s">
        <v>808</v>
      </c>
      <c r="H576" s="71"/>
      <c r="I576" t="s">
        <v>225</v>
      </c>
      <c r="J576" s="187">
        <v>1</v>
      </c>
      <c r="K576" t="s">
        <v>1385</v>
      </c>
      <c r="L576" s="185"/>
      <c r="M576" s="188">
        <v>45974</v>
      </c>
      <c r="N576" s="71"/>
      <c r="O576" s="71"/>
      <c r="P576" s="71"/>
      <c r="Q576" s="71"/>
      <c r="R576" s="71"/>
      <c r="S576" t="s">
        <v>807</v>
      </c>
      <c r="T576" s="71"/>
    </row>
    <row r="577" spans="1:20" x14ac:dyDescent="0.3">
      <c r="A577" s="72">
        <f>IFERROR(VLOOKUP($G577,Conf!$B:$C,2,0),E577)</f>
        <v>7</v>
      </c>
      <c r="B577" s="72" t="str">
        <f ca="1">IF(D577="Inativo","Inativo",IFERROR(VLOOKUP($G577,Conf!$O:$Q,2,0),VLOOKUP($S577,Conf!$K:$M,2,0)))</f>
        <v>FRENTE DE CAIXA</v>
      </c>
      <c r="C577" s="72" t="str">
        <f ca="1">IF(D577="Inativo","Inativo",IFERROR(VLOOKUP($G577,Conf!$O:$Q,3,0),IFERROR(VLOOKUP($G577,Conf!$E:$F,2,0),VLOOKUP($S577,Conf!$K:$M,3,0))))</f>
        <v>EMPACOTADOR</v>
      </c>
      <c r="D577" s="72" t="str">
        <f ca="1">IFERROR(IF(TODAY()-K577&gt;365,"Inativo",IF(J577=2,"Férias",IF(J577=7,"Demitido","Afastamento"))),VLOOKUP(J577,Conf!$H:$I,2,0))</f>
        <v>Ativos</v>
      </c>
      <c r="E577" s="187">
        <v>7</v>
      </c>
      <c r="F577" s="187">
        <v>367</v>
      </c>
      <c r="G577" t="s">
        <v>1562</v>
      </c>
      <c r="H577" s="71"/>
      <c r="I577" t="s">
        <v>220</v>
      </c>
      <c r="J577" s="187">
        <v>1</v>
      </c>
      <c r="K577" t="s">
        <v>1385</v>
      </c>
      <c r="L577" s="185"/>
      <c r="M577" s="188">
        <v>46279</v>
      </c>
      <c r="N577" s="71"/>
      <c r="Q577" s="71"/>
      <c r="R577" s="71"/>
      <c r="S577" t="s">
        <v>807</v>
      </c>
      <c r="T577" s="71"/>
    </row>
    <row r="578" spans="1:20" x14ac:dyDescent="0.3">
      <c r="A578" s="72">
        <f>IFERROR(VLOOKUP($G578,Conf!$B:$C,2,0),E578)</f>
        <v>7</v>
      </c>
      <c r="B578" s="72" t="str">
        <f ca="1">IF(D578="Inativo","Inativo",IFERROR(VLOOKUP($G578,Conf!$O:$Q,2,0),VLOOKUP($S578,Conf!$K:$M,2,0)))</f>
        <v>FRENTE DE CAIXA</v>
      </c>
      <c r="C578" s="72" t="str">
        <f ca="1">IF(D578="Inativo","Inativo",IFERROR(VLOOKUP($G578,Conf!$O:$Q,3,0),IFERROR(VLOOKUP($G578,Conf!$E:$F,2,0),VLOOKUP($S578,Conf!$K:$M,3,0))))</f>
        <v>EMPACOTADOR</v>
      </c>
      <c r="D578" s="72" t="str">
        <f ca="1">IFERROR(IF(TODAY()-K578&gt;365,"Inativo",IF(J578=2,"Férias",IF(J578=7,"Demitido","Afastamento"))),VLOOKUP(J578,Conf!$H:$I,2,0))</f>
        <v>Ativos</v>
      </c>
      <c r="E578" s="187">
        <v>7</v>
      </c>
      <c r="F578" s="187">
        <v>365</v>
      </c>
      <c r="G578" t="s">
        <v>1560</v>
      </c>
      <c r="H578" s="71"/>
      <c r="I578" t="s">
        <v>220</v>
      </c>
      <c r="J578" s="187">
        <v>1</v>
      </c>
      <c r="K578" t="s">
        <v>1385</v>
      </c>
      <c r="L578" s="185"/>
      <c r="M578" s="188">
        <v>46279</v>
      </c>
      <c r="N578" s="71"/>
      <c r="Q578" s="71"/>
      <c r="R578" s="71"/>
      <c r="S578" t="s">
        <v>807</v>
      </c>
      <c r="T578" s="71"/>
    </row>
    <row r="579" spans="1:20" x14ac:dyDescent="0.3">
      <c r="A579" s="72">
        <f>IFERROR(VLOOKUP($G579,Conf!$B:$C,2,0),E579)</f>
        <v>7</v>
      </c>
      <c r="B579" s="72" t="str">
        <f ca="1">IF(D579="Inativo","Inativo",IFERROR(VLOOKUP($G579,Conf!$O:$Q,2,0),VLOOKUP($S579,Conf!$K:$M,2,0)))</f>
        <v>FRENTE DE CAIXA</v>
      </c>
      <c r="C579" s="72" t="str">
        <f ca="1">IF(D579="Inativo","Inativo",IFERROR(VLOOKUP($G579,Conf!$O:$Q,3,0),IFERROR(VLOOKUP($G579,Conf!$E:$F,2,0),VLOOKUP($S579,Conf!$K:$M,3,0))))</f>
        <v>EMPACOTADOR</v>
      </c>
      <c r="D579" s="72" t="str">
        <f ca="1">IFERROR(IF(TODAY()-K579&gt;365,"Inativo",IF(J579=2,"Férias",IF(J579=7,"Demitido","Afastamento"))),VLOOKUP(J579,Conf!$H:$I,2,0))</f>
        <v>Ativos</v>
      </c>
      <c r="E579" s="187">
        <v>7</v>
      </c>
      <c r="F579" s="187">
        <v>360</v>
      </c>
      <c r="G579" t="s">
        <v>1504</v>
      </c>
      <c r="H579" s="71"/>
      <c r="I579" t="s">
        <v>303</v>
      </c>
      <c r="J579" s="187">
        <v>1</v>
      </c>
      <c r="K579" t="s">
        <v>1385</v>
      </c>
      <c r="L579" s="185"/>
      <c r="M579" s="188">
        <v>46259</v>
      </c>
      <c r="N579" s="71"/>
      <c r="Q579" s="71"/>
      <c r="R579" s="71"/>
      <c r="S579" t="s">
        <v>807</v>
      </c>
      <c r="T579" s="71"/>
    </row>
    <row r="580" spans="1:20" x14ac:dyDescent="0.3">
      <c r="A580" s="72">
        <f>IFERROR(VLOOKUP($G580,Conf!$B:$C,2,0),E580)</f>
        <v>7</v>
      </c>
      <c r="B580" s="72" t="str">
        <f ca="1">IF(D580="Inativo","Inativo",IFERROR(VLOOKUP($G580,Conf!$O:$Q,2,0),VLOOKUP($S580,Conf!$K:$M,2,0)))</f>
        <v>FRENTE DE CAIXA</v>
      </c>
      <c r="C580" s="72" t="str">
        <f ca="1">IF(D580="Inativo","Inativo",IFERROR(VLOOKUP($G580,Conf!$O:$Q,3,0),IFERROR(VLOOKUP($G580,Conf!$E:$F,2,0),VLOOKUP($S580,Conf!$K:$M,3,0))))</f>
        <v>EMPACOTADOR</v>
      </c>
      <c r="D580" s="72" t="str">
        <f ca="1">IFERROR(IF(TODAY()-K580&gt;365,"Inativo",IF(J580=2,"Férias",IF(J580=7,"Demitido","Afastamento"))),VLOOKUP(J580,Conf!$H:$I,2,0))</f>
        <v>Ativos</v>
      </c>
      <c r="E580" s="187">
        <v>7</v>
      </c>
      <c r="F580" s="187">
        <v>346</v>
      </c>
      <c r="G580" t="s">
        <v>809</v>
      </c>
      <c r="H580" s="71"/>
      <c r="I580" t="s">
        <v>220</v>
      </c>
      <c r="J580" s="187">
        <v>1</v>
      </c>
      <c r="K580" t="s">
        <v>1385</v>
      </c>
      <c r="L580" s="185"/>
      <c r="M580" s="188">
        <v>46163</v>
      </c>
      <c r="N580" s="71"/>
      <c r="Q580" s="71"/>
      <c r="R580" s="71"/>
      <c r="S580" t="s">
        <v>807</v>
      </c>
      <c r="T580" s="71"/>
    </row>
    <row r="581" spans="1:20" x14ac:dyDescent="0.3">
      <c r="A581" s="72">
        <f>IFERROR(VLOOKUP($G581,Conf!$B:$C,2,0),E581)</f>
        <v>7</v>
      </c>
      <c r="B581" s="72" t="str">
        <f ca="1">IF(D581="Inativo","Inativo",IFERROR(VLOOKUP($G581,Conf!$O:$Q,2,0),VLOOKUP($S581,Conf!$K:$M,2,0)))</f>
        <v>FRENTE DE CAIXA</v>
      </c>
      <c r="C581" s="72" t="str">
        <f ca="1">IF(D581="Inativo","Inativo",IFERROR(VLOOKUP($G581,Conf!$O:$Q,3,0),IFERROR(VLOOKUP($G581,Conf!$E:$F,2,0),VLOOKUP($S581,Conf!$K:$M,3,0))))</f>
        <v>ENCARREGADO</v>
      </c>
      <c r="D581" s="72" t="str">
        <f ca="1">IFERROR(IF(TODAY()-K581&gt;365,"Inativo",IF(J581=2,"Férias",IF(J581=7,"Demitido","Afastamento"))),VLOOKUP(J581,Conf!$H:$I,2,0))</f>
        <v>Ativos</v>
      </c>
      <c r="E581" s="187">
        <v>7</v>
      </c>
      <c r="F581" s="187">
        <v>1405</v>
      </c>
      <c r="G581" t="s">
        <v>810</v>
      </c>
      <c r="H581" s="71"/>
      <c r="I581" t="s">
        <v>350</v>
      </c>
      <c r="J581" s="187">
        <v>1</v>
      </c>
      <c r="K581" t="s">
        <v>1385</v>
      </c>
      <c r="L581" s="185"/>
      <c r="M581" s="188">
        <v>45234</v>
      </c>
      <c r="N581" s="71"/>
      <c r="Q581" s="71"/>
      <c r="R581" s="71"/>
      <c r="S581" t="s">
        <v>410</v>
      </c>
      <c r="T581" s="71"/>
    </row>
    <row r="582" spans="1:20" x14ac:dyDescent="0.3">
      <c r="A582" s="72">
        <f>IFERROR(VLOOKUP($G582,Conf!$B:$C,2,0),E582)</f>
        <v>7</v>
      </c>
      <c r="B582" s="72" t="str">
        <f ca="1">IF(D582="Inativo","Inativo",IFERROR(VLOOKUP($G582,Conf!$O:$Q,2,0),VLOOKUP($S582,Conf!$K:$M,2,0)))</f>
        <v>FRENTE DE CAIXA</v>
      </c>
      <c r="C582" s="72" t="str">
        <f ca="1">IF(D582="Inativo","Inativo",IFERROR(VLOOKUP($G582,Conf!$O:$Q,3,0),IFERROR(VLOOKUP($G582,Conf!$E:$F,2,0),VLOOKUP($S582,Conf!$K:$M,3,0))))</f>
        <v>ENTREGADOR</v>
      </c>
      <c r="D582" s="72" t="str">
        <f ca="1">IFERROR(IF(TODAY()-K582&gt;365,"Inativo",IF(J582=2,"Férias",IF(J582=7,"Demitido","Afastamento"))),VLOOKUP(J582,Conf!$H:$I,2,0))</f>
        <v>Ativos</v>
      </c>
      <c r="E582" s="187">
        <v>7</v>
      </c>
      <c r="F582" s="187">
        <v>1641</v>
      </c>
      <c r="G582" t="s">
        <v>798</v>
      </c>
      <c r="H582" s="71"/>
      <c r="I582" t="s">
        <v>220</v>
      </c>
      <c r="J582" s="187">
        <v>1</v>
      </c>
      <c r="K582" t="s">
        <v>1385</v>
      </c>
      <c r="L582" s="185"/>
      <c r="M582" s="188">
        <v>45853</v>
      </c>
      <c r="N582" s="71"/>
      <c r="Q582" s="71"/>
      <c r="R582" s="71"/>
      <c r="S582" t="s">
        <v>404</v>
      </c>
      <c r="T582" s="71"/>
    </row>
    <row r="583" spans="1:20" x14ac:dyDescent="0.3">
      <c r="A583" s="72">
        <f>IFERROR(VLOOKUP($G583,Conf!$B:$C,2,0),E583)</f>
        <v>7</v>
      </c>
      <c r="B583" s="72" t="str">
        <f ca="1">IF(D583="Inativo","Inativo",IFERROR(VLOOKUP($G583,Conf!$O:$Q,2,0),VLOOKUP($S583,Conf!$K:$M,2,0)))</f>
        <v>FRENTE DE CAIXA</v>
      </c>
      <c r="C583" s="72" t="str">
        <f ca="1">IF(D583="Inativo","Inativo",IFERROR(VLOOKUP($G583,Conf!$O:$Q,3,0),IFERROR(VLOOKUP($G583,Conf!$E:$F,2,0),VLOOKUP($S583,Conf!$K:$M,3,0))))</f>
        <v>ENTREGADOR</v>
      </c>
      <c r="D583" s="72" t="str">
        <f ca="1">IFERROR(IF(TODAY()-K583&gt;365,"Inativo",IF(J583=2,"Férias",IF(J583=7,"Demitido","Afastamento"))),VLOOKUP(J583,Conf!$H:$I,2,0))</f>
        <v>Ativos</v>
      </c>
      <c r="E583" s="187">
        <v>7</v>
      </c>
      <c r="F583" s="187">
        <v>1445</v>
      </c>
      <c r="G583" t="s">
        <v>801</v>
      </c>
      <c r="H583" s="71"/>
      <c r="I583" t="s">
        <v>265</v>
      </c>
      <c r="J583" s="187">
        <v>1</v>
      </c>
      <c r="K583" t="s">
        <v>1385</v>
      </c>
      <c r="L583" s="185"/>
      <c r="M583" s="188">
        <v>45324</v>
      </c>
      <c r="N583" s="71"/>
      <c r="Q583" s="71"/>
      <c r="R583" s="71"/>
      <c r="S583" t="s">
        <v>404</v>
      </c>
      <c r="T583" s="71"/>
    </row>
    <row r="584" spans="1:20" x14ac:dyDescent="0.3">
      <c r="A584" s="72">
        <f>IFERROR(VLOOKUP($G584,Conf!$B:$C,2,0),E584)</f>
        <v>7</v>
      </c>
      <c r="B584" s="72" t="str">
        <f ca="1">IF(D584="Inativo","Inativo",IFERROR(VLOOKUP($G584,Conf!$O:$Q,2,0),VLOOKUP($S584,Conf!$K:$M,2,0)))</f>
        <v>FRENTE DE CAIXA</v>
      </c>
      <c r="C584" s="72" t="str">
        <f ca="1">IF(D584="Inativo","Inativo",IFERROR(VLOOKUP($G584,Conf!$O:$Q,3,0),IFERROR(VLOOKUP($G584,Conf!$E:$F,2,0),VLOOKUP($S584,Conf!$K:$M,3,0))))</f>
        <v>ENTREGADOR</v>
      </c>
      <c r="D584" s="72" t="str">
        <f ca="1">IFERROR(IF(TODAY()-K584&gt;365,"Inativo",IF(J584=2,"Férias",IF(J584=7,"Demitido","Afastamento"))),VLOOKUP(J584,Conf!$H:$I,2,0))</f>
        <v>Ativos</v>
      </c>
      <c r="E584" s="187">
        <v>7</v>
      </c>
      <c r="F584" s="187">
        <v>1324</v>
      </c>
      <c r="G584" t="s">
        <v>802</v>
      </c>
      <c r="H584" s="71"/>
      <c r="I584" t="s">
        <v>220</v>
      </c>
      <c r="J584" s="187">
        <v>1</v>
      </c>
      <c r="K584" t="s">
        <v>1385</v>
      </c>
      <c r="L584" s="185"/>
      <c r="M584" s="188">
        <v>45027</v>
      </c>
      <c r="N584" s="71"/>
      <c r="O584" s="71"/>
      <c r="P584" s="71"/>
      <c r="Q584" s="71"/>
      <c r="R584" s="71"/>
      <c r="S584" t="s">
        <v>404</v>
      </c>
      <c r="T584" s="71"/>
    </row>
    <row r="585" spans="1:20" x14ac:dyDescent="0.3">
      <c r="A585" s="72">
        <f>IFERROR(VLOOKUP($G585,Conf!$B:$C,2,0),E585)</f>
        <v>7</v>
      </c>
      <c r="B585" s="72" t="str">
        <f ca="1">IF(D585="Inativo","Inativo",IFERROR(VLOOKUP($G585,Conf!$O:$Q,2,0),VLOOKUP($S585,Conf!$K:$M,2,0)))</f>
        <v>FRENTE DE CAIXA</v>
      </c>
      <c r="C585" s="72" t="str">
        <f ca="1">IF(D585="Inativo","Inativo",IFERROR(VLOOKUP($G585,Conf!$O:$Q,3,0),IFERROR(VLOOKUP($G585,Conf!$E:$F,2,0),VLOOKUP($S585,Conf!$K:$M,3,0))))</f>
        <v>ENTREGADOR</v>
      </c>
      <c r="D585" s="72" t="str">
        <f ca="1">IFERROR(IF(TODAY()-K585&gt;365,"Inativo",IF(J585=2,"Férias",IF(J585=7,"Demitido","Afastamento"))),VLOOKUP(J585,Conf!$H:$I,2,0))</f>
        <v>Ativos</v>
      </c>
      <c r="E585" s="187">
        <v>7</v>
      </c>
      <c r="F585" s="187">
        <v>1779</v>
      </c>
      <c r="G585" t="s">
        <v>1586</v>
      </c>
      <c r="H585" s="71"/>
      <c r="I585" t="s">
        <v>220</v>
      </c>
      <c r="J585" s="187">
        <v>1</v>
      </c>
      <c r="K585" t="s">
        <v>1385</v>
      </c>
      <c r="L585" s="185"/>
      <c r="M585" s="188">
        <v>46283</v>
      </c>
      <c r="N585" s="71"/>
      <c r="Q585" s="71"/>
      <c r="R585" s="71"/>
      <c r="S585" t="s">
        <v>404</v>
      </c>
      <c r="T585" s="71"/>
    </row>
    <row r="586" spans="1:20" x14ac:dyDescent="0.3">
      <c r="A586" s="72">
        <f>IFERROR(VLOOKUP($G586,Conf!$B:$C,2,0),E586)</f>
        <v>7</v>
      </c>
      <c r="B586" s="72" t="str">
        <f ca="1">IF(D586="Inativo","Inativo",IFERROR(VLOOKUP($G586,Conf!$O:$Q,2,0),VLOOKUP($S586,Conf!$K:$M,2,0)))</f>
        <v>FRENTE DE CAIXA</v>
      </c>
      <c r="C586" s="72" t="str">
        <f ca="1">IF(D586="Inativo","Inativo",IFERROR(VLOOKUP($G586,Conf!$O:$Q,3,0),IFERROR(VLOOKUP($G586,Conf!$E:$F,2,0),VLOOKUP($S586,Conf!$K:$M,3,0))))</f>
        <v>FISCAL DE CAIXA</v>
      </c>
      <c r="D586" s="72" t="str">
        <f ca="1">IFERROR(IF(TODAY()-K586&gt;365,"Inativo",IF(J586=2,"Férias",IF(J586=7,"Demitido","Afastamento"))),VLOOKUP(J586,Conf!$H:$I,2,0))</f>
        <v>Ativos</v>
      </c>
      <c r="E586" s="187">
        <v>7</v>
      </c>
      <c r="F586" s="187">
        <v>1069</v>
      </c>
      <c r="G586" t="s">
        <v>811</v>
      </c>
      <c r="H586" s="71"/>
      <c r="I586" t="s">
        <v>265</v>
      </c>
      <c r="J586" s="187">
        <v>1</v>
      </c>
      <c r="K586" t="s">
        <v>1385</v>
      </c>
      <c r="L586" s="185"/>
      <c r="M586" s="188">
        <v>44105</v>
      </c>
      <c r="N586" s="71"/>
      <c r="Q586" s="71"/>
      <c r="R586" s="71"/>
      <c r="S586" t="s">
        <v>278</v>
      </c>
      <c r="T586" s="71"/>
    </row>
    <row r="587" spans="1:20" x14ac:dyDescent="0.3">
      <c r="A587" s="72">
        <f>IFERROR(VLOOKUP($G587,Conf!$B:$C,2,0),E587)</f>
        <v>7</v>
      </c>
      <c r="B587" s="72" t="str">
        <f ca="1">IF(D587="Inativo","Inativo",IFERROR(VLOOKUP($G587,Conf!$O:$Q,2,0),VLOOKUP($S587,Conf!$K:$M,2,0)))</f>
        <v>FRENTE DE CAIXA</v>
      </c>
      <c r="C587" s="72" t="str">
        <f ca="1">IF(D587="Inativo","Inativo",IFERROR(VLOOKUP($G587,Conf!$O:$Q,3,0),IFERROR(VLOOKUP($G587,Conf!$E:$F,2,0),VLOOKUP($S587,Conf!$K:$M,3,0))))</f>
        <v>FISCAL DE CAIXA</v>
      </c>
      <c r="D587" s="72" t="str">
        <f ca="1">IFERROR(IF(TODAY()-K587&gt;365,"Inativo",IF(J587=2,"Férias",IF(J587=7,"Demitido","Afastamento"))),VLOOKUP(J587,Conf!$H:$I,2,0))</f>
        <v>Férias</v>
      </c>
      <c r="E587" s="187">
        <v>7</v>
      </c>
      <c r="F587" s="187">
        <v>1537</v>
      </c>
      <c r="G587" t="s">
        <v>812</v>
      </c>
      <c r="H587" s="71"/>
      <c r="I587" t="s">
        <v>220</v>
      </c>
      <c r="J587" s="187">
        <v>2</v>
      </c>
      <c r="K587" t="s">
        <v>1640</v>
      </c>
      <c r="L587" s="185"/>
      <c r="M587" s="188">
        <v>45555</v>
      </c>
      <c r="N587" s="71"/>
      <c r="O587" s="71"/>
      <c r="P587" s="71"/>
      <c r="Q587" s="71"/>
      <c r="R587" s="71"/>
      <c r="S587" t="s">
        <v>278</v>
      </c>
      <c r="T587" s="71"/>
    </row>
    <row r="588" spans="1:20" x14ac:dyDescent="0.3">
      <c r="A588" s="72">
        <f>IFERROR(VLOOKUP($G588,Conf!$B:$C,2,0),E588)</f>
        <v>7</v>
      </c>
      <c r="B588" s="72" t="str">
        <f ca="1">IF(D588="Inativo","Inativo",IFERROR(VLOOKUP($G588,Conf!$O:$Q,2,0),VLOOKUP($S588,Conf!$K:$M,2,0)))</f>
        <v>FRENTE DE CAIXA</v>
      </c>
      <c r="C588" s="72" t="str">
        <f ca="1">IF(D588="Inativo","Inativo",IFERROR(VLOOKUP($G588,Conf!$O:$Q,3,0),IFERROR(VLOOKUP($G588,Conf!$E:$F,2,0),VLOOKUP($S588,Conf!$K:$M,3,0))))</f>
        <v>FISCAL DE CAIXA</v>
      </c>
      <c r="D588" s="72" t="str">
        <f ca="1">IFERROR(IF(TODAY()-K588&gt;365,"Inativo",IF(J588=2,"Férias",IF(J588=7,"Demitido","Afastamento"))),VLOOKUP(J588,Conf!$H:$I,2,0))</f>
        <v>Demitido</v>
      </c>
      <c r="E588" s="187">
        <v>7</v>
      </c>
      <c r="F588" s="187">
        <v>1513</v>
      </c>
      <c r="G588" t="s">
        <v>813</v>
      </c>
      <c r="H588" s="71"/>
      <c r="I588" t="s">
        <v>220</v>
      </c>
      <c r="J588" s="187">
        <v>7</v>
      </c>
      <c r="K588" t="s">
        <v>1640</v>
      </c>
      <c r="L588" s="185"/>
      <c r="M588" s="188">
        <v>45458</v>
      </c>
      <c r="N588" s="71"/>
      <c r="Q588" s="71"/>
      <c r="R588" s="71"/>
      <c r="S588" t="s">
        <v>278</v>
      </c>
      <c r="T588" s="71"/>
    </row>
    <row r="589" spans="1:20" x14ac:dyDescent="0.3">
      <c r="A589" s="72">
        <f>IFERROR(VLOOKUP($G589,Conf!$B:$C,2,0),E589)</f>
        <v>7</v>
      </c>
      <c r="B589" s="72" t="str">
        <f ca="1">IF(D589="Inativo","Inativo",IFERROR(VLOOKUP($G589,Conf!$O:$Q,2,0),VLOOKUP($S589,Conf!$K:$M,2,0)))</f>
        <v>FRENTE DE CAIXA</v>
      </c>
      <c r="C589" s="72" t="str">
        <f ca="1">IF(D589="Inativo","Inativo",IFERROR(VLOOKUP($G589,Conf!$O:$Q,3,0),IFERROR(VLOOKUP($G589,Conf!$E:$F,2,0),VLOOKUP($S589,Conf!$K:$M,3,0))))</f>
        <v>FISCAL DE CAIXA</v>
      </c>
      <c r="D589" s="72" t="str">
        <f ca="1">IFERROR(IF(TODAY()-K589&gt;365,"Inativo",IF(J589=2,"Férias",IF(J589=7,"Demitido","Afastamento"))),VLOOKUP(J589,Conf!$H:$I,2,0))</f>
        <v>Ativos</v>
      </c>
      <c r="E589" s="187">
        <v>7</v>
      </c>
      <c r="F589" s="187">
        <v>1578</v>
      </c>
      <c r="G589" t="s">
        <v>814</v>
      </c>
      <c r="H589" s="71"/>
      <c r="I589" t="s">
        <v>220</v>
      </c>
      <c r="J589" s="187">
        <v>1</v>
      </c>
      <c r="K589" t="s">
        <v>1385</v>
      </c>
      <c r="L589" s="185"/>
      <c r="M589" s="188">
        <v>45644</v>
      </c>
      <c r="N589" s="71"/>
      <c r="Q589" s="71"/>
      <c r="R589" s="71"/>
      <c r="S589" t="s">
        <v>278</v>
      </c>
      <c r="T589" s="71"/>
    </row>
    <row r="590" spans="1:20" x14ac:dyDescent="0.3">
      <c r="A590" s="72">
        <f>IFERROR(VLOOKUP($G590,Conf!$B:$C,2,0),E590)</f>
        <v>7</v>
      </c>
      <c r="B590" s="72" t="str">
        <f ca="1">IF(D590="Inativo","Inativo",IFERROR(VLOOKUP($G590,Conf!$O:$Q,2,0),VLOOKUP($S590,Conf!$K:$M,2,0)))</f>
        <v>FRENTE DE CAIXA</v>
      </c>
      <c r="C590" s="72" t="str">
        <f ca="1">IF(D590="Inativo","Inativo",IFERROR(VLOOKUP($G590,Conf!$O:$Q,3,0),IFERROR(VLOOKUP($G590,Conf!$E:$F,2,0),VLOOKUP($S590,Conf!$K:$M,3,0))))</f>
        <v>FISCAL DE CAIXA</v>
      </c>
      <c r="D590" s="72" t="str">
        <f ca="1">IFERROR(IF(TODAY()-K590&gt;365,"Inativo",IF(J590=2,"Férias",IF(J590=7,"Demitido","Afastamento"))),VLOOKUP(J590,Conf!$H:$I,2,0))</f>
        <v>Ativos</v>
      </c>
      <c r="E590" s="187">
        <v>7</v>
      </c>
      <c r="F590" s="187">
        <v>1222</v>
      </c>
      <c r="G590" t="s">
        <v>815</v>
      </c>
      <c r="H590" s="71"/>
      <c r="I590" t="s">
        <v>225</v>
      </c>
      <c r="J590" s="187">
        <v>1</v>
      </c>
      <c r="K590" t="s">
        <v>1385</v>
      </c>
      <c r="L590" s="185"/>
      <c r="M590" s="188">
        <v>44687</v>
      </c>
      <c r="N590" s="71"/>
      <c r="Q590" s="71"/>
      <c r="R590" s="71"/>
      <c r="S590" t="s">
        <v>278</v>
      </c>
      <c r="T590" s="71"/>
    </row>
    <row r="591" spans="1:20" x14ac:dyDescent="0.3">
      <c r="A591" s="72">
        <f>IFERROR(VLOOKUP($G591,Conf!$B:$C,2,0),E591)</f>
        <v>7</v>
      </c>
      <c r="B591" s="72" t="str">
        <f ca="1">IF(D591="Inativo","Inativo",IFERROR(VLOOKUP($G591,Conf!$O:$Q,2,0),VLOOKUP($S591,Conf!$K:$M,2,0)))</f>
        <v>FRENTE DE CAIXA</v>
      </c>
      <c r="C591" s="72" t="str">
        <f ca="1">IF(D591="Inativo","Inativo",IFERROR(VLOOKUP($G591,Conf!$O:$Q,3,0),IFERROR(VLOOKUP($G591,Conf!$E:$F,2,0),VLOOKUP($S591,Conf!$K:$M,3,0))))</f>
        <v>OPERADOR CAIXA</v>
      </c>
      <c r="D591" s="72" t="str">
        <f ca="1">IFERROR(IF(TODAY()-K591&gt;365,"Inativo",IF(J591=2,"Férias",IF(J591=7,"Demitido","Afastamento"))),VLOOKUP(J591,Conf!$H:$I,2,0))</f>
        <v>Ativos</v>
      </c>
      <c r="E591" s="187">
        <v>7</v>
      </c>
      <c r="F591" s="187">
        <v>1737</v>
      </c>
      <c r="G591" t="s">
        <v>816</v>
      </c>
      <c r="H591" s="71"/>
      <c r="I591" t="s">
        <v>220</v>
      </c>
      <c r="J591" s="187">
        <v>1</v>
      </c>
      <c r="K591" t="s">
        <v>1385</v>
      </c>
      <c r="L591" s="185"/>
      <c r="M591" s="188">
        <v>46114</v>
      </c>
      <c r="N591" s="71"/>
      <c r="Q591" s="71"/>
      <c r="R591" s="71"/>
      <c r="S591" t="s">
        <v>281</v>
      </c>
      <c r="T591" s="71"/>
    </row>
    <row r="592" spans="1:20" x14ac:dyDescent="0.3">
      <c r="A592" s="72">
        <f>IFERROR(VLOOKUP($G592,Conf!$B:$C,2,0),E592)</f>
        <v>7</v>
      </c>
      <c r="B592" s="72" t="str">
        <f ca="1">IF(D592="Inativo","Inativo",IFERROR(VLOOKUP($G592,Conf!$O:$Q,2,0),VLOOKUP($S592,Conf!$K:$M,2,0)))</f>
        <v>FRENTE DE CAIXA</v>
      </c>
      <c r="C592" s="72" t="str">
        <f ca="1">IF(D592="Inativo","Inativo",IFERROR(VLOOKUP($G592,Conf!$O:$Q,3,0),IFERROR(VLOOKUP($G592,Conf!$E:$F,2,0),VLOOKUP($S592,Conf!$K:$M,3,0))))</f>
        <v>OPERADOR CAIXA</v>
      </c>
      <c r="D592" s="72" t="str">
        <f ca="1">IFERROR(IF(TODAY()-K592&gt;365,"Inativo",IF(J592=2,"Férias",IF(J592=7,"Demitido","Afastamento"))),VLOOKUP(J592,Conf!$H:$I,2,0))</f>
        <v>Ativos</v>
      </c>
      <c r="E592" s="187">
        <v>7</v>
      </c>
      <c r="F592" s="187">
        <v>1777</v>
      </c>
      <c r="G592" t="s">
        <v>1572</v>
      </c>
      <c r="H592" s="71"/>
      <c r="I592" t="s">
        <v>220</v>
      </c>
      <c r="J592" s="187">
        <v>1</v>
      </c>
      <c r="K592" t="s">
        <v>1385</v>
      </c>
      <c r="L592" s="185"/>
      <c r="M592" s="188">
        <v>46282</v>
      </c>
      <c r="N592" s="71"/>
      <c r="Q592" s="71"/>
      <c r="R592" s="71"/>
      <c r="S592" t="s">
        <v>281</v>
      </c>
      <c r="T592" s="71"/>
    </row>
    <row r="593" spans="1:20" x14ac:dyDescent="0.3">
      <c r="A593" s="72">
        <f>IFERROR(VLOOKUP($G593,Conf!$B:$C,2,0),E593)</f>
        <v>7</v>
      </c>
      <c r="B593" s="72" t="str">
        <f ca="1">IF(D593="Inativo","Inativo",IFERROR(VLOOKUP($G593,Conf!$O:$Q,2,0),VLOOKUP($S593,Conf!$K:$M,2,0)))</f>
        <v>FRENTE DE CAIXA</v>
      </c>
      <c r="C593" s="72" t="str">
        <f ca="1">IF(D593="Inativo","Inativo",IFERROR(VLOOKUP($G593,Conf!$O:$Q,3,0),IFERROR(VLOOKUP($G593,Conf!$E:$F,2,0),VLOOKUP($S593,Conf!$K:$M,3,0))))</f>
        <v>OPERADOR CAIXA</v>
      </c>
      <c r="D593" s="72" t="str">
        <f ca="1">IFERROR(IF(TODAY()-K593&gt;365,"Inativo",IF(J593=2,"Férias",IF(J593=7,"Demitido","Afastamento"))),VLOOKUP(J593,Conf!$H:$I,2,0))</f>
        <v>Ativos</v>
      </c>
      <c r="E593" s="187">
        <v>7</v>
      </c>
      <c r="F593" s="187">
        <v>1727</v>
      </c>
      <c r="G593" t="s">
        <v>817</v>
      </c>
      <c r="H593" s="71"/>
      <c r="I593" t="s">
        <v>220</v>
      </c>
      <c r="J593" s="187">
        <v>1</v>
      </c>
      <c r="K593" t="s">
        <v>1385</v>
      </c>
      <c r="L593" s="185"/>
      <c r="M593" s="188">
        <v>46098</v>
      </c>
      <c r="N593" s="71"/>
      <c r="O593" s="71"/>
      <c r="P593" s="71"/>
      <c r="Q593" s="71"/>
      <c r="R593" s="71"/>
      <c r="S593" t="s">
        <v>281</v>
      </c>
      <c r="T593" s="71"/>
    </row>
    <row r="594" spans="1:20" x14ac:dyDescent="0.3">
      <c r="A594" s="72">
        <f>IFERROR(VLOOKUP($G594,Conf!$B:$C,2,0),E594)</f>
        <v>7</v>
      </c>
      <c r="B594" s="72" t="str">
        <f ca="1">IF(D594="Inativo","Inativo",IFERROR(VLOOKUP($G594,Conf!$O:$Q,2,0),VLOOKUP($S594,Conf!$K:$M,2,0)))</f>
        <v>FRENTE DE CAIXA</v>
      </c>
      <c r="C594" s="72" t="str">
        <f ca="1">IF(D594="Inativo","Inativo",IFERROR(VLOOKUP($G594,Conf!$O:$Q,3,0),IFERROR(VLOOKUP($G594,Conf!$E:$F,2,0),VLOOKUP($S594,Conf!$K:$M,3,0))))</f>
        <v>OPERADOR CAIXA</v>
      </c>
      <c r="D594" s="72" t="str">
        <f ca="1">IFERROR(IF(TODAY()-K594&gt;365,"Inativo",IF(J594=2,"Férias",IF(J594=7,"Demitido","Afastamento"))),VLOOKUP(J594,Conf!$H:$I,2,0))</f>
        <v>Ativos</v>
      </c>
      <c r="E594" s="187">
        <v>7</v>
      </c>
      <c r="F594" s="187">
        <v>1365</v>
      </c>
      <c r="G594" t="s">
        <v>818</v>
      </c>
      <c r="H594" s="71"/>
      <c r="I594" t="s">
        <v>265</v>
      </c>
      <c r="J594" s="187">
        <v>1</v>
      </c>
      <c r="K594" t="s">
        <v>1385</v>
      </c>
      <c r="L594" s="185"/>
      <c r="M594" s="188">
        <v>45140</v>
      </c>
      <c r="N594" s="71"/>
      <c r="O594" s="71"/>
      <c r="P594" s="71"/>
      <c r="Q594" s="71"/>
      <c r="R594" s="71"/>
      <c r="S594" t="s">
        <v>281</v>
      </c>
      <c r="T594" s="71"/>
    </row>
    <row r="595" spans="1:20" x14ac:dyDescent="0.3">
      <c r="A595" s="72">
        <f>IFERROR(VLOOKUP($G595,Conf!$B:$C,2,0),E595)</f>
        <v>7</v>
      </c>
      <c r="B595" s="72" t="str">
        <f ca="1">IF(D595="Inativo","Inativo",IFERROR(VLOOKUP($G595,Conf!$O:$Q,2,0),VLOOKUP($S595,Conf!$K:$M,2,0)))</f>
        <v>FRENTE DE CAIXA</v>
      </c>
      <c r="C595" s="72" t="str">
        <f ca="1">IF(D595="Inativo","Inativo",IFERROR(VLOOKUP($G595,Conf!$O:$Q,3,0),IFERROR(VLOOKUP($G595,Conf!$E:$F,2,0),VLOOKUP($S595,Conf!$K:$M,3,0))))</f>
        <v>OPERADOR CAIXA</v>
      </c>
      <c r="D595" s="72" t="str">
        <f ca="1">IFERROR(IF(TODAY()-K595&gt;365,"Inativo",IF(J595=2,"Férias",IF(J595=7,"Demitido","Afastamento"))),VLOOKUP(J595,Conf!$H:$I,2,0))</f>
        <v>Ativos</v>
      </c>
      <c r="E595" s="187">
        <v>7</v>
      </c>
      <c r="F595" s="187">
        <v>1579</v>
      </c>
      <c r="G595" t="s">
        <v>819</v>
      </c>
      <c r="H595" s="71"/>
      <c r="I595" t="s">
        <v>220</v>
      </c>
      <c r="J595" s="187">
        <v>1</v>
      </c>
      <c r="K595" t="s">
        <v>1385</v>
      </c>
      <c r="L595" s="185"/>
      <c r="M595" s="188">
        <v>45644</v>
      </c>
      <c r="N595" s="71"/>
      <c r="Q595" s="71"/>
      <c r="R595" s="71"/>
      <c r="S595" t="s">
        <v>281</v>
      </c>
      <c r="T595" s="71"/>
    </row>
    <row r="596" spans="1:20" x14ac:dyDescent="0.3">
      <c r="A596" s="72">
        <f>IFERROR(VLOOKUP($G596,Conf!$B:$C,2,0),E596)</f>
        <v>7</v>
      </c>
      <c r="B596" s="72" t="str">
        <f ca="1">IF(D596="Inativo","Inativo",IFERROR(VLOOKUP($G596,Conf!$O:$Q,2,0),VLOOKUP($S596,Conf!$K:$M,2,0)))</f>
        <v>FRENTE DE CAIXA</v>
      </c>
      <c r="C596" s="72" t="str">
        <f ca="1">IF(D596="Inativo","Inativo",IFERROR(VLOOKUP($G596,Conf!$O:$Q,3,0),IFERROR(VLOOKUP($G596,Conf!$E:$F,2,0),VLOOKUP($S596,Conf!$K:$M,3,0))))</f>
        <v>OPERADOR CAIXA</v>
      </c>
      <c r="D596" s="72" t="str">
        <f ca="1">IFERROR(IF(TODAY()-K596&gt;365,"Inativo",IF(J596=2,"Férias",IF(J596=7,"Demitido","Afastamento"))),VLOOKUP(J596,Conf!$H:$I,2,0))</f>
        <v>Férias</v>
      </c>
      <c r="E596" s="187">
        <v>7</v>
      </c>
      <c r="F596" s="187">
        <v>1520</v>
      </c>
      <c r="G596" t="s">
        <v>820</v>
      </c>
      <c r="H596" s="71"/>
      <c r="I596" t="s">
        <v>220</v>
      </c>
      <c r="J596" s="187">
        <v>2</v>
      </c>
      <c r="K596" t="s">
        <v>1640</v>
      </c>
      <c r="L596" s="185"/>
      <c r="M596" s="188">
        <v>45485</v>
      </c>
      <c r="N596" s="71"/>
      <c r="O596" s="71"/>
      <c r="P596" s="71"/>
      <c r="Q596" s="71"/>
      <c r="R596" s="71"/>
      <c r="S596" t="s">
        <v>281</v>
      </c>
      <c r="T596" s="71"/>
    </row>
    <row r="597" spans="1:20" x14ac:dyDescent="0.3">
      <c r="A597" s="72">
        <f>IFERROR(VLOOKUP($G597,Conf!$B:$C,2,0),E597)</f>
        <v>7</v>
      </c>
      <c r="B597" s="72" t="str">
        <f ca="1">IF(D597="Inativo","Inativo",IFERROR(VLOOKUP($G597,Conf!$O:$Q,2,0),VLOOKUP($S597,Conf!$K:$M,2,0)))</f>
        <v>FRENTE DE CAIXA</v>
      </c>
      <c r="C597" s="72" t="str">
        <f ca="1">IF(D597="Inativo","Inativo",IFERROR(VLOOKUP($G597,Conf!$O:$Q,3,0),IFERROR(VLOOKUP($G597,Conf!$E:$F,2,0),VLOOKUP($S597,Conf!$K:$M,3,0))))</f>
        <v>OPERADOR CAIXA</v>
      </c>
      <c r="D597" s="72" t="str">
        <f ca="1">IFERROR(IF(TODAY()-K597&gt;365,"Inativo",IF(J597=2,"Férias",IF(J597=7,"Demitido","Afastamento"))),VLOOKUP(J597,Conf!$H:$I,2,0))</f>
        <v>Ativos</v>
      </c>
      <c r="E597" s="187">
        <v>7</v>
      </c>
      <c r="F597" s="187">
        <v>1771</v>
      </c>
      <c r="G597" t="s">
        <v>1505</v>
      </c>
      <c r="H597" s="71"/>
      <c r="I597" t="s">
        <v>220</v>
      </c>
      <c r="J597" s="187">
        <v>1</v>
      </c>
      <c r="K597" t="s">
        <v>1385</v>
      </c>
      <c r="L597" s="185"/>
      <c r="M597" s="188">
        <v>46259</v>
      </c>
      <c r="N597" s="71"/>
      <c r="Q597" s="71"/>
      <c r="R597" s="71"/>
      <c r="S597" t="s">
        <v>281</v>
      </c>
      <c r="T597" s="71"/>
    </row>
    <row r="598" spans="1:20" x14ac:dyDescent="0.3">
      <c r="A598" s="72">
        <f>IFERROR(VLOOKUP($G598,Conf!$B:$C,2,0),E598)</f>
        <v>7</v>
      </c>
      <c r="B598" s="72" t="str">
        <f ca="1">IF(D598="Inativo","Inativo",IFERROR(VLOOKUP($G598,Conf!$O:$Q,2,0),VLOOKUP($S598,Conf!$K:$M,2,0)))</f>
        <v>FRENTE DE CAIXA</v>
      </c>
      <c r="C598" s="72" t="str">
        <f ca="1">IF(D598="Inativo","Inativo",IFERROR(VLOOKUP($G598,Conf!$O:$Q,3,0),IFERROR(VLOOKUP($G598,Conf!$E:$F,2,0),VLOOKUP($S598,Conf!$K:$M,3,0))))</f>
        <v>OPERADOR CAIXA</v>
      </c>
      <c r="D598" s="72" t="str">
        <f ca="1">IFERROR(IF(TODAY()-K598&gt;365,"Inativo",IF(J598=2,"Férias",IF(J598=7,"Demitido","Afastamento"))),VLOOKUP(J598,Conf!$H:$I,2,0))</f>
        <v>Ativos</v>
      </c>
      <c r="E598" s="187">
        <v>7</v>
      </c>
      <c r="F598" s="187">
        <v>1721</v>
      </c>
      <c r="G598" t="s">
        <v>821</v>
      </c>
      <c r="H598" s="71"/>
      <c r="I598" t="s">
        <v>220</v>
      </c>
      <c r="J598" s="187">
        <v>1</v>
      </c>
      <c r="K598" t="s">
        <v>1385</v>
      </c>
      <c r="L598" s="185"/>
      <c r="M598" s="188">
        <v>46091</v>
      </c>
      <c r="N598" s="71"/>
      <c r="Q598" s="71"/>
      <c r="R598" s="71"/>
      <c r="S598" t="s">
        <v>281</v>
      </c>
      <c r="T598" s="71"/>
    </row>
    <row r="599" spans="1:20" x14ac:dyDescent="0.3">
      <c r="A599" s="72">
        <f>IFERROR(VLOOKUP($G599,Conf!$B:$C,2,0),E599)</f>
        <v>7</v>
      </c>
      <c r="B599" s="72" t="str">
        <f ca="1">IF(D599="Inativo","Inativo",IFERROR(VLOOKUP($G599,Conf!$O:$Q,2,0),VLOOKUP($S599,Conf!$K:$M,2,0)))</f>
        <v>FRENTE DE CAIXA</v>
      </c>
      <c r="C599" s="72" t="str">
        <f ca="1">IF(D599="Inativo","Inativo",IFERROR(VLOOKUP($G599,Conf!$O:$Q,3,0),IFERROR(VLOOKUP($G599,Conf!$E:$F,2,0),VLOOKUP($S599,Conf!$K:$M,3,0))))</f>
        <v>OPERADOR CAIXA</v>
      </c>
      <c r="D599" s="72" t="str">
        <f ca="1">IFERROR(IF(TODAY()-K599&gt;365,"Inativo",IF(J599=2,"Férias",IF(J599=7,"Demitido","Afastamento"))),VLOOKUP(J599,Conf!$H:$I,2,0))</f>
        <v>Ativos</v>
      </c>
      <c r="E599" s="187">
        <v>7</v>
      </c>
      <c r="F599" s="187">
        <v>1421</v>
      </c>
      <c r="G599" t="s">
        <v>822</v>
      </c>
      <c r="H599" s="71"/>
      <c r="I599" t="s">
        <v>225</v>
      </c>
      <c r="J599" s="187">
        <v>1</v>
      </c>
      <c r="K599" t="s">
        <v>1385</v>
      </c>
      <c r="L599" s="185"/>
      <c r="M599" s="188">
        <v>45279</v>
      </c>
      <c r="N599" s="71"/>
      <c r="O599" s="71"/>
      <c r="P599" s="71"/>
      <c r="Q599" s="71"/>
      <c r="R599" s="71"/>
      <c r="S599" t="s">
        <v>281</v>
      </c>
      <c r="T599" s="71"/>
    </row>
    <row r="600" spans="1:20" x14ac:dyDescent="0.3">
      <c r="A600" s="72">
        <f>IFERROR(VLOOKUP($G600,Conf!$B:$C,2,0),E600)</f>
        <v>7</v>
      </c>
      <c r="B600" s="72" t="str">
        <f ca="1">IF(D600="Inativo","Inativo",IFERROR(VLOOKUP($G600,Conf!$O:$Q,2,0),VLOOKUP($S600,Conf!$K:$M,2,0)))</f>
        <v>FRENTE DE CAIXA</v>
      </c>
      <c r="C600" s="72" t="str">
        <f ca="1">IF(D600="Inativo","Inativo",IFERROR(VLOOKUP($G600,Conf!$O:$Q,3,0),IFERROR(VLOOKUP($G600,Conf!$E:$F,2,0),VLOOKUP($S600,Conf!$K:$M,3,0))))</f>
        <v>OPERADOR CAIXA</v>
      </c>
      <c r="D600" s="72" t="str">
        <f ca="1">IFERROR(IF(TODAY()-K600&gt;365,"Inativo",IF(J600=2,"Férias",IF(J600=7,"Demitido","Afastamento"))),VLOOKUP(J600,Conf!$H:$I,2,0))</f>
        <v>Ativos</v>
      </c>
      <c r="E600" s="187">
        <v>7</v>
      </c>
      <c r="F600" s="187">
        <v>1019</v>
      </c>
      <c r="G600" t="s">
        <v>823</v>
      </c>
      <c r="H600" s="71"/>
      <c r="I600" t="s">
        <v>225</v>
      </c>
      <c r="J600" s="187">
        <v>1</v>
      </c>
      <c r="K600" t="s">
        <v>1385</v>
      </c>
      <c r="L600" s="185"/>
      <c r="M600" s="188">
        <v>44004</v>
      </c>
      <c r="N600" s="71"/>
      <c r="O600" s="71"/>
      <c r="P600" s="71"/>
      <c r="Q600" s="71"/>
      <c r="R600" s="71"/>
      <c r="S600" t="s">
        <v>281</v>
      </c>
      <c r="T600" s="71"/>
    </row>
    <row r="601" spans="1:20" x14ac:dyDescent="0.3">
      <c r="A601" s="72">
        <f>IFERROR(VLOOKUP($G601,Conf!$B:$C,2,0),E601)</f>
        <v>7</v>
      </c>
      <c r="B601" s="72" t="str">
        <f ca="1">IF(D601="Inativo","Inativo",IFERROR(VLOOKUP($G601,Conf!$O:$Q,2,0),VLOOKUP($S601,Conf!$K:$M,2,0)))</f>
        <v>FRENTE DE CAIXA</v>
      </c>
      <c r="C601" s="72" t="str">
        <f ca="1">IF(D601="Inativo","Inativo",IFERROR(VLOOKUP($G601,Conf!$O:$Q,3,0),IFERROR(VLOOKUP($G601,Conf!$E:$F,2,0),VLOOKUP($S601,Conf!$K:$M,3,0))))</f>
        <v>OPERADOR CAIXA</v>
      </c>
      <c r="D601" s="72" t="str">
        <f ca="1">IFERROR(IF(TODAY()-K601&gt;365,"Inativo",IF(J601=2,"Férias",IF(J601=7,"Demitido","Afastamento"))),VLOOKUP(J601,Conf!$H:$I,2,0))</f>
        <v>Ativos</v>
      </c>
      <c r="E601" s="187">
        <v>7</v>
      </c>
      <c r="F601" s="187">
        <v>1761</v>
      </c>
      <c r="G601" t="s">
        <v>1431</v>
      </c>
      <c r="H601" s="71"/>
      <c r="I601" t="s">
        <v>220</v>
      </c>
      <c r="J601" s="187">
        <v>1</v>
      </c>
      <c r="K601" t="s">
        <v>1385</v>
      </c>
      <c r="L601" s="185"/>
      <c r="M601" s="188">
        <v>46223</v>
      </c>
      <c r="N601" s="71"/>
      <c r="Q601" s="71"/>
      <c r="R601" s="71"/>
      <c r="S601" t="s">
        <v>281</v>
      </c>
      <c r="T601" s="71"/>
    </row>
    <row r="602" spans="1:20" x14ac:dyDescent="0.3">
      <c r="A602" s="72">
        <f>IFERROR(VLOOKUP($G602,Conf!$B:$C,2,0),E602)</f>
        <v>7</v>
      </c>
      <c r="B602" s="72" t="str">
        <f ca="1">IF(D602="Inativo","Inativo",IFERROR(VLOOKUP($G602,Conf!$O:$Q,2,0),VLOOKUP($S602,Conf!$K:$M,2,0)))</f>
        <v>FRENTE DE CAIXA</v>
      </c>
      <c r="C602" s="72" t="str">
        <f ca="1">IF(D602="Inativo","Inativo",IFERROR(VLOOKUP($G602,Conf!$O:$Q,3,0),IFERROR(VLOOKUP($G602,Conf!$E:$F,2,0),VLOOKUP($S602,Conf!$K:$M,3,0))))</f>
        <v>OPERADOR CAIXA</v>
      </c>
      <c r="D602" s="72" t="str">
        <f ca="1">IFERROR(IF(TODAY()-K602&gt;365,"Inativo",IF(J602=2,"Férias",IF(J602=7,"Demitido","Afastamento"))),VLOOKUP(J602,Conf!$H:$I,2,0))</f>
        <v>Ativos</v>
      </c>
      <c r="E602" s="187">
        <v>7</v>
      </c>
      <c r="F602" s="187">
        <v>1072</v>
      </c>
      <c r="G602" t="s">
        <v>824</v>
      </c>
      <c r="H602" s="71"/>
      <c r="I602" t="s">
        <v>225</v>
      </c>
      <c r="J602" s="187">
        <v>1</v>
      </c>
      <c r="K602" t="s">
        <v>1385</v>
      </c>
      <c r="L602" s="185"/>
      <c r="M602" s="188">
        <v>44109</v>
      </c>
      <c r="N602" s="71"/>
      <c r="Q602" s="71"/>
      <c r="R602" s="71"/>
      <c r="S602" t="s">
        <v>281</v>
      </c>
      <c r="T602" s="71"/>
    </row>
    <row r="603" spans="1:20" x14ac:dyDescent="0.3">
      <c r="A603" s="72">
        <f>IFERROR(VLOOKUP($G603,Conf!$B:$C,2,0),E603)</f>
        <v>7</v>
      </c>
      <c r="B603" s="72" t="str">
        <f ca="1">IF(D603="Inativo","Inativo",IFERROR(VLOOKUP($G603,Conf!$O:$Q,2,0),VLOOKUP($S603,Conf!$K:$M,2,0)))</f>
        <v>FRENTE DE CAIXA</v>
      </c>
      <c r="C603" s="72" t="str">
        <f ca="1">IF(D603="Inativo","Inativo",IFERROR(VLOOKUP($G603,Conf!$O:$Q,3,0),IFERROR(VLOOKUP($G603,Conf!$E:$F,2,0),VLOOKUP($S603,Conf!$K:$M,3,0))))</f>
        <v>OPERADOR CAIXA</v>
      </c>
      <c r="D603" s="72" t="str">
        <f ca="1">IFERROR(IF(TODAY()-K603&gt;365,"Inativo",IF(J603=2,"Férias",IF(J603=7,"Demitido","Afastamento"))),VLOOKUP(J603,Conf!$H:$I,2,0))</f>
        <v>Ativos</v>
      </c>
      <c r="E603" s="187">
        <v>7</v>
      </c>
      <c r="F603" s="187">
        <v>1637</v>
      </c>
      <c r="G603" t="s">
        <v>825</v>
      </c>
      <c r="H603" s="71"/>
      <c r="I603" t="s">
        <v>220</v>
      </c>
      <c r="J603" s="187">
        <v>1</v>
      </c>
      <c r="K603" t="s">
        <v>1385</v>
      </c>
      <c r="L603" s="185"/>
      <c r="M603" s="188">
        <v>45840</v>
      </c>
      <c r="N603" s="71"/>
      <c r="Q603" s="71"/>
      <c r="R603" s="71"/>
      <c r="S603" t="s">
        <v>281</v>
      </c>
      <c r="T603" s="71"/>
    </row>
    <row r="604" spans="1:20" x14ac:dyDescent="0.3">
      <c r="A604" s="72">
        <f>IFERROR(VLOOKUP($G604,Conf!$B:$C,2,0),E604)</f>
        <v>7</v>
      </c>
      <c r="B604" s="72" t="str">
        <f ca="1">IF(D604="Inativo","Inativo",IFERROR(VLOOKUP($G604,Conf!$O:$Q,2,0),VLOOKUP($S604,Conf!$K:$M,2,0)))</f>
        <v>FRENTE DE CAIXA</v>
      </c>
      <c r="C604" s="72" t="str">
        <f ca="1">IF(D604="Inativo","Inativo",IFERROR(VLOOKUP($G604,Conf!$O:$Q,3,0),IFERROR(VLOOKUP($G604,Conf!$E:$F,2,0),VLOOKUP($S604,Conf!$K:$M,3,0))))</f>
        <v>OPERADOR CAIXA</v>
      </c>
      <c r="D604" s="72" t="str">
        <f ca="1">IFERROR(IF(TODAY()-K604&gt;365,"Inativo",IF(J604=2,"Férias",IF(J604=7,"Demitido","Afastamento"))),VLOOKUP(J604,Conf!$H:$I,2,0))</f>
        <v>Ativos</v>
      </c>
      <c r="E604" s="187">
        <v>7</v>
      </c>
      <c r="F604" s="187">
        <v>1295</v>
      </c>
      <c r="G604" t="s">
        <v>826</v>
      </c>
      <c r="H604" s="71"/>
      <c r="I604" t="s">
        <v>220</v>
      </c>
      <c r="J604" s="187">
        <v>1</v>
      </c>
      <c r="K604" t="s">
        <v>1385</v>
      </c>
      <c r="L604" s="185"/>
      <c r="M604" s="188">
        <v>44936</v>
      </c>
      <c r="N604" s="71"/>
      <c r="O604" s="71"/>
      <c r="P604" s="71"/>
      <c r="Q604" s="71"/>
      <c r="R604" s="71"/>
      <c r="S604" t="s">
        <v>281</v>
      </c>
      <c r="T604" s="71"/>
    </row>
    <row r="605" spans="1:20" x14ac:dyDescent="0.3">
      <c r="A605" s="72">
        <f>IFERROR(VLOOKUP($G605,Conf!$B:$C,2,0),E605)</f>
        <v>7</v>
      </c>
      <c r="B605" s="72" t="str">
        <f ca="1">IF(D605="Inativo","Inativo",IFERROR(VLOOKUP($G605,Conf!$O:$Q,2,0),VLOOKUP($S605,Conf!$K:$M,2,0)))</f>
        <v>FRENTE DE CAIXA</v>
      </c>
      <c r="C605" s="72" t="str">
        <f ca="1">IF(D605="Inativo","Inativo",IFERROR(VLOOKUP($G605,Conf!$O:$Q,3,0),IFERROR(VLOOKUP($G605,Conf!$E:$F,2,0),VLOOKUP($S605,Conf!$K:$M,3,0))))</f>
        <v>OPERADOR CAIXA</v>
      </c>
      <c r="D605" s="72" t="str">
        <f ca="1">IFERROR(IF(TODAY()-K605&gt;365,"Inativo",IF(J605=2,"Férias",IF(J605=7,"Demitido","Afastamento"))),VLOOKUP(J605,Conf!$H:$I,2,0))</f>
        <v>Afastamento</v>
      </c>
      <c r="E605" s="187">
        <v>7</v>
      </c>
      <c r="F605" s="187">
        <v>1687</v>
      </c>
      <c r="G605" t="s">
        <v>827</v>
      </c>
      <c r="H605" s="71"/>
      <c r="I605" t="s">
        <v>220</v>
      </c>
      <c r="J605" s="187">
        <v>6</v>
      </c>
      <c r="K605" t="s">
        <v>1537</v>
      </c>
      <c r="L605" s="185"/>
      <c r="M605" s="188">
        <v>45992</v>
      </c>
      <c r="N605" s="71"/>
      <c r="O605" s="71"/>
      <c r="P605" s="71"/>
      <c r="Q605" s="71"/>
      <c r="R605" s="71"/>
      <c r="S605" t="s">
        <v>281</v>
      </c>
      <c r="T605" s="71"/>
    </row>
    <row r="606" spans="1:20" x14ac:dyDescent="0.3">
      <c r="A606" s="72">
        <f>IFERROR(VLOOKUP($G606,Conf!$B:$C,2,0),E606)</f>
        <v>7</v>
      </c>
      <c r="B606" s="72" t="str">
        <f ca="1">IF(D606="Inativo","Inativo",IFERROR(VLOOKUP($G606,Conf!$O:$Q,2,0),VLOOKUP($S606,Conf!$K:$M,2,0)))</f>
        <v>FRENTE DE CAIXA</v>
      </c>
      <c r="C606" s="72" t="str">
        <f ca="1">IF(D606="Inativo","Inativo",IFERROR(VLOOKUP($G606,Conf!$O:$Q,3,0),IFERROR(VLOOKUP($G606,Conf!$E:$F,2,0),VLOOKUP($S606,Conf!$K:$M,3,0))))</f>
        <v>OPERADOR CAIXA</v>
      </c>
      <c r="D606" s="72" t="str">
        <f ca="1">IFERROR(IF(TODAY()-K606&gt;365,"Inativo",IF(J606=2,"Férias",IF(J606=7,"Demitido","Afastamento"))),VLOOKUP(J606,Conf!$H:$I,2,0))</f>
        <v>Ativos</v>
      </c>
      <c r="E606" s="187">
        <v>7</v>
      </c>
      <c r="F606" s="187">
        <v>1155</v>
      </c>
      <c r="G606" t="s">
        <v>828</v>
      </c>
      <c r="H606" s="71"/>
      <c r="I606" t="s">
        <v>225</v>
      </c>
      <c r="J606" s="187">
        <v>1</v>
      </c>
      <c r="K606" t="s">
        <v>1385</v>
      </c>
      <c r="L606" s="185"/>
      <c r="M606" s="188">
        <v>44400</v>
      </c>
      <c r="N606" s="71"/>
      <c r="O606" s="71"/>
      <c r="P606" s="71"/>
      <c r="Q606" s="71"/>
      <c r="R606" s="71"/>
      <c r="S606" t="s">
        <v>281</v>
      </c>
      <c r="T606" s="71"/>
    </row>
    <row r="607" spans="1:20" x14ac:dyDescent="0.3">
      <c r="A607" s="72">
        <f>IFERROR(VLOOKUP($G607,Conf!$B:$C,2,0),E607)</f>
        <v>7</v>
      </c>
      <c r="B607" s="72" t="str">
        <f ca="1">IF(D607="Inativo","Inativo",IFERROR(VLOOKUP($G607,Conf!$O:$Q,2,0),VLOOKUP($S607,Conf!$K:$M,2,0)))</f>
        <v>FRENTE DE CAIXA</v>
      </c>
      <c r="C607" s="72" t="str">
        <f ca="1">IF(D607="Inativo","Inativo",IFERROR(VLOOKUP($G607,Conf!$O:$Q,3,0),IFERROR(VLOOKUP($G607,Conf!$E:$F,2,0),VLOOKUP($S607,Conf!$K:$M,3,0))))</f>
        <v>OPERADOR CAIXA</v>
      </c>
      <c r="D607" s="72" t="str">
        <f ca="1">IFERROR(IF(TODAY()-K607&gt;365,"Inativo",IF(J607=2,"Férias",IF(J607=7,"Demitido","Afastamento"))),VLOOKUP(J607,Conf!$H:$I,2,0))</f>
        <v>Ativos</v>
      </c>
      <c r="E607" s="187">
        <v>7</v>
      </c>
      <c r="F607" s="187">
        <v>1358</v>
      </c>
      <c r="G607" t="s">
        <v>829</v>
      </c>
      <c r="H607" s="71"/>
      <c r="I607" t="s">
        <v>220</v>
      </c>
      <c r="J607" s="187">
        <v>1</v>
      </c>
      <c r="K607" t="s">
        <v>1385</v>
      </c>
      <c r="L607" s="185"/>
      <c r="M607" s="188">
        <v>45125</v>
      </c>
      <c r="N607" s="71"/>
      <c r="O607" s="71"/>
      <c r="P607" s="71"/>
      <c r="Q607" s="71"/>
      <c r="R607" s="71"/>
      <c r="S607" t="s">
        <v>281</v>
      </c>
      <c r="T607" s="71"/>
    </row>
    <row r="608" spans="1:20" x14ac:dyDescent="0.3">
      <c r="A608" s="72">
        <f>IFERROR(VLOOKUP($G608,Conf!$B:$C,2,0),E608)</f>
        <v>7</v>
      </c>
      <c r="B608" s="72" t="str">
        <f ca="1">IF(D608="Inativo","Inativo",IFERROR(VLOOKUP($G608,Conf!$O:$Q,2,0),VLOOKUP($S608,Conf!$K:$M,2,0)))</f>
        <v>FRENTE DE CAIXA</v>
      </c>
      <c r="C608" s="72" t="str">
        <f ca="1">IF(D608="Inativo","Inativo",IFERROR(VLOOKUP($G608,Conf!$O:$Q,3,0),IFERROR(VLOOKUP($G608,Conf!$E:$F,2,0),VLOOKUP($S608,Conf!$K:$M,3,0))))</f>
        <v>OPERADOR CAIXA</v>
      </c>
      <c r="D608" s="72" t="str">
        <f ca="1">IFERROR(IF(TODAY()-K608&gt;365,"Inativo",IF(J608=2,"Férias",IF(J608=7,"Demitido","Afastamento"))),VLOOKUP(J608,Conf!$H:$I,2,0))</f>
        <v>Ativos</v>
      </c>
      <c r="E608" s="187">
        <v>7</v>
      </c>
      <c r="F608" s="187">
        <v>1580</v>
      </c>
      <c r="G608" t="s">
        <v>830</v>
      </c>
      <c r="H608" s="71"/>
      <c r="I608" t="s">
        <v>220</v>
      </c>
      <c r="J608" s="187">
        <v>1</v>
      </c>
      <c r="K608" t="s">
        <v>1385</v>
      </c>
      <c r="L608" s="185"/>
      <c r="M608" s="188">
        <v>45644</v>
      </c>
      <c r="N608" s="71"/>
      <c r="Q608" s="71"/>
      <c r="R608" s="71"/>
      <c r="S608" t="s">
        <v>281</v>
      </c>
      <c r="T608" s="71"/>
    </row>
    <row r="609" spans="1:20" x14ac:dyDescent="0.3">
      <c r="A609" s="72">
        <f>IFERROR(VLOOKUP($G609,Conf!$B:$C,2,0),E609)</f>
        <v>7</v>
      </c>
      <c r="B609" s="72" t="str">
        <f ca="1">IF(D609="Inativo","Inativo",IFERROR(VLOOKUP($G609,Conf!$O:$Q,2,0),VLOOKUP($S609,Conf!$K:$M,2,0)))</f>
        <v>FRENTE DE CAIXA</v>
      </c>
      <c r="C609" s="72" t="str">
        <f ca="1">IF(D609="Inativo","Inativo",IFERROR(VLOOKUP($G609,Conf!$O:$Q,3,0),IFERROR(VLOOKUP($G609,Conf!$E:$F,2,0),VLOOKUP($S609,Conf!$K:$M,3,0))))</f>
        <v>OPERADOR CAIXA</v>
      </c>
      <c r="D609" s="72" t="str">
        <f ca="1">IFERROR(IF(TODAY()-K609&gt;365,"Inativo",IF(J609=2,"Férias",IF(J609=7,"Demitido","Afastamento"))),VLOOKUP(J609,Conf!$H:$I,2,0))</f>
        <v>Ativos</v>
      </c>
      <c r="E609" s="187">
        <v>7</v>
      </c>
      <c r="F609" s="187">
        <v>1582</v>
      </c>
      <c r="G609" t="s">
        <v>831</v>
      </c>
      <c r="H609" s="71"/>
      <c r="I609" t="s">
        <v>220</v>
      </c>
      <c r="J609" s="187">
        <v>1</v>
      </c>
      <c r="K609" t="s">
        <v>1385</v>
      </c>
      <c r="L609" s="185"/>
      <c r="M609" s="188">
        <v>45666</v>
      </c>
      <c r="N609" s="71"/>
      <c r="O609" s="71"/>
      <c r="P609" s="71"/>
      <c r="Q609" s="71"/>
      <c r="R609" s="71"/>
      <c r="S609" t="s">
        <v>281</v>
      </c>
      <c r="T609" s="71"/>
    </row>
    <row r="610" spans="1:20" x14ac:dyDescent="0.3">
      <c r="A610" s="72">
        <f>IFERROR(VLOOKUP($G610,Conf!$B:$C,2,0),E610)</f>
        <v>7</v>
      </c>
      <c r="B610" s="72" t="str">
        <f ca="1">IF(D610="Inativo","Inativo",IFERROR(VLOOKUP($G610,Conf!$O:$Q,2,0),VLOOKUP($S610,Conf!$K:$M,2,0)))</f>
        <v>FRENTE DE CAIXA</v>
      </c>
      <c r="C610" s="72" t="str">
        <f ca="1">IF(D610="Inativo","Inativo",IFERROR(VLOOKUP($G610,Conf!$O:$Q,3,0),IFERROR(VLOOKUP($G610,Conf!$E:$F,2,0),VLOOKUP($S610,Conf!$K:$M,3,0))))</f>
        <v>OPERADOR CAIXA</v>
      </c>
      <c r="D610" s="72" t="str">
        <f ca="1">IFERROR(IF(TODAY()-K610&gt;365,"Inativo",IF(J610=2,"Férias",IF(J610=7,"Demitido","Afastamento"))),VLOOKUP(J610,Conf!$H:$I,2,0))</f>
        <v>Ativos</v>
      </c>
      <c r="E610" s="187">
        <v>7</v>
      </c>
      <c r="F610" s="187">
        <v>1602</v>
      </c>
      <c r="G610" t="s">
        <v>832</v>
      </c>
      <c r="H610" s="71"/>
      <c r="I610" t="s">
        <v>220</v>
      </c>
      <c r="J610" s="187">
        <v>1</v>
      </c>
      <c r="K610" t="s">
        <v>1385</v>
      </c>
      <c r="L610" s="185"/>
      <c r="M610" s="188">
        <v>45709</v>
      </c>
      <c r="N610" s="71"/>
      <c r="O610" s="71"/>
      <c r="P610" s="71"/>
      <c r="Q610" s="71"/>
      <c r="R610" s="71"/>
      <c r="S610" t="s">
        <v>281</v>
      </c>
      <c r="T610" s="71"/>
    </row>
    <row r="611" spans="1:20" x14ac:dyDescent="0.3">
      <c r="A611" s="72">
        <f>IFERROR(VLOOKUP($G611,Conf!$B:$C,2,0),E611)</f>
        <v>7</v>
      </c>
      <c r="B611" s="72" t="str">
        <f ca="1">IF(D611="Inativo","Inativo",IFERROR(VLOOKUP($G611,Conf!$O:$Q,2,0),VLOOKUP($S611,Conf!$K:$M,2,0)))</f>
        <v>FRENTE DE CAIXA</v>
      </c>
      <c r="C611" s="72" t="str">
        <f ca="1">IF(D611="Inativo","Inativo",IFERROR(VLOOKUP($G611,Conf!$O:$Q,3,0),IFERROR(VLOOKUP($G611,Conf!$E:$F,2,0),VLOOKUP($S611,Conf!$K:$M,3,0))))</f>
        <v>OPERADOR CAIXA</v>
      </c>
      <c r="D611" s="72" t="str">
        <f ca="1">IFERROR(IF(TODAY()-K611&gt;365,"Inativo",IF(J611=2,"Férias",IF(J611=7,"Demitido","Afastamento"))),VLOOKUP(J611,Conf!$H:$I,2,0))</f>
        <v>Ativos</v>
      </c>
      <c r="E611" s="187">
        <v>7</v>
      </c>
      <c r="F611" s="187">
        <v>1749</v>
      </c>
      <c r="G611" t="s">
        <v>833</v>
      </c>
      <c r="H611" s="71"/>
      <c r="I611" t="s">
        <v>220</v>
      </c>
      <c r="J611" s="187">
        <v>1</v>
      </c>
      <c r="K611" t="s">
        <v>1385</v>
      </c>
      <c r="L611" s="185"/>
      <c r="M611" s="188">
        <v>46167</v>
      </c>
      <c r="N611" s="71"/>
      <c r="Q611" s="71"/>
      <c r="R611" s="71"/>
      <c r="S611" t="s">
        <v>281</v>
      </c>
      <c r="T611" s="71"/>
    </row>
    <row r="612" spans="1:20" x14ac:dyDescent="0.3">
      <c r="A612" s="72">
        <f>IFERROR(VLOOKUP($G612,Conf!$B:$C,2,0),E612)</f>
        <v>7</v>
      </c>
      <c r="B612" s="72" t="str">
        <f ca="1">IF(D612="Inativo","Inativo",IFERROR(VLOOKUP($G612,Conf!$O:$Q,2,0),VLOOKUP($S612,Conf!$K:$M,2,0)))</f>
        <v>FRENTE DE CAIXA</v>
      </c>
      <c r="C612" s="72" t="str">
        <f ca="1">IF(D612="Inativo","Inativo",IFERROR(VLOOKUP($G612,Conf!$O:$Q,3,0),IFERROR(VLOOKUP($G612,Conf!$E:$F,2,0),VLOOKUP($S612,Conf!$K:$M,3,0))))</f>
        <v>OPERADOR CAIXA</v>
      </c>
      <c r="D612" s="72" t="str">
        <f ca="1">IFERROR(IF(TODAY()-K612&gt;365,"Inativo",IF(J612=2,"Férias",IF(J612=7,"Demitido","Afastamento"))),VLOOKUP(J612,Conf!$H:$I,2,0))</f>
        <v>Ativos</v>
      </c>
      <c r="E612" s="187">
        <v>7</v>
      </c>
      <c r="F612" s="187">
        <v>1330</v>
      </c>
      <c r="G612" t="s">
        <v>834</v>
      </c>
      <c r="H612" s="71"/>
      <c r="I612" t="s">
        <v>357</v>
      </c>
      <c r="J612" s="187">
        <v>1</v>
      </c>
      <c r="K612" t="s">
        <v>1385</v>
      </c>
      <c r="L612" s="185"/>
      <c r="M612" s="188">
        <v>45048</v>
      </c>
      <c r="N612" s="71"/>
      <c r="O612" s="71"/>
      <c r="P612" s="71"/>
      <c r="Q612" s="71"/>
      <c r="R612" s="71"/>
      <c r="S612" t="s">
        <v>281</v>
      </c>
      <c r="T612" s="71"/>
    </row>
    <row r="613" spans="1:20" x14ac:dyDescent="0.3">
      <c r="A613" s="72">
        <f>IFERROR(VLOOKUP($G613,Conf!$B:$C,2,0),E613)</f>
        <v>7</v>
      </c>
      <c r="B613" s="72" t="str">
        <f ca="1">IF(D613="Inativo","Inativo",IFERROR(VLOOKUP($G613,Conf!$O:$Q,2,0),VLOOKUP($S613,Conf!$K:$M,2,0)))</f>
        <v>FRIOS</v>
      </c>
      <c r="C613" s="72" t="str">
        <f ca="1">IF(D613="Inativo","Inativo",IFERROR(VLOOKUP($G613,Conf!$O:$Q,3,0),IFERROR(VLOOKUP($G613,Conf!$E:$F,2,0),VLOOKUP($S613,Conf!$K:$M,3,0))))</f>
        <v>ENCARREGADO</v>
      </c>
      <c r="D613" s="72" t="str">
        <f ca="1">IFERROR(IF(TODAY()-K613&gt;365,"Inativo",IF(J613=2,"Férias",IF(J613=7,"Demitido","Afastamento"))),VLOOKUP(J613,Conf!$H:$I,2,0))</f>
        <v>Afastamento</v>
      </c>
      <c r="E613" s="187">
        <v>7</v>
      </c>
      <c r="F613" s="187">
        <v>305</v>
      </c>
      <c r="G613" t="s">
        <v>835</v>
      </c>
      <c r="H613" s="71"/>
      <c r="I613" t="s">
        <v>350</v>
      </c>
      <c r="J613" s="187">
        <v>3</v>
      </c>
      <c r="K613" t="s">
        <v>1575</v>
      </c>
      <c r="L613" s="185"/>
      <c r="M613" s="188">
        <v>45911</v>
      </c>
      <c r="N613" s="71"/>
      <c r="Q613" s="71"/>
      <c r="R613" s="71"/>
      <c r="S613" t="s">
        <v>836</v>
      </c>
      <c r="T613" s="71"/>
    </row>
    <row r="614" spans="1:20" x14ac:dyDescent="0.3">
      <c r="A614" s="72">
        <f>IFERROR(VLOOKUP($G614,Conf!$B:$C,2,0),E614)</f>
        <v>7</v>
      </c>
      <c r="B614" s="72" t="str">
        <f ca="1">IF(D614="Inativo","Inativo",IFERROR(VLOOKUP($G614,Conf!$O:$Q,2,0),VLOOKUP($S614,Conf!$K:$M,2,0)))</f>
        <v>FRIOS</v>
      </c>
      <c r="C614" s="72" t="str">
        <f ca="1">IF(D614="Inativo","Inativo",IFERROR(VLOOKUP($G614,Conf!$O:$Q,3,0),IFERROR(VLOOKUP($G614,Conf!$E:$F,2,0),VLOOKUP($S614,Conf!$K:$M,3,0))))</f>
        <v>REPOSITOR</v>
      </c>
      <c r="D614" s="72" t="str">
        <f ca="1">IFERROR(IF(TODAY()-K614&gt;365,"Inativo",IF(J614=2,"Férias",IF(J614=7,"Demitido","Afastamento"))),VLOOKUP(J614,Conf!$H:$I,2,0))</f>
        <v>Demitido</v>
      </c>
      <c r="E614" s="187">
        <v>7</v>
      </c>
      <c r="F614" s="187">
        <v>249</v>
      </c>
      <c r="G614" t="s">
        <v>881</v>
      </c>
      <c r="H614" s="71"/>
      <c r="I614" t="s">
        <v>390</v>
      </c>
      <c r="J614" s="187">
        <v>7</v>
      </c>
      <c r="K614" t="s">
        <v>1590</v>
      </c>
      <c r="L614" s="185"/>
      <c r="M614" s="188">
        <v>45632</v>
      </c>
      <c r="N614" s="71"/>
      <c r="Q614" s="71"/>
      <c r="R614" s="71"/>
      <c r="S614" t="s">
        <v>838</v>
      </c>
      <c r="T614" s="71"/>
    </row>
    <row r="615" spans="1:20" x14ac:dyDescent="0.3">
      <c r="A615" s="72">
        <f>IFERROR(VLOOKUP($G615,Conf!$B:$C,2,0),E615)</f>
        <v>7</v>
      </c>
      <c r="B615" s="72" t="str">
        <f ca="1">IF(D615="Inativo","Inativo",IFERROR(VLOOKUP($G615,Conf!$O:$Q,2,0),VLOOKUP($S615,Conf!$K:$M,2,0)))</f>
        <v>FRIOS</v>
      </c>
      <c r="C615" s="72" t="str">
        <f ca="1">IF(D615="Inativo","Inativo",IFERROR(VLOOKUP($G615,Conf!$O:$Q,3,0),IFERROR(VLOOKUP($G615,Conf!$E:$F,2,0),VLOOKUP($S615,Conf!$K:$M,3,0))))</f>
        <v>REPOSITOR</v>
      </c>
      <c r="D615" s="72" t="str">
        <f ca="1">IFERROR(IF(TODAY()-K615&gt;365,"Inativo",IF(J615=2,"Férias",IF(J615=7,"Demitido","Afastamento"))),VLOOKUP(J615,Conf!$H:$I,2,0))</f>
        <v>Demitido</v>
      </c>
      <c r="E615" s="187">
        <v>7</v>
      </c>
      <c r="F615" s="187">
        <v>299</v>
      </c>
      <c r="G615" t="s">
        <v>837</v>
      </c>
      <c r="H615" s="71"/>
      <c r="I615" t="s">
        <v>390</v>
      </c>
      <c r="J615" s="187">
        <v>7</v>
      </c>
      <c r="K615" t="s">
        <v>1638</v>
      </c>
      <c r="L615" s="185"/>
      <c r="M615" s="188">
        <v>45887</v>
      </c>
      <c r="N615" s="71"/>
      <c r="O615" s="71"/>
      <c r="P615" s="71"/>
      <c r="Q615" s="71"/>
      <c r="R615" s="71"/>
      <c r="S615" t="s">
        <v>838</v>
      </c>
      <c r="T615" s="71"/>
    </row>
    <row r="616" spans="1:20" x14ac:dyDescent="0.3">
      <c r="A616" s="72">
        <f>IFERROR(VLOOKUP($G616,Conf!$B:$C,2,0),E616)</f>
        <v>7</v>
      </c>
      <c r="B616" s="72" t="str">
        <f ca="1">IF(D616="Inativo","Inativo",IFERROR(VLOOKUP($G616,Conf!$O:$Q,2,0),VLOOKUP($S616,Conf!$K:$M,2,0)))</f>
        <v>FRIOS</v>
      </c>
      <c r="C616" s="72" t="str">
        <f ca="1">IF(D616="Inativo","Inativo",IFERROR(VLOOKUP($G616,Conf!$O:$Q,3,0),IFERROR(VLOOKUP($G616,Conf!$E:$F,2,0),VLOOKUP($S616,Conf!$K:$M,3,0))))</f>
        <v>REPOSITOR</v>
      </c>
      <c r="D616" s="72" t="str">
        <f ca="1">IFERROR(IF(TODAY()-K616&gt;365,"Inativo",IF(J616=2,"Férias",IF(J616=7,"Demitido","Afastamento"))),VLOOKUP(J616,Conf!$H:$I,2,0))</f>
        <v>Afastamento</v>
      </c>
      <c r="E616" s="187">
        <v>7</v>
      </c>
      <c r="F616" s="187">
        <v>161</v>
      </c>
      <c r="G616" t="s">
        <v>839</v>
      </c>
      <c r="H616" s="71"/>
      <c r="I616" t="s">
        <v>222</v>
      </c>
      <c r="J616" s="187">
        <v>3</v>
      </c>
      <c r="K616" t="s">
        <v>1589</v>
      </c>
      <c r="L616" s="185"/>
      <c r="M616" s="188">
        <v>45110</v>
      </c>
      <c r="N616" s="71"/>
      <c r="O616" s="71"/>
      <c r="P616" s="71"/>
      <c r="Q616" s="71"/>
      <c r="R616" s="71"/>
      <c r="S616" t="s">
        <v>838</v>
      </c>
      <c r="T616" s="71"/>
    </row>
    <row r="617" spans="1:20" x14ac:dyDescent="0.3">
      <c r="A617" s="72">
        <f>IFERROR(VLOOKUP($G617,Conf!$B:$C,2,0),E617)</f>
        <v>7</v>
      </c>
      <c r="B617" s="72" t="str">
        <f ca="1">IF(D617="Inativo","Inativo",IFERROR(VLOOKUP($G617,Conf!$O:$Q,2,0),VLOOKUP($S617,Conf!$K:$M,2,0)))</f>
        <v>GERÊNCIA</v>
      </c>
      <c r="C617" s="72" t="str">
        <f ca="1">IF(D617="Inativo","Inativo",IFERROR(VLOOKUP($G617,Conf!$O:$Q,3,0),IFERROR(VLOOKUP($G617,Conf!$E:$F,2,0),VLOOKUP($S617,Conf!$K:$M,3,0))))</f>
        <v>GERENTE</v>
      </c>
      <c r="D617" s="72" t="str">
        <f ca="1">IFERROR(IF(TODAY()-K617&gt;365,"Inativo",IF(J617=2,"Férias",IF(J617=7,"Demitido","Afastamento"))),VLOOKUP(J617,Conf!$H:$I,2,0))</f>
        <v>Ativos</v>
      </c>
      <c r="E617" s="187">
        <v>7</v>
      </c>
      <c r="F617" s="187">
        <v>26</v>
      </c>
      <c r="G617" t="s">
        <v>864</v>
      </c>
      <c r="H617" s="71"/>
      <c r="I617" t="s">
        <v>296</v>
      </c>
      <c r="J617" s="187">
        <v>1</v>
      </c>
      <c r="K617" t="s">
        <v>1385</v>
      </c>
      <c r="L617" s="185"/>
      <c r="M617" s="188">
        <v>44002</v>
      </c>
      <c r="N617" s="71"/>
      <c r="Q617" s="71"/>
      <c r="R617" s="71"/>
      <c r="S617" t="s">
        <v>865</v>
      </c>
      <c r="T617" s="71"/>
    </row>
    <row r="618" spans="1:20" x14ac:dyDescent="0.3">
      <c r="A618" s="72">
        <f>IFERROR(VLOOKUP($G618,Conf!$B:$C,2,0),E618)</f>
        <v>7</v>
      </c>
      <c r="B618" s="72" t="str">
        <f ca="1">IF(D618="Inativo","Inativo",IFERROR(VLOOKUP($G618,Conf!$O:$Q,2,0),VLOOKUP($S618,Conf!$K:$M,2,0)))</f>
        <v>GERÊNCIA</v>
      </c>
      <c r="C618" s="72" t="str">
        <f ca="1">IF(D618="Inativo","Inativo",IFERROR(VLOOKUP($G618,Conf!$O:$Q,3,0),IFERROR(VLOOKUP($G618,Conf!$E:$F,2,0),VLOOKUP($S618,Conf!$K:$M,3,0))))</f>
        <v>SUBGERENTE</v>
      </c>
      <c r="D618" s="72" t="str">
        <f ca="1">IFERROR(IF(TODAY()-K618&gt;365,"Inativo",IF(J618=2,"Férias",IF(J618=7,"Demitido","Afastamento"))),VLOOKUP(J618,Conf!$H:$I,2,0))</f>
        <v>Ativos</v>
      </c>
      <c r="E618" s="187">
        <v>1</v>
      </c>
      <c r="F618" s="187">
        <v>148</v>
      </c>
      <c r="G618" t="s">
        <v>874</v>
      </c>
      <c r="H618" s="71"/>
      <c r="I618" t="s">
        <v>350</v>
      </c>
      <c r="J618" s="187">
        <v>1</v>
      </c>
      <c r="K618" t="s">
        <v>1385</v>
      </c>
      <c r="L618" s="185"/>
      <c r="M618" s="188">
        <v>45590</v>
      </c>
      <c r="N618" s="71"/>
      <c r="O618" s="71"/>
      <c r="P618" s="71"/>
      <c r="Q618" s="71"/>
      <c r="R618" s="71"/>
      <c r="S618" t="s">
        <v>368</v>
      </c>
      <c r="T618" s="71"/>
    </row>
    <row r="619" spans="1:20" x14ac:dyDescent="0.3">
      <c r="A619" s="72">
        <f>IFERROR(VLOOKUP($G619,Conf!$B:$C,2,0),E619)</f>
        <v>7</v>
      </c>
      <c r="B619" s="72" t="str">
        <f ca="1">IF(D619="Inativo","Inativo",IFERROR(VLOOKUP($G619,Conf!$O:$Q,2,0),VLOOKUP($S619,Conf!$K:$M,2,0)))</f>
        <v>HORTIFRUTI</v>
      </c>
      <c r="C619" s="72" t="str">
        <f ca="1">IF(D619="Inativo","Inativo",IFERROR(VLOOKUP($G619,Conf!$O:$Q,3,0),IFERROR(VLOOKUP($G619,Conf!$E:$F,2,0),VLOOKUP($S619,Conf!$K:$M,3,0))))</f>
        <v>ENCARREGADO</v>
      </c>
      <c r="D619" s="72" t="str">
        <f ca="1">IFERROR(IF(TODAY()-K619&gt;365,"Inativo",IF(J619=2,"Férias",IF(J619=7,"Demitido","Afastamento"))),VLOOKUP(J619,Conf!$H:$I,2,0))</f>
        <v>Ativos</v>
      </c>
      <c r="E619" s="187">
        <v>7</v>
      </c>
      <c r="F619" s="187">
        <v>1</v>
      </c>
      <c r="G619" t="s">
        <v>840</v>
      </c>
      <c r="H619" s="71"/>
      <c r="I619" t="s">
        <v>277</v>
      </c>
      <c r="J619" s="187">
        <v>1</v>
      </c>
      <c r="K619" t="s">
        <v>1385</v>
      </c>
      <c r="L619" s="185"/>
      <c r="M619" s="188">
        <v>43983</v>
      </c>
      <c r="N619" s="71"/>
      <c r="Q619" s="71"/>
      <c r="R619" s="71"/>
      <c r="S619" t="s">
        <v>841</v>
      </c>
      <c r="T619" s="71"/>
    </row>
    <row r="620" spans="1:20" x14ac:dyDescent="0.3">
      <c r="A620" s="72">
        <f>IFERROR(VLOOKUP($G620,Conf!$B:$C,2,0),E620)</f>
        <v>7</v>
      </c>
      <c r="B620" s="72" t="str">
        <f ca="1">IF(D620="Inativo","Inativo",IFERROR(VLOOKUP($G620,Conf!$O:$Q,2,0),VLOOKUP($S620,Conf!$K:$M,2,0)))</f>
        <v>HORTIFRUTI</v>
      </c>
      <c r="C620" s="72" t="str">
        <f ca="1">IF(D620="Inativo","Inativo",IFERROR(VLOOKUP($G620,Conf!$O:$Q,3,0),IFERROR(VLOOKUP($G620,Conf!$E:$F,2,0),VLOOKUP($S620,Conf!$K:$M,3,0))))</f>
        <v>REPOSITOR</v>
      </c>
      <c r="D620" s="72" t="str">
        <f ca="1">IFERROR(IF(TODAY()-K620&gt;365,"Inativo",IF(J620=2,"Férias",IF(J620=7,"Demitido","Afastamento"))),VLOOKUP(J620,Conf!$H:$I,2,0))</f>
        <v>Ativos</v>
      </c>
      <c r="E620" s="187">
        <v>7</v>
      </c>
      <c r="F620" s="187">
        <v>363</v>
      </c>
      <c r="G620" t="s">
        <v>1535</v>
      </c>
      <c r="H620" s="71"/>
      <c r="I620" t="s">
        <v>220</v>
      </c>
      <c r="J620" s="187">
        <v>1</v>
      </c>
      <c r="K620" t="s">
        <v>1385</v>
      </c>
      <c r="L620" s="185"/>
      <c r="M620" s="188">
        <v>46268</v>
      </c>
      <c r="N620" s="71"/>
      <c r="Q620" s="71"/>
      <c r="R620" s="71"/>
      <c r="S620" t="s">
        <v>843</v>
      </c>
      <c r="T620" s="71"/>
    </row>
    <row r="621" spans="1:20" x14ac:dyDescent="0.3">
      <c r="A621" s="72">
        <f>IFERROR(VLOOKUP($G621,Conf!$B:$C,2,0),E621)</f>
        <v>7</v>
      </c>
      <c r="B621" s="72" t="str">
        <f ca="1">IF(D621="Inativo","Inativo",IFERROR(VLOOKUP($G621,Conf!$O:$Q,2,0),VLOOKUP($S621,Conf!$K:$M,2,0)))</f>
        <v>HORTIFRUTI</v>
      </c>
      <c r="C621" s="72" t="str">
        <f ca="1">IF(D621="Inativo","Inativo",IFERROR(VLOOKUP($G621,Conf!$O:$Q,3,0),IFERROR(VLOOKUP($G621,Conf!$E:$F,2,0),VLOOKUP($S621,Conf!$K:$M,3,0))))</f>
        <v>REPOSITOR</v>
      </c>
      <c r="D621" s="72" t="str">
        <f ca="1">IFERROR(IF(TODAY()-K621&gt;365,"Inativo",IF(J621=2,"Férias",IF(J621=7,"Demitido","Afastamento"))),VLOOKUP(J621,Conf!$H:$I,2,0))</f>
        <v>Ativos</v>
      </c>
      <c r="E621" s="187">
        <v>7</v>
      </c>
      <c r="F621" s="187">
        <v>269</v>
      </c>
      <c r="G621" t="s">
        <v>844</v>
      </c>
      <c r="H621" s="71"/>
      <c r="I621" t="s">
        <v>225</v>
      </c>
      <c r="J621" s="187">
        <v>1</v>
      </c>
      <c r="K621" t="s">
        <v>1385</v>
      </c>
      <c r="L621" s="185"/>
      <c r="M621" s="188">
        <v>45731</v>
      </c>
      <c r="N621" s="71"/>
      <c r="Q621" s="71"/>
      <c r="R621" s="71"/>
      <c r="S621" t="s">
        <v>843</v>
      </c>
      <c r="T621" s="71"/>
    </row>
    <row r="622" spans="1:20" x14ac:dyDescent="0.3">
      <c r="A622" s="72">
        <f>IFERROR(VLOOKUP($G622,Conf!$B:$C,2,0),E622)</f>
        <v>7</v>
      </c>
      <c r="B622" s="72" t="str">
        <f ca="1">IF(D622="Inativo","Inativo",IFERROR(VLOOKUP($G622,Conf!$O:$Q,2,0),VLOOKUP($S622,Conf!$K:$M,2,0)))</f>
        <v>HORTIFRUTI</v>
      </c>
      <c r="C622" s="72" t="str">
        <f ca="1">IF(D622="Inativo","Inativo",IFERROR(VLOOKUP($G622,Conf!$O:$Q,3,0),IFERROR(VLOOKUP($G622,Conf!$E:$F,2,0),VLOOKUP($S622,Conf!$K:$M,3,0))))</f>
        <v>REPOSITOR</v>
      </c>
      <c r="D622" s="72" t="str">
        <f ca="1">IFERROR(IF(TODAY()-K622&gt;365,"Inativo",IF(J622=2,"Férias",IF(J622=7,"Demitido","Afastamento"))),VLOOKUP(J622,Conf!$H:$I,2,0))</f>
        <v>Ativos</v>
      </c>
      <c r="E622" s="187">
        <v>7</v>
      </c>
      <c r="F622" s="187">
        <v>323</v>
      </c>
      <c r="G622" t="s">
        <v>845</v>
      </c>
      <c r="H622" s="71"/>
      <c r="I622" t="s">
        <v>319</v>
      </c>
      <c r="J622" s="187">
        <v>1</v>
      </c>
      <c r="K622" t="s">
        <v>1385</v>
      </c>
      <c r="L622" s="185"/>
      <c r="M622" s="188">
        <v>46055</v>
      </c>
      <c r="N622" s="71"/>
      <c r="O622" s="71"/>
      <c r="P622" s="71"/>
      <c r="Q622" s="71"/>
      <c r="R622" s="71"/>
      <c r="S622" t="s">
        <v>843</v>
      </c>
      <c r="T622" s="71"/>
    </row>
    <row r="623" spans="1:20" x14ac:dyDescent="0.3">
      <c r="A623" s="72">
        <f>IFERROR(VLOOKUP($G623,Conf!$B:$C,2,0),E623)</f>
        <v>7</v>
      </c>
      <c r="B623" s="72" t="str">
        <f ca="1">IF(D623="Inativo","Inativo",IFERROR(VLOOKUP($G623,Conf!$O:$Q,2,0),VLOOKUP($S623,Conf!$K:$M,2,0)))</f>
        <v>HORTIFRUTI</v>
      </c>
      <c r="C623" s="72" t="str">
        <f ca="1">IF(D623="Inativo","Inativo",IFERROR(VLOOKUP($G623,Conf!$O:$Q,3,0),IFERROR(VLOOKUP($G623,Conf!$E:$F,2,0),VLOOKUP($S623,Conf!$K:$M,3,0))))</f>
        <v>REPOSITOR</v>
      </c>
      <c r="D623" s="72" t="str">
        <f ca="1">IFERROR(IF(TODAY()-K623&gt;365,"Inativo",IF(J623=2,"Férias",IF(J623=7,"Demitido","Afastamento"))),VLOOKUP(J623,Conf!$H:$I,2,0))</f>
        <v>Ativos</v>
      </c>
      <c r="E623" s="187">
        <v>7</v>
      </c>
      <c r="F623" s="187">
        <v>368</v>
      </c>
      <c r="G623" t="s">
        <v>1571</v>
      </c>
      <c r="H623" s="71"/>
      <c r="I623" t="s">
        <v>220</v>
      </c>
      <c r="J623" s="187">
        <v>1</v>
      </c>
      <c r="K623" t="s">
        <v>1385</v>
      </c>
      <c r="L623" s="185"/>
      <c r="M623" s="188">
        <v>46282</v>
      </c>
      <c r="N623" s="71"/>
      <c r="O623" s="71"/>
      <c r="P623" s="71"/>
      <c r="Q623" s="71"/>
      <c r="R623" s="71"/>
      <c r="S623" t="s">
        <v>843</v>
      </c>
      <c r="T623" s="71"/>
    </row>
    <row r="624" spans="1:20" x14ac:dyDescent="0.3">
      <c r="A624" s="72">
        <f>IFERROR(VLOOKUP($G624,Conf!$B:$C,2,0),E624)</f>
        <v>7</v>
      </c>
      <c r="B624" s="72" t="str">
        <f ca="1">IF(D624="Inativo","Inativo",IFERROR(VLOOKUP($G624,Conf!$O:$Q,2,0),VLOOKUP($S624,Conf!$K:$M,2,0)))</f>
        <v>Inativo</v>
      </c>
      <c r="C624" s="72" t="str">
        <f ca="1">IF(D624="Inativo","Inativo",IFERROR(VLOOKUP($G624,Conf!$O:$Q,3,0),IFERROR(VLOOKUP($G624,Conf!$E:$F,2,0),VLOOKUP($S624,Conf!$K:$M,3,0))))</f>
        <v>Inativo</v>
      </c>
      <c r="D624" s="72" t="str">
        <f ca="1">IFERROR(IF(TODAY()-K624&gt;365,"Inativo",IF(J624=2,"Férias",IF(J624=7,"Demitido","Afastamento"))),VLOOKUP(J624,Conf!$H:$I,2,0))</f>
        <v>Inativo</v>
      </c>
      <c r="E624" s="187">
        <v>7</v>
      </c>
      <c r="F624" s="187">
        <v>129</v>
      </c>
      <c r="G624" t="s">
        <v>846</v>
      </c>
      <c r="H624" s="71"/>
      <c r="I624" t="s">
        <v>220</v>
      </c>
      <c r="J624" s="187">
        <v>3</v>
      </c>
      <c r="K624" t="s">
        <v>847</v>
      </c>
      <c r="L624" s="185"/>
      <c r="M624" s="188">
        <v>44874</v>
      </c>
      <c r="N624" s="71"/>
      <c r="O624" s="71"/>
      <c r="P624" s="71"/>
      <c r="Q624" s="71"/>
      <c r="R624" s="71"/>
      <c r="S624" t="s">
        <v>848</v>
      </c>
      <c r="T624" s="71"/>
    </row>
    <row r="625" spans="1:20" x14ac:dyDescent="0.3">
      <c r="A625" s="72">
        <f>IFERROR(VLOOKUP($G625,Conf!$B:$C,2,0),E625)</f>
        <v>7</v>
      </c>
      <c r="B625" s="72" t="str">
        <f ca="1">IF(D625="Inativo","Inativo",IFERROR(VLOOKUP($G625,Conf!$O:$Q,2,0),VLOOKUP($S625,Conf!$K:$M,2,0)))</f>
        <v>Inativo</v>
      </c>
      <c r="C625" s="72" t="str">
        <f ca="1">IF(D625="Inativo","Inativo",IFERROR(VLOOKUP($G625,Conf!$O:$Q,3,0),IFERROR(VLOOKUP($G625,Conf!$E:$F,2,0),VLOOKUP($S625,Conf!$K:$M,3,0))))</f>
        <v>Inativo</v>
      </c>
      <c r="D625" s="72" t="str">
        <f ca="1">IFERROR(IF(TODAY()-K625&gt;365,"Inativo",IF(J625=2,"Férias",IF(J625=7,"Demitido","Afastamento"))),VLOOKUP(J625,Conf!$H:$I,2,0))</f>
        <v>Inativo</v>
      </c>
      <c r="E625" s="187">
        <v>7</v>
      </c>
      <c r="F625" s="187">
        <v>1618</v>
      </c>
      <c r="G625" t="s">
        <v>799</v>
      </c>
      <c r="H625" s="71"/>
      <c r="I625" t="s">
        <v>785</v>
      </c>
      <c r="J625" s="187">
        <v>3</v>
      </c>
      <c r="K625" t="s">
        <v>800</v>
      </c>
      <c r="L625" s="185"/>
      <c r="M625" s="188">
        <v>45757</v>
      </c>
      <c r="N625" s="71"/>
      <c r="O625" s="71"/>
      <c r="P625" s="71"/>
      <c r="Q625" s="71"/>
      <c r="R625" s="71"/>
      <c r="S625" t="s">
        <v>404</v>
      </c>
      <c r="T625" s="71"/>
    </row>
    <row r="626" spans="1:20" x14ac:dyDescent="0.3">
      <c r="A626" s="72">
        <f>IFERROR(VLOOKUP($G626,Conf!$B:$C,2,0),E626)</f>
        <v>7</v>
      </c>
      <c r="B626" s="72" t="str">
        <f ca="1">IF(D626="Inativo","Inativo",IFERROR(VLOOKUP($G626,Conf!$O:$Q,2,0),VLOOKUP($S626,Conf!$K:$M,2,0)))</f>
        <v>Inativo</v>
      </c>
      <c r="C626" s="72" t="str">
        <f ca="1">IF(D626="Inativo","Inativo",IFERROR(VLOOKUP($G626,Conf!$O:$Q,3,0),IFERROR(VLOOKUP($G626,Conf!$E:$F,2,0),VLOOKUP($S626,Conf!$K:$M,3,0))))</f>
        <v>Inativo</v>
      </c>
      <c r="D626" s="72" t="str">
        <f ca="1">IFERROR(IF(TODAY()-K626&gt;365,"Inativo",IF(J626=2,"Férias",IF(J626=7,"Demitido","Afastamento"))),VLOOKUP(J626,Conf!$H:$I,2,0))</f>
        <v>Inativo</v>
      </c>
      <c r="E626" s="187">
        <v>7</v>
      </c>
      <c r="F626" s="187">
        <v>86</v>
      </c>
      <c r="G626" t="s">
        <v>849</v>
      </c>
      <c r="H626" s="71"/>
      <c r="I626" t="s">
        <v>258</v>
      </c>
      <c r="J626" s="187">
        <v>3</v>
      </c>
      <c r="K626" t="s">
        <v>850</v>
      </c>
      <c r="L626" s="185"/>
      <c r="M626" s="188">
        <v>44470</v>
      </c>
      <c r="N626" s="71"/>
      <c r="O626" s="71"/>
      <c r="P626" s="71"/>
      <c r="Q626" s="71"/>
      <c r="R626" s="71"/>
      <c r="S626" t="s">
        <v>788</v>
      </c>
      <c r="T626" s="71"/>
    </row>
    <row r="627" spans="1:20" x14ac:dyDescent="0.3">
      <c r="A627" s="72">
        <f>IFERROR(VLOOKUP($G627,Conf!$B:$C,2,0),E627)</f>
        <v>7</v>
      </c>
      <c r="B627" s="72" t="str">
        <f ca="1">IF(D627="Inativo","Inativo",IFERROR(VLOOKUP($G627,Conf!$O:$Q,2,0),VLOOKUP($S627,Conf!$K:$M,2,0)))</f>
        <v>Inativo</v>
      </c>
      <c r="C627" s="72" t="str">
        <f ca="1">IF(D627="Inativo","Inativo",IFERROR(VLOOKUP($G627,Conf!$O:$Q,3,0),IFERROR(VLOOKUP($G627,Conf!$E:$F,2,0),VLOOKUP($S627,Conf!$K:$M,3,0))))</f>
        <v>Inativo</v>
      </c>
      <c r="D627" s="72" t="str">
        <f ca="1">IFERROR(IF(TODAY()-K627&gt;365,"Inativo",IF(J627=2,"Férias",IF(J627=7,"Demitido","Afastamento"))),VLOOKUP(J627,Conf!$H:$I,2,0))</f>
        <v>Inativo</v>
      </c>
      <c r="E627" s="187">
        <v>7</v>
      </c>
      <c r="F627" s="187">
        <v>168</v>
      </c>
      <c r="G627" t="s">
        <v>851</v>
      </c>
      <c r="H627" s="71"/>
      <c r="I627" t="s">
        <v>380</v>
      </c>
      <c r="J627" s="187">
        <v>3</v>
      </c>
      <c r="K627" t="s">
        <v>852</v>
      </c>
      <c r="L627" s="185"/>
      <c r="M627" s="188">
        <v>45174</v>
      </c>
      <c r="N627" s="71"/>
      <c r="O627" s="71"/>
      <c r="P627" s="71"/>
      <c r="Q627" s="71"/>
      <c r="R627" s="71"/>
      <c r="S627" t="s">
        <v>853</v>
      </c>
      <c r="T627" s="71"/>
    </row>
    <row r="628" spans="1:20" x14ac:dyDescent="0.3">
      <c r="A628" s="72">
        <f>IFERROR(VLOOKUP($G628,Conf!$B:$C,2,0),E628)</f>
        <v>7</v>
      </c>
      <c r="B628" s="72" t="str">
        <f ca="1">IF(D628="Inativo","Inativo",IFERROR(VLOOKUP($G628,Conf!$O:$Q,2,0),VLOOKUP($S628,Conf!$K:$M,2,0)))</f>
        <v>LOJA</v>
      </c>
      <c r="C628" s="72" t="str">
        <f ca="1">IF(D628="Inativo","Inativo",IFERROR(VLOOKUP($G628,Conf!$O:$Q,3,0),IFERROR(VLOOKUP($G628,Conf!$E:$F,2,0),VLOOKUP($S628,Conf!$K:$M,3,0))))</f>
        <v>CARTAZISTA</v>
      </c>
      <c r="D628" s="72" t="str">
        <f ca="1">IFERROR(IF(TODAY()-K628&gt;365,"Inativo",IF(J628=2,"Férias",IF(J628=7,"Demitido","Afastamento"))),VLOOKUP(J628,Conf!$H:$I,2,0))</f>
        <v>Ativos</v>
      </c>
      <c r="E628" s="187">
        <v>7</v>
      </c>
      <c r="F628" s="187">
        <v>319</v>
      </c>
      <c r="G628" t="s">
        <v>861</v>
      </c>
      <c r="H628" s="71"/>
      <c r="I628" t="s">
        <v>396</v>
      </c>
      <c r="J628" s="187">
        <v>1</v>
      </c>
      <c r="K628" t="s">
        <v>1385</v>
      </c>
      <c r="L628" s="185"/>
      <c r="M628" s="188">
        <v>46002</v>
      </c>
      <c r="N628" s="71"/>
      <c r="Q628" s="71"/>
      <c r="R628" s="71"/>
      <c r="S628" t="s">
        <v>733</v>
      </c>
      <c r="T628" s="71"/>
    </row>
    <row r="629" spans="1:20" x14ac:dyDescent="0.3">
      <c r="A629" s="72">
        <f>IFERROR(VLOOKUP($G629,Conf!$B:$C,2,0),E629)</f>
        <v>7</v>
      </c>
      <c r="B629" s="72" t="str">
        <f ca="1">IF(D629="Inativo","Inativo",IFERROR(VLOOKUP($G629,Conf!$O:$Q,2,0),VLOOKUP($S629,Conf!$K:$M,2,0)))</f>
        <v>LOJA</v>
      </c>
      <c r="C629" s="72" t="str">
        <f ca="1">IF(D629="Inativo","Inativo",IFERROR(VLOOKUP($G629,Conf!$O:$Q,3,0),IFERROR(VLOOKUP($G629,Conf!$E:$F,2,0),VLOOKUP($S629,Conf!$K:$M,3,0))))</f>
        <v>REPOSITOR</v>
      </c>
      <c r="D629" s="72" t="str">
        <f ca="1">IFERROR(IF(TODAY()-K629&gt;365,"Inativo",IF(J629=2,"Férias",IF(J629=7,"Demitido","Afastamento"))),VLOOKUP(J629,Conf!$H:$I,2,0))</f>
        <v>Ativos</v>
      </c>
      <c r="E629" s="187">
        <v>7</v>
      </c>
      <c r="F629" s="187">
        <v>311</v>
      </c>
      <c r="G629" t="s">
        <v>842</v>
      </c>
      <c r="H629" s="71"/>
      <c r="I629" t="s">
        <v>220</v>
      </c>
      <c r="J629" s="187">
        <v>1</v>
      </c>
      <c r="K629" t="s">
        <v>1385</v>
      </c>
      <c r="L629" s="185"/>
      <c r="M629" s="188">
        <v>45953</v>
      </c>
      <c r="N629" s="71"/>
      <c r="Q629" s="71"/>
      <c r="R629" s="71"/>
      <c r="S629" t="s">
        <v>873</v>
      </c>
      <c r="T629" s="71"/>
    </row>
    <row r="630" spans="1:20" x14ac:dyDescent="0.3">
      <c r="A630" s="72">
        <f>IFERROR(VLOOKUP($G630,Conf!$B:$C,2,0),E630)</f>
        <v>7</v>
      </c>
      <c r="B630" s="72" t="str">
        <f ca="1">IF(D630="Inativo","Inativo",IFERROR(VLOOKUP($G630,Conf!$O:$Q,2,0),VLOOKUP($S630,Conf!$K:$M,2,0)))</f>
        <v>LOJA</v>
      </c>
      <c r="C630" s="72" t="str">
        <f ca="1">IF(D630="Inativo","Inativo",IFERROR(VLOOKUP($G630,Conf!$O:$Q,3,0),IFERROR(VLOOKUP($G630,Conf!$E:$F,2,0),VLOOKUP($S630,Conf!$K:$M,3,0))))</f>
        <v>REPOSITOR</v>
      </c>
      <c r="D630" s="72" t="str">
        <f ca="1">IFERROR(IF(TODAY()-K630&gt;365,"Inativo",IF(J630=2,"Férias",IF(J630=7,"Demitido","Afastamento"))),VLOOKUP(J630,Conf!$H:$I,2,0))</f>
        <v>Ativos</v>
      </c>
      <c r="E630" s="187">
        <v>7</v>
      </c>
      <c r="F630" s="187">
        <v>333</v>
      </c>
      <c r="G630" t="s">
        <v>867</v>
      </c>
      <c r="H630" s="71"/>
      <c r="I630" t="s">
        <v>220</v>
      </c>
      <c r="J630" s="187">
        <v>1</v>
      </c>
      <c r="K630" t="s">
        <v>1385</v>
      </c>
      <c r="L630" s="185"/>
      <c r="M630" s="188">
        <v>46114</v>
      </c>
      <c r="N630" s="71"/>
      <c r="Q630" s="71"/>
      <c r="R630" s="71"/>
      <c r="S630" t="s">
        <v>866</v>
      </c>
      <c r="T630" s="71"/>
    </row>
    <row r="631" spans="1:20" x14ac:dyDescent="0.3">
      <c r="A631" s="72">
        <f>IFERROR(VLOOKUP($G631,Conf!$B:$C,2,0),E631)</f>
        <v>7</v>
      </c>
      <c r="B631" s="72" t="str">
        <f ca="1">IF(D631="Inativo","Inativo",IFERROR(VLOOKUP($G631,Conf!$O:$Q,2,0),VLOOKUP($S631,Conf!$K:$M,2,0)))</f>
        <v>LOJA</v>
      </c>
      <c r="C631" s="72" t="str">
        <f ca="1">IF(D631="Inativo","Inativo",IFERROR(VLOOKUP($G631,Conf!$O:$Q,3,0),IFERROR(VLOOKUP($G631,Conf!$E:$F,2,0),VLOOKUP($S631,Conf!$K:$M,3,0))))</f>
        <v>REPOSITOR</v>
      </c>
      <c r="D631" s="72" t="str">
        <f ca="1">IFERROR(IF(TODAY()-K631&gt;365,"Inativo",IF(J631=2,"Férias",IF(J631=7,"Demitido","Afastamento"))),VLOOKUP(J631,Conf!$H:$I,2,0))</f>
        <v>Ativos</v>
      </c>
      <c r="E631" s="187">
        <v>7</v>
      </c>
      <c r="F631" s="187">
        <v>366</v>
      </c>
      <c r="G631" t="s">
        <v>1561</v>
      </c>
      <c r="H631" s="71"/>
      <c r="I631" t="s">
        <v>220</v>
      </c>
      <c r="J631" s="187">
        <v>1</v>
      </c>
      <c r="K631" t="s">
        <v>1385</v>
      </c>
      <c r="L631" s="185"/>
      <c r="M631" s="188">
        <v>46279</v>
      </c>
      <c r="N631" s="71"/>
      <c r="Q631" s="71"/>
      <c r="R631" s="71"/>
      <c r="S631" t="s">
        <v>866</v>
      </c>
      <c r="T631" s="71"/>
    </row>
    <row r="632" spans="1:20" x14ac:dyDescent="0.3">
      <c r="A632" s="72">
        <f>IFERROR(VLOOKUP($G632,Conf!$B:$C,2,0),E632)</f>
        <v>7</v>
      </c>
      <c r="B632" s="72" t="str">
        <f ca="1">IF(D632="Inativo","Inativo",IFERROR(VLOOKUP($G632,Conf!$O:$Q,2,0),VLOOKUP($S632,Conf!$K:$M,2,0)))</f>
        <v>LOJA</v>
      </c>
      <c r="C632" s="72" t="str">
        <f ca="1">IF(D632="Inativo","Inativo",IFERROR(VLOOKUP($G632,Conf!$O:$Q,3,0),IFERROR(VLOOKUP($G632,Conf!$E:$F,2,0),VLOOKUP($S632,Conf!$K:$M,3,0))))</f>
        <v>REPOSITOR</v>
      </c>
      <c r="D632" s="72" t="str">
        <f ca="1">IFERROR(IF(TODAY()-K632&gt;365,"Inativo",IF(J632=2,"Férias",IF(J632=7,"Demitido","Afastamento"))),VLOOKUP(J632,Conf!$H:$I,2,0))</f>
        <v>Ativos</v>
      </c>
      <c r="E632" s="187">
        <v>7</v>
      </c>
      <c r="F632" s="187">
        <v>361</v>
      </c>
      <c r="G632" t="s">
        <v>1520</v>
      </c>
      <c r="H632" s="71"/>
      <c r="I632" t="s">
        <v>220</v>
      </c>
      <c r="J632" s="187">
        <v>1</v>
      </c>
      <c r="K632" t="s">
        <v>1385</v>
      </c>
      <c r="L632" s="185"/>
      <c r="M632" s="188">
        <v>46266</v>
      </c>
      <c r="N632" s="71"/>
      <c r="Q632" s="71"/>
      <c r="R632" s="71"/>
      <c r="S632" t="s">
        <v>866</v>
      </c>
      <c r="T632" s="71"/>
    </row>
    <row r="633" spans="1:20" x14ac:dyDescent="0.3">
      <c r="A633" s="72">
        <f>IFERROR(VLOOKUP($G633,Conf!$B:$C,2,0),E633)</f>
        <v>7</v>
      </c>
      <c r="B633" s="72" t="str">
        <f ca="1">IF(D633="Inativo","Inativo",IFERROR(VLOOKUP($G633,Conf!$O:$Q,2,0),VLOOKUP($S633,Conf!$K:$M,2,0)))</f>
        <v>LOJA</v>
      </c>
      <c r="C633" s="72" t="str">
        <f ca="1">IF(D633="Inativo","Inativo",IFERROR(VLOOKUP($G633,Conf!$O:$Q,3,0),IFERROR(VLOOKUP($G633,Conf!$E:$F,2,0),VLOOKUP($S633,Conf!$K:$M,3,0))))</f>
        <v>REPOSITOR</v>
      </c>
      <c r="D633" s="72" t="str">
        <f ca="1">IFERROR(IF(TODAY()-K633&gt;365,"Inativo",IF(J633=2,"Férias",IF(J633=7,"Demitido","Afastamento"))),VLOOKUP(J633,Conf!$H:$I,2,0))</f>
        <v>Ativos</v>
      </c>
      <c r="E633" s="187">
        <v>7</v>
      </c>
      <c r="F633" s="187">
        <v>352</v>
      </c>
      <c r="G633" t="s">
        <v>1363</v>
      </c>
      <c r="H633" s="71"/>
      <c r="I633" t="s">
        <v>220</v>
      </c>
      <c r="J633" s="187">
        <v>1</v>
      </c>
      <c r="K633" t="s">
        <v>1385</v>
      </c>
      <c r="L633" s="185"/>
      <c r="M633" s="188">
        <v>46204</v>
      </c>
      <c r="N633" s="71"/>
      <c r="Q633" s="71"/>
      <c r="R633" s="71"/>
      <c r="S633" t="s">
        <v>866</v>
      </c>
      <c r="T633" s="71"/>
    </row>
    <row r="634" spans="1:20" x14ac:dyDescent="0.3">
      <c r="A634" s="72">
        <f>IFERROR(VLOOKUP($G634,Conf!$B:$C,2,0),E634)</f>
        <v>7</v>
      </c>
      <c r="B634" s="72" t="str">
        <f ca="1">IF(D634="Inativo","Inativo",IFERROR(VLOOKUP($G634,Conf!$O:$Q,2,0),VLOOKUP($S634,Conf!$K:$M,2,0)))</f>
        <v>LOJA</v>
      </c>
      <c r="C634" s="72" t="str">
        <f ca="1">IF(D634="Inativo","Inativo",IFERROR(VLOOKUP($G634,Conf!$O:$Q,3,0),IFERROR(VLOOKUP($G634,Conf!$E:$F,2,0),VLOOKUP($S634,Conf!$K:$M,3,0))))</f>
        <v>REPOSITOR</v>
      </c>
      <c r="D634" s="72" t="str">
        <f ca="1">IFERROR(IF(TODAY()-K634&gt;365,"Inativo",IF(J634=2,"Férias",IF(J634=7,"Demitido","Afastamento"))),VLOOKUP(J634,Conf!$H:$I,2,0))</f>
        <v>Ativos</v>
      </c>
      <c r="E634" s="187">
        <v>7</v>
      </c>
      <c r="F634" s="187">
        <v>321</v>
      </c>
      <c r="G634" t="s">
        <v>870</v>
      </c>
      <c r="H634" s="71"/>
      <c r="I634" t="s">
        <v>220</v>
      </c>
      <c r="J634" s="187">
        <v>1</v>
      </c>
      <c r="K634" t="s">
        <v>1385</v>
      </c>
      <c r="L634" s="185"/>
      <c r="M634" s="188">
        <v>46043</v>
      </c>
      <c r="N634" s="71"/>
      <c r="Q634" s="71"/>
      <c r="R634" s="71"/>
      <c r="S634" t="s">
        <v>866</v>
      </c>
      <c r="T634" s="71"/>
    </row>
    <row r="635" spans="1:20" x14ac:dyDescent="0.3">
      <c r="A635" s="72">
        <f>IFERROR(VLOOKUP($G635,Conf!$B:$C,2,0),E635)</f>
        <v>7</v>
      </c>
      <c r="B635" s="72" t="str">
        <f ca="1">IF(D635="Inativo","Inativo",IFERROR(VLOOKUP($G635,Conf!$O:$Q,2,0),VLOOKUP($S635,Conf!$K:$M,2,0)))</f>
        <v>LOJA</v>
      </c>
      <c r="C635" s="72" t="str">
        <f ca="1">IF(D635="Inativo","Inativo",IFERROR(VLOOKUP($G635,Conf!$O:$Q,3,0),IFERROR(VLOOKUP($G635,Conf!$E:$F,2,0),VLOOKUP($S635,Conf!$K:$M,3,0))))</f>
        <v>REPOSITOR</v>
      </c>
      <c r="D635" s="72" t="str">
        <f ca="1">IFERROR(IF(TODAY()-K635&gt;365,"Inativo",IF(J635=2,"Férias",IF(J635=7,"Demitido","Afastamento"))),VLOOKUP(J635,Conf!$H:$I,2,0))</f>
        <v>Ativos</v>
      </c>
      <c r="E635" s="187">
        <v>7</v>
      </c>
      <c r="F635" s="187">
        <v>362</v>
      </c>
      <c r="G635" t="s">
        <v>1521</v>
      </c>
      <c r="H635" s="71"/>
      <c r="I635" t="s">
        <v>220</v>
      </c>
      <c r="J635" s="187">
        <v>1</v>
      </c>
      <c r="K635" t="s">
        <v>1385</v>
      </c>
      <c r="L635" s="185"/>
      <c r="M635" s="188">
        <v>46266</v>
      </c>
      <c r="N635" s="71"/>
      <c r="O635" s="71"/>
      <c r="P635" s="71"/>
      <c r="Q635" s="71"/>
      <c r="R635" s="71"/>
      <c r="S635" t="s">
        <v>866</v>
      </c>
      <c r="T635" s="71"/>
    </row>
    <row r="636" spans="1:20" x14ac:dyDescent="0.3">
      <c r="A636" s="72">
        <f>IFERROR(VLOOKUP($G636,Conf!$B:$C,2,0),E636)</f>
        <v>7</v>
      </c>
      <c r="B636" s="72" t="str">
        <f ca="1">IF(D636="Inativo","Inativo",IFERROR(VLOOKUP($G636,Conf!$O:$Q,2,0),VLOOKUP($S636,Conf!$K:$M,2,0)))</f>
        <v>LOJA</v>
      </c>
      <c r="C636" s="72" t="str">
        <f ca="1">IF(D636="Inativo","Inativo",IFERROR(VLOOKUP($G636,Conf!$O:$Q,3,0),IFERROR(VLOOKUP($G636,Conf!$E:$F,2,0),VLOOKUP($S636,Conf!$K:$M,3,0))))</f>
        <v>REPOSITOR</v>
      </c>
      <c r="D636" s="72" t="str">
        <f ca="1">IFERROR(IF(TODAY()-K636&gt;365,"Inativo",IF(J636=2,"Férias",IF(J636=7,"Demitido","Afastamento"))),VLOOKUP(J636,Conf!$H:$I,2,0))</f>
        <v>Ativos</v>
      </c>
      <c r="E636" s="187">
        <v>7</v>
      </c>
      <c r="F636" s="187">
        <v>354</v>
      </c>
      <c r="G636" t="s">
        <v>1432</v>
      </c>
      <c r="H636" s="71"/>
      <c r="I636" t="s">
        <v>220</v>
      </c>
      <c r="J636" s="187">
        <v>1</v>
      </c>
      <c r="K636" t="s">
        <v>1385</v>
      </c>
      <c r="L636" s="185"/>
      <c r="M636" s="188">
        <v>46223</v>
      </c>
      <c r="N636" s="71"/>
      <c r="Q636" s="71"/>
      <c r="R636" s="71"/>
      <c r="S636" t="s">
        <v>866</v>
      </c>
      <c r="T636" s="71"/>
    </row>
    <row r="637" spans="1:20" x14ac:dyDescent="0.3">
      <c r="A637" s="72">
        <f>IFERROR(VLOOKUP($G637,Conf!$B:$C,2,0),E637)</f>
        <v>7</v>
      </c>
      <c r="B637" s="72" t="str">
        <f ca="1">IF(D637="Inativo","Inativo",IFERROR(VLOOKUP($G637,Conf!$O:$Q,2,0),VLOOKUP($S637,Conf!$K:$M,2,0)))</f>
        <v>LOJA</v>
      </c>
      <c r="C637" s="72" t="str">
        <f ca="1">IF(D637="Inativo","Inativo",IFERROR(VLOOKUP($G637,Conf!$O:$Q,3,0),IFERROR(VLOOKUP($G637,Conf!$E:$F,2,0),VLOOKUP($S637,Conf!$K:$M,3,0))))</f>
        <v>REPOSITOR</v>
      </c>
      <c r="D637" s="72" t="str">
        <f ca="1">IFERROR(IF(TODAY()-K637&gt;365,"Inativo",IF(J637=2,"Férias",IF(J637=7,"Demitido","Afastamento"))),VLOOKUP(J637,Conf!$H:$I,2,0))</f>
        <v>Ativos</v>
      </c>
      <c r="E637" s="187">
        <v>7</v>
      </c>
      <c r="F637" s="187">
        <v>228</v>
      </c>
      <c r="G637" t="s">
        <v>871</v>
      </c>
      <c r="H637" s="71"/>
      <c r="I637" t="s">
        <v>225</v>
      </c>
      <c r="J637" s="187">
        <v>1</v>
      </c>
      <c r="K637" t="s">
        <v>1385</v>
      </c>
      <c r="L637" s="185"/>
      <c r="M637" s="188">
        <v>45553</v>
      </c>
      <c r="N637" s="71"/>
      <c r="Q637" s="71"/>
      <c r="R637" s="71"/>
      <c r="S637" t="s">
        <v>866</v>
      </c>
      <c r="T637" s="71"/>
    </row>
    <row r="638" spans="1:20" x14ac:dyDescent="0.3">
      <c r="A638" s="72">
        <f>IFERROR(VLOOKUP($G638,Conf!$B:$C,2,0),E638)</f>
        <v>7</v>
      </c>
      <c r="B638" s="72" t="str">
        <f ca="1">IF(D638="Inativo","Inativo",IFERROR(VLOOKUP($G638,Conf!$O:$Q,2,0),VLOOKUP($S638,Conf!$K:$M,2,0)))</f>
        <v>LOJA</v>
      </c>
      <c r="C638" s="72" t="str">
        <f ca="1">IF(D638="Inativo","Inativo",IFERROR(VLOOKUP($G638,Conf!$O:$Q,3,0),IFERROR(VLOOKUP($G638,Conf!$E:$F,2,0),VLOOKUP($S638,Conf!$K:$M,3,0))))</f>
        <v>REPOSITOR</v>
      </c>
      <c r="D638" s="72" t="str">
        <f ca="1">IFERROR(IF(TODAY()-K638&gt;365,"Inativo",IF(J638=2,"Férias",IF(J638=7,"Demitido","Afastamento"))),VLOOKUP(J638,Conf!$H:$I,2,0))</f>
        <v>Ativos</v>
      </c>
      <c r="E638" s="187">
        <v>7</v>
      </c>
      <c r="F638" s="187">
        <v>30</v>
      </c>
      <c r="G638" t="s">
        <v>872</v>
      </c>
      <c r="H638" s="71"/>
      <c r="I638" t="s">
        <v>265</v>
      </c>
      <c r="J638" s="187">
        <v>1</v>
      </c>
      <c r="K638" t="s">
        <v>1385</v>
      </c>
      <c r="L638" s="185"/>
      <c r="M638" s="188">
        <v>44013</v>
      </c>
      <c r="N638" s="71"/>
      <c r="Q638" s="71"/>
      <c r="R638" s="71"/>
      <c r="S638" t="s">
        <v>866</v>
      </c>
      <c r="T638" s="71"/>
    </row>
    <row r="639" spans="1:20" x14ac:dyDescent="0.3">
      <c r="A639" s="72">
        <f>IFERROR(VLOOKUP($G639,Conf!$B:$C,2,0),E639)</f>
        <v>7</v>
      </c>
      <c r="B639" s="72" t="str">
        <f ca="1">IF(D639="Inativo","Inativo",IFERROR(VLOOKUP($G639,Conf!$O:$Q,2,0),VLOOKUP($S639,Conf!$K:$M,2,0)))</f>
        <v>LOJA</v>
      </c>
      <c r="C639" s="72" t="str">
        <f ca="1">IF(D639="Inativo","Inativo",IFERROR(VLOOKUP($G639,Conf!$O:$Q,3,0),IFERROR(VLOOKUP($G639,Conf!$E:$F,2,0),VLOOKUP($S639,Conf!$K:$M,3,0))))</f>
        <v>REPOSITOR</v>
      </c>
      <c r="D639" s="72" t="str">
        <f ca="1">IFERROR(IF(TODAY()-K639&gt;365,"Inativo",IF(J639=2,"Férias",IF(J639=7,"Demitido","Afastamento"))),VLOOKUP(J639,Conf!$H:$I,2,0))</f>
        <v>Ativos</v>
      </c>
      <c r="E639" s="187">
        <v>7</v>
      </c>
      <c r="F639" s="187">
        <v>359</v>
      </c>
      <c r="G639" t="s">
        <v>1489</v>
      </c>
      <c r="H639" s="71"/>
      <c r="I639" t="s">
        <v>220</v>
      </c>
      <c r="J639" s="187">
        <v>1</v>
      </c>
      <c r="K639" t="s">
        <v>1385</v>
      </c>
      <c r="L639" s="185"/>
      <c r="M639" s="188">
        <v>46254</v>
      </c>
      <c r="N639" s="71"/>
      <c r="Q639" s="71"/>
      <c r="R639" s="71"/>
      <c r="S639" t="s">
        <v>866</v>
      </c>
      <c r="T639" s="71"/>
    </row>
    <row r="640" spans="1:20" x14ac:dyDescent="0.3">
      <c r="A640" s="72">
        <f>IFERROR(VLOOKUP($G640,Conf!$B:$C,2,0),E640)</f>
        <v>7</v>
      </c>
      <c r="B640" s="72" t="str">
        <f ca="1">IF(D640="Inativo","Inativo",IFERROR(VLOOKUP($G640,Conf!$O:$Q,2,0),VLOOKUP($S640,Conf!$K:$M,2,0)))</f>
        <v>PADARIA</v>
      </c>
      <c r="C640" s="72" t="str">
        <f ca="1">IF(D640="Inativo","Inativo",IFERROR(VLOOKUP($G640,Conf!$O:$Q,3,0),IFERROR(VLOOKUP($G640,Conf!$E:$F,2,0),VLOOKUP($S640,Conf!$K:$M,3,0))))</f>
        <v>ATENDENTE</v>
      </c>
      <c r="D640" s="72" t="str">
        <f ca="1">IFERROR(IF(TODAY()-K640&gt;365,"Inativo",IF(J640=2,"Férias",IF(J640=7,"Demitido","Afastamento"))),VLOOKUP(J640,Conf!$H:$I,2,0))</f>
        <v>Ativos</v>
      </c>
      <c r="E640" s="187">
        <v>7</v>
      </c>
      <c r="F640" s="187">
        <v>324</v>
      </c>
      <c r="G640" t="s">
        <v>875</v>
      </c>
      <c r="H640" s="71"/>
      <c r="I640" t="s">
        <v>220</v>
      </c>
      <c r="J640" s="187">
        <v>1</v>
      </c>
      <c r="K640" t="s">
        <v>1385</v>
      </c>
      <c r="L640" s="185"/>
      <c r="M640" s="188">
        <v>46055</v>
      </c>
      <c r="N640" s="71"/>
      <c r="O640" s="71"/>
      <c r="P640" s="71"/>
      <c r="Q640" s="71"/>
      <c r="R640" s="71"/>
      <c r="S640" t="s">
        <v>848</v>
      </c>
      <c r="T640" s="71"/>
    </row>
    <row r="641" spans="1:20" x14ac:dyDescent="0.3">
      <c r="A641" s="72">
        <f>IFERROR(VLOOKUP($G641,Conf!$B:$C,2,0),E641)</f>
        <v>7</v>
      </c>
      <c r="B641" s="72" t="str">
        <f ca="1">IF(D641="Inativo","Inativo",IFERROR(VLOOKUP($G641,Conf!$O:$Q,2,0),VLOOKUP($S641,Conf!$K:$M,2,0)))</f>
        <v>PADARIA</v>
      </c>
      <c r="C641" s="72" t="str">
        <f ca="1">IF(D641="Inativo","Inativo",IFERROR(VLOOKUP($G641,Conf!$O:$Q,3,0),IFERROR(VLOOKUP($G641,Conf!$E:$F,2,0),VLOOKUP($S641,Conf!$K:$M,3,0))))</f>
        <v>ATENDENTE</v>
      </c>
      <c r="D641" s="72" t="str">
        <f ca="1">IFERROR(IF(TODAY()-K641&gt;365,"Inativo",IF(J641=2,"Férias",IF(J641=7,"Demitido","Afastamento"))),VLOOKUP(J641,Conf!$H:$I,2,0))</f>
        <v>Ativos</v>
      </c>
      <c r="E641" s="187">
        <v>7</v>
      </c>
      <c r="F641" s="187">
        <v>332</v>
      </c>
      <c r="G641" t="s">
        <v>878</v>
      </c>
      <c r="H641" s="71"/>
      <c r="I641" t="s">
        <v>220</v>
      </c>
      <c r="J641" s="187">
        <v>1</v>
      </c>
      <c r="K641" t="s">
        <v>1385</v>
      </c>
      <c r="L641" s="185"/>
      <c r="M641" s="188">
        <v>46114</v>
      </c>
      <c r="N641" s="71"/>
      <c r="O641" s="71"/>
      <c r="P641" s="71"/>
      <c r="Q641" s="71"/>
      <c r="R641" s="71"/>
      <c r="S641" t="s">
        <v>848</v>
      </c>
      <c r="T641" s="71"/>
    </row>
    <row r="642" spans="1:20" x14ac:dyDescent="0.3">
      <c r="A642" s="72">
        <f>IFERROR(VLOOKUP($G642,Conf!$B:$C,2,0),E642)</f>
        <v>7</v>
      </c>
      <c r="B642" s="72" t="str">
        <f ca="1">IF(D642="Inativo","Inativo",IFERROR(VLOOKUP($G642,Conf!$O:$Q,2,0),VLOOKUP($S642,Conf!$K:$M,2,0)))</f>
        <v>PADARIA</v>
      </c>
      <c r="C642" s="72" t="str">
        <f ca="1">IF(D642="Inativo","Inativo",IFERROR(VLOOKUP($G642,Conf!$O:$Q,3,0),IFERROR(VLOOKUP($G642,Conf!$E:$F,2,0),VLOOKUP($S642,Conf!$K:$M,3,0))))</f>
        <v>ATENDENTE</v>
      </c>
      <c r="D642" s="72" t="str">
        <f ca="1">IFERROR(IF(TODAY()-K642&gt;365,"Inativo",IF(J642=2,"Férias",IF(J642=7,"Demitido","Afastamento"))),VLOOKUP(J642,Conf!$H:$I,2,0))</f>
        <v>Férias</v>
      </c>
      <c r="E642" s="187">
        <v>7</v>
      </c>
      <c r="F642" s="187">
        <v>307</v>
      </c>
      <c r="G642" t="s">
        <v>880</v>
      </c>
      <c r="H642" s="71"/>
      <c r="I642" t="s">
        <v>390</v>
      </c>
      <c r="J642" s="187">
        <v>2</v>
      </c>
      <c r="K642" t="s">
        <v>1640</v>
      </c>
      <c r="L642" s="185"/>
      <c r="M642" s="188">
        <v>45925</v>
      </c>
      <c r="N642" s="71"/>
      <c r="O642" s="71"/>
      <c r="P642" s="71"/>
      <c r="Q642" s="71"/>
      <c r="R642" s="71"/>
      <c r="S642" t="s">
        <v>848</v>
      </c>
      <c r="T642" s="71"/>
    </row>
    <row r="643" spans="1:20" x14ac:dyDescent="0.3">
      <c r="A643" s="72">
        <f>IFERROR(VLOOKUP($G643,Conf!$B:$C,2,0),E643)</f>
        <v>7</v>
      </c>
      <c r="B643" s="72" t="str">
        <f ca="1">IF(D643="Inativo","Inativo",IFERROR(VLOOKUP($G643,Conf!$O:$Q,2,0),VLOOKUP($S643,Conf!$K:$M,2,0)))</f>
        <v>PADARIA</v>
      </c>
      <c r="C643" s="72" t="str">
        <f ca="1">IF(D643="Inativo","Inativo",IFERROR(VLOOKUP($G643,Conf!$O:$Q,3,0),IFERROR(VLOOKUP($G643,Conf!$E:$F,2,0),VLOOKUP($S643,Conf!$K:$M,3,0))))</f>
        <v>ATENDENTE</v>
      </c>
      <c r="D643" s="72" t="str">
        <f ca="1">IFERROR(IF(TODAY()-K643&gt;365,"Inativo",IF(J643=2,"Férias",IF(J643=7,"Demitido","Afastamento"))),VLOOKUP(J643,Conf!$H:$I,2,0))</f>
        <v>Ativos</v>
      </c>
      <c r="E643" s="187">
        <v>7</v>
      </c>
      <c r="F643" s="187">
        <v>348</v>
      </c>
      <c r="G643" t="s">
        <v>1306</v>
      </c>
      <c r="H643" s="71"/>
      <c r="I643" t="s">
        <v>220</v>
      </c>
      <c r="J643" s="187">
        <v>1</v>
      </c>
      <c r="K643" t="s">
        <v>1385</v>
      </c>
      <c r="L643" s="185"/>
      <c r="M643" s="188">
        <v>46175</v>
      </c>
      <c r="N643" s="71"/>
      <c r="Q643" s="71"/>
      <c r="R643" s="71"/>
      <c r="S643" t="s">
        <v>848</v>
      </c>
      <c r="T643" s="71"/>
    </row>
    <row r="644" spans="1:20" x14ac:dyDescent="0.3">
      <c r="A644" s="72">
        <f>IFERROR(VLOOKUP($G644,Conf!$B:$C,2,0),E644)</f>
        <v>7</v>
      </c>
      <c r="B644" s="72" t="str">
        <f ca="1">IF(D644="Inativo","Inativo",IFERROR(VLOOKUP($G644,Conf!$O:$Q,2,0),VLOOKUP($S644,Conf!$K:$M,2,0)))</f>
        <v>PADARIA</v>
      </c>
      <c r="C644" s="72" t="str">
        <f ca="1">IF(D644="Inativo","Inativo",IFERROR(VLOOKUP($G644,Conf!$O:$Q,3,0),IFERROR(VLOOKUP($G644,Conf!$E:$F,2,0),VLOOKUP($S644,Conf!$K:$M,3,0))))</f>
        <v>ATENDENTE</v>
      </c>
      <c r="D644" s="72" t="str">
        <f ca="1">IFERROR(IF(TODAY()-K644&gt;365,"Inativo",IF(J644=2,"Férias",IF(J644=7,"Demitido","Afastamento"))),VLOOKUP(J644,Conf!$H:$I,2,0))</f>
        <v>Demitido</v>
      </c>
      <c r="E644" s="187">
        <v>7</v>
      </c>
      <c r="F644" s="187">
        <v>245</v>
      </c>
      <c r="G644" t="s">
        <v>883</v>
      </c>
      <c r="H644" s="71"/>
      <c r="I644" t="s">
        <v>884</v>
      </c>
      <c r="J644" s="187">
        <v>7</v>
      </c>
      <c r="K644" t="s">
        <v>1630</v>
      </c>
      <c r="L644" s="185"/>
      <c r="M644" s="188">
        <v>45628</v>
      </c>
      <c r="N644" s="71"/>
      <c r="Q644" s="71"/>
      <c r="R644" s="71"/>
      <c r="S644" t="s">
        <v>848</v>
      </c>
      <c r="T644" s="71"/>
    </row>
    <row r="645" spans="1:20" x14ac:dyDescent="0.3">
      <c r="A645" s="72">
        <f>IFERROR(VLOOKUP($G645,Conf!$B:$C,2,0),E645)</f>
        <v>7</v>
      </c>
      <c r="B645" s="72" t="str">
        <f ca="1">IF(D645="Inativo","Inativo",IFERROR(VLOOKUP($G645,Conf!$O:$Q,2,0),VLOOKUP($S645,Conf!$K:$M,2,0)))</f>
        <v>PADARIA</v>
      </c>
      <c r="C645" s="72" t="str">
        <f ca="1">IF(D645="Inativo","Inativo",IFERROR(VLOOKUP($G645,Conf!$O:$Q,3,0),IFERROR(VLOOKUP($G645,Conf!$E:$F,2,0),VLOOKUP($S645,Conf!$K:$M,3,0))))</f>
        <v>ATENDENTE</v>
      </c>
      <c r="D645" s="72" t="str">
        <f ca="1">IFERROR(IF(TODAY()-K645&gt;365,"Inativo",IF(J645=2,"Férias",IF(J645=7,"Demitido","Afastamento"))),VLOOKUP(J645,Conf!$H:$I,2,0))</f>
        <v>Ativos</v>
      </c>
      <c r="E645" s="187">
        <v>7</v>
      </c>
      <c r="F645" s="187">
        <v>370</v>
      </c>
      <c r="G645" t="s">
        <v>1652</v>
      </c>
      <c r="H645" s="71"/>
      <c r="I645" t="s">
        <v>220</v>
      </c>
      <c r="J645" s="187">
        <v>1</v>
      </c>
      <c r="K645" t="s">
        <v>1385</v>
      </c>
      <c r="L645" s="185"/>
      <c r="M645" s="188">
        <v>46304</v>
      </c>
      <c r="N645" s="71"/>
      <c r="O645" s="71"/>
      <c r="P645" s="71"/>
      <c r="Q645" s="71"/>
      <c r="R645" s="71"/>
      <c r="S645" t="s">
        <v>848</v>
      </c>
      <c r="T645" s="71"/>
    </row>
    <row r="646" spans="1:20" x14ac:dyDescent="0.3">
      <c r="A646" s="72">
        <f>IFERROR(VLOOKUP($G646,Conf!$B:$C,2,0),E646)</f>
        <v>7</v>
      </c>
      <c r="B646" s="72" t="str">
        <f ca="1">IF(D646="Inativo","Inativo",IFERROR(VLOOKUP($G646,Conf!$O:$Q,2,0),VLOOKUP($S646,Conf!$K:$M,2,0)))</f>
        <v>PADARIA</v>
      </c>
      <c r="C646" s="72" t="str">
        <f ca="1">IF(D646="Inativo","Inativo",IFERROR(VLOOKUP($G646,Conf!$O:$Q,3,0),IFERROR(VLOOKUP($G646,Conf!$E:$F,2,0),VLOOKUP($S646,Conf!$K:$M,3,0))))</f>
        <v>ATENDENTE</v>
      </c>
      <c r="D646" s="72" t="str">
        <f ca="1">IFERROR(IF(TODAY()-K646&gt;365,"Inativo",IF(J646=2,"Férias",IF(J646=7,"Demitido","Afastamento"))),VLOOKUP(J646,Conf!$H:$I,2,0))</f>
        <v>Ativos</v>
      </c>
      <c r="E646" s="187">
        <v>7</v>
      </c>
      <c r="F646" s="187">
        <v>120</v>
      </c>
      <c r="G646" t="s">
        <v>885</v>
      </c>
      <c r="H646" s="71"/>
      <c r="I646" t="s">
        <v>265</v>
      </c>
      <c r="J646" s="187">
        <v>1</v>
      </c>
      <c r="K646" t="s">
        <v>1385</v>
      </c>
      <c r="L646" s="185"/>
      <c r="M646" s="188">
        <v>44806</v>
      </c>
      <c r="N646" s="71"/>
      <c r="Q646" s="71"/>
      <c r="R646" s="71"/>
      <c r="S646" t="s">
        <v>848</v>
      </c>
      <c r="T646" s="71"/>
    </row>
    <row r="647" spans="1:20" x14ac:dyDescent="0.3">
      <c r="A647" s="72">
        <f>IFERROR(VLOOKUP($G647,Conf!$B:$C,2,0),E647)</f>
        <v>7</v>
      </c>
      <c r="B647" s="72" t="str">
        <f ca="1">IF(D647="Inativo","Inativo",IFERROR(VLOOKUP($G647,Conf!$O:$Q,2,0),VLOOKUP($S647,Conf!$K:$M,2,0)))</f>
        <v>PADARIA</v>
      </c>
      <c r="C647" s="72" t="str">
        <f ca="1">IF(D647="Inativo","Inativo",IFERROR(VLOOKUP($G647,Conf!$O:$Q,3,0),IFERROR(VLOOKUP($G647,Conf!$E:$F,2,0),VLOOKUP($S647,Conf!$K:$M,3,0))))</f>
        <v>AUXILIAR</v>
      </c>
      <c r="D647" s="72" t="str">
        <f ca="1">IFERROR(IF(TODAY()-K647&gt;365,"Inativo",IF(J647=2,"Férias",IF(J647=7,"Demitido","Afastamento"))),VLOOKUP(J647,Conf!$H:$I,2,0))</f>
        <v>Ativos</v>
      </c>
      <c r="E647" s="187">
        <v>7</v>
      </c>
      <c r="F647" s="187">
        <v>292</v>
      </c>
      <c r="G647" t="s">
        <v>876</v>
      </c>
      <c r="H647" s="71"/>
      <c r="I647" t="s">
        <v>884</v>
      </c>
      <c r="J647" s="187">
        <v>1</v>
      </c>
      <c r="K647" t="s">
        <v>1385</v>
      </c>
      <c r="L647" s="185"/>
      <c r="M647" s="188">
        <v>45862</v>
      </c>
      <c r="N647" s="71"/>
      <c r="Q647" s="71"/>
      <c r="R647" s="71"/>
      <c r="S647" t="s">
        <v>877</v>
      </c>
      <c r="T647" s="71"/>
    </row>
    <row r="648" spans="1:20" x14ac:dyDescent="0.3">
      <c r="A648" s="72">
        <f>IFERROR(VLOOKUP($G648,Conf!$B:$C,2,0),E648)</f>
        <v>7</v>
      </c>
      <c r="B648" s="72" t="str">
        <f ca="1">IF(D648="Inativo","Inativo",IFERROR(VLOOKUP($G648,Conf!$O:$Q,2,0),VLOOKUP($S648,Conf!$K:$M,2,0)))</f>
        <v>PADARIA</v>
      </c>
      <c r="C648" s="72" t="str">
        <f ca="1">IF(D648="Inativo","Inativo",IFERROR(VLOOKUP($G648,Conf!$O:$Q,3,0),IFERROR(VLOOKUP($G648,Conf!$E:$F,2,0),VLOOKUP($S648,Conf!$K:$M,3,0))))</f>
        <v>AUXILIAR</v>
      </c>
      <c r="D648" s="72" t="str">
        <f ca="1">IFERROR(IF(TODAY()-K648&gt;365,"Inativo",IF(J648=2,"Férias",IF(J648=7,"Demitido","Afastamento"))),VLOOKUP(J648,Conf!$H:$I,2,0))</f>
        <v>Ativos</v>
      </c>
      <c r="E648" s="187">
        <v>7</v>
      </c>
      <c r="F648" s="187">
        <v>344</v>
      </c>
      <c r="G648" t="s">
        <v>879</v>
      </c>
      <c r="H648" s="71"/>
      <c r="I648" t="s">
        <v>390</v>
      </c>
      <c r="J648" s="187">
        <v>1</v>
      </c>
      <c r="K648" t="s">
        <v>1385</v>
      </c>
      <c r="L648" s="185"/>
      <c r="M648" s="188">
        <v>46161</v>
      </c>
      <c r="N648" s="71"/>
      <c r="Q648" s="71"/>
      <c r="R648" s="71"/>
      <c r="S648" t="s">
        <v>877</v>
      </c>
      <c r="T648" s="71"/>
    </row>
    <row r="649" spans="1:20" x14ac:dyDescent="0.3">
      <c r="A649" s="72">
        <f>IFERROR(VLOOKUP($G649,Conf!$B:$C,2,0),E649)</f>
        <v>7</v>
      </c>
      <c r="B649" s="72" t="str">
        <f ca="1">IF(D649="Inativo","Inativo",IFERROR(VLOOKUP($G649,Conf!$O:$Q,2,0),VLOOKUP($S649,Conf!$K:$M,2,0)))</f>
        <v>PADARIA</v>
      </c>
      <c r="C649" s="72" t="str">
        <f ca="1">IF(D649="Inativo","Inativo",IFERROR(VLOOKUP($G649,Conf!$O:$Q,3,0),IFERROR(VLOOKUP($G649,Conf!$E:$F,2,0),VLOOKUP($S649,Conf!$K:$M,3,0))))</f>
        <v>ENCARREGADO</v>
      </c>
      <c r="D649" s="72" t="str">
        <f ca="1">IFERROR(IF(TODAY()-K649&gt;365,"Inativo",IF(J649=2,"Férias",IF(J649=7,"Demitido","Afastamento"))),VLOOKUP(J649,Conf!$H:$I,2,0))</f>
        <v>Ativos</v>
      </c>
      <c r="E649" s="187">
        <v>7</v>
      </c>
      <c r="F649" s="187">
        <v>301</v>
      </c>
      <c r="G649" t="s">
        <v>886</v>
      </c>
      <c r="H649" s="71"/>
      <c r="I649" t="s">
        <v>350</v>
      </c>
      <c r="J649" s="187">
        <v>1</v>
      </c>
      <c r="K649" t="s">
        <v>1385</v>
      </c>
      <c r="L649" s="185"/>
      <c r="M649" s="188">
        <v>45902</v>
      </c>
      <c r="N649" s="71"/>
      <c r="Q649" s="71"/>
      <c r="R649" s="71"/>
      <c r="S649" t="s">
        <v>667</v>
      </c>
      <c r="T649" s="71"/>
    </row>
    <row r="650" spans="1:20" x14ac:dyDescent="0.3">
      <c r="A650" s="72">
        <f>IFERROR(VLOOKUP($G650,Conf!$B:$C,2,0),E650)</f>
        <v>7</v>
      </c>
      <c r="B650" s="72" t="str">
        <f ca="1">IF(D650="Inativo","Inativo",IFERROR(VLOOKUP($G650,Conf!$O:$Q,2,0),VLOOKUP($S650,Conf!$K:$M,2,0)))</f>
        <v>PADARIA</v>
      </c>
      <c r="C650" s="72" t="str">
        <f ca="1">IF(D650="Inativo","Inativo",IFERROR(VLOOKUP($G650,Conf!$O:$Q,3,0),IFERROR(VLOOKUP($G650,Conf!$E:$F,2,0),VLOOKUP($S650,Conf!$K:$M,3,0))))</f>
        <v>PADEIRO(A)</v>
      </c>
      <c r="D650" s="72" t="str">
        <f ca="1">IFERROR(IF(TODAY()-K650&gt;365,"Inativo",IF(J650=2,"Férias",IF(J650=7,"Demitido","Afastamento"))),VLOOKUP(J650,Conf!$H:$I,2,0))</f>
        <v>Ativos</v>
      </c>
      <c r="E650" s="187">
        <v>7</v>
      </c>
      <c r="F650" s="187">
        <v>327</v>
      </c>
      <c r="G650" t="s">
        <v>882</v>
      </c>
      <c r="H650" s="71"/>
      <c r="I650" t="s">
        <v>380</v>
      </c>
      <c r="J650" s="187">
        <v>1</v>
      </c>
      <c r="K650" t="s">
        <v>1385</v>
      </c>
      <c r="L650" s="185"/>
      <c r="M650" s="188">
        <v>46065</v>
      </c>
      <c r="N650" s="71"/>
      <c r="Q650" s="71"/>
      <c r="R650" s="71"/>
      <c r="S650" t="s">
        <v>887</v>
      </c>
      <c r="T650" s="71"/>
    </row>
    <row r="651" spans="1:20" x14ac:dyDescent="0.3">
      <c r="A651" s="72">
        <f>IFERROR(VLOOKUP($G651,Conf!$B:$C,2,0),E651)</f>
        <v>7</v>
      </c>
      <c r="B651" s="72" t="str">
        <f ca="1">IF(D651="Inativo","Inativo",IFERROR(VLOOKUP($G651,Conf!$O:$Q,2,0),VLOOKUP($S651,Conf!$K:$M,2,0)))</f>
        <v>ROTISSERIA</v>
      </c>
      <c r="C651" s="72" t="str">
        <f ca="1">IF(D651="Inativo","Inativo",IFERROR(VLOOKUP($G651,Conf!$O:$Q,3,0),IFERROR(VLOOKUP($G651,Conf!$E:$F,2,0),VLOOKUP($S651,Conf!$K:$M,3,0))))</f>
        <v>COZINHEIRO</v>
      </c>
      <c r="D651" s="72" t="str">
        <f ca="1">IFERROR(IF(TODAY()-K651&gt;365,"Inativo",IF(J651=2,"Férias",IF(J651=7,"Demitido","Afastamento"))),VLOOKUP(J651,Conf!$H:$I,2,0))</f>
        <v>Demitido</v>
      </c>
      <c r="E651" s="187">
        <v>7</v>
      </c>
      <c r="F651" s="187">
        <v>61</v>
      </c>
      <c r="G651" t="s">
        <v>888</v>
      </c>
      <c r="H651" s="71"/>
      <c r="I651" t="s">
        <v>222</v>
      </c>
      <c r="J651" s="187">
        <v>7</v>
      </c>
      <c r="K651" t="s">
        <v>1630</v>
      </c>
      <c r="L651" s="185"/>
      <c r="M651" s="188">
        <v>44141</v>
      </c>
      <c r="N651" s="71"/>
      <c r="O651" s="71"/>
      <c r="P651" s="71"/>
      <c r="Q651" s="71"/>
      <c r="R651" s="71"/>
      <c r="S651" t="s">
        <v>853</v>
      </c>
      <c r="T651" s="71"/>
    </row>
    <row r="652" spans="1:20" x14ac:dyDescent="0.3">
      <c r="A652" s="72">
        <f>IFERROR(VLOOKUP($G652,Conf!$B:$C,2,0),E652)</f>
        <v>8</v>
      </c>
      <c r="B652" s="72" t="str">
        <f ca="1">IF(D652="Inativo","Inativo",IFERROR(VLOOKUP($G652,Conf!$O:$Q,2,0),VLOOKUP($S652,Conf!$K:$M,2,0)))</f>
        <v>AÇOUGUE</v>
      </c>
      <c r="C652" s="72" t="str">
        <f ca="1">IF(D652="Inativo","Inativo",IFERROR(VLOOKUP($G652,Conf!$O:$Q,3,0),IFERROR(VLOOKUP($G652,Conf!$E:$F,2,0),VLOOKUP($S652,Conf!$K:$M,3,0))))</f>
        <v>AÇOUGUEIRO</v>
      </c>
      <c r="D652" s="72" t="str">
        <f ca="1">IFERROR(IF(TODAY()-K652&gt;365,"Inativo",IF(J652=2,"Férias",IF(J652=7,"Demitido","Afastamento"))),VLOOKUP(J652,Conf!$H:$I,2,0))</f>
        <v>Férias</v>
      </c>
      <c r="E652" s="187">
        <v>8</v>
      </c>
      <c r="F652" s="187">
        <v>268</v>
      </c>
      <c r="G652" t="s">
        <v>891</v>
      </c>
      <c r="H652" s="71"/>
      <c r="I652" t="s">
        <v>357</v>
      </c>
      <c r="J652" s="187">
        <v>2</v>
      </c>
      <c r="K652" t="s">
        <v>1640</v>
      </c>
      <c r="L652" s="185"/>
      <c r="M652" s="188">
        <v>45840</v>
      </c>
      <c r="N652" s="71"/>
      <c r="O652" s="71"/>
      <c r="P652" s="71"/>
      <c r="Q652" s="71"/>
      <c r="R652" s="71"/>
      <c r="S652" t="s">
        <v>890</v>
      </c>
      <c r="T652" s="71"/>
    </row>
    <row r="653" spans="1:20" x14ac:dyDescent="0.3">
      <c r="A653" s="72">
        <f>IFERROR(VLOOKUP($G653,Conf!$B:$C,2,0),E653)</f>
        <v>8</v>
      </c>
      <c r="B653" s="72" t="str">
        <f ca="1">IF(D653="Inativo","Inativo",IFERROR(VLOOKUP($G653,Conf!$O:$Q,2,0),VLOOKUP($S653,Conf!$K:$M,2,0)))</f>
        <v>AÇOUGUE</v>
      </c>
      <c r="C653" s="72" t="str">
        <f ca="1">IF(D653="Inativo","Inativo",IFERROR(VLOOKUP($G653,Conf!$O:$Q,3,0),IFERROR(VLOOKUP($G653,Conf!$E:$F,2,0),VLOOKUP($S653,Conf!$K:$M,3,0))))</f>
        <v>AÇOUGUEIRO</v>
      </c>
      <c r="D653" s="72" t="str">
        <f ca="1">IFERROR(IF(TODAY()-K653&gt;365,"Inativo",IF(J653=2,"Férias",IF(J653=7,"Demitido","Afastamento"))),VLOOKUP(J653,Conf!$H:$I,2,0))</f>
        <v>Ativos</v>
      </c>
      <c r="E653" s="187">
        <v>8</v>
      </c>
      <c r="F653" s="187">
        <v>91</v>
      </c>
      <c r="G653" t="s">
        <v>892</v>
      </c>
      <c r="H653" s="71"/>
      <c r="I653" t="s">
        <v>222</v>
      </c>
      <c r="J653" s="187">
        <v>1</v>
      </c>
      <c r="K653" t="s">
        <v>1385</v>
      </c>
      <c r="L653" s="185"/>
      <c r="M653" s="188">
        <v>44747</v>
      </c>
      <c r="N653" s="71"/>
      <c r="O653" s="71"/>
      <c r="P653" s="71"/>
      <c r="Q653" s="71"/>
      <c r="R653" s="71"/>
      <c r="S653" t="s">
        <v>890</v>
      </c>
      <c r="T653" s="71"/>
    </row>
    <row r="654" spans="1:20" x14ac:dyDescent="0.3">
      <c r="A654" s="72">
        <f>IFERROR(VLOOKUP($G654,Conf!$B:$C,2,0),E654)</f>
        <v>8</v>
      </c>
      <c r="B654" s="72" t="str">
        <f ca="1">IF(D654="Inativo","Inativo",IFERROR(VLOOKUP($G654,Conf!$O:$Q,2,0),VLOOKUP($S654,Conf!$K:$M,2,0)))</f>
        <v>AÇOUGUE</v>
      </c>
      <c r="C654" s="72" t="str">
        <f ca="1">IF(D654="Inativo","Inativo",IFERROR(VLOOKUP($G654,Conf!$O:$Q,3,0),IFERROR(VLOOKUP($G654,Conf!$E:$F,2,0),VLOOKUP($S654,Conf!$K:$M,3,0))))</f>
        <v>AÇOUGUEIRO</v>
      </c>
      <c r="D654" s="72" t="str">
        <f ca="1">IFERROR(IF(TODAY()-K654&gt;365,"Inativo",IF(J654=2,"Férias",IF(J654=7,"Demitido","Afastamento"))),VLOOKUP(J654,Conf!$H:$I,2,0))</f>
        <v>Ativos</v>
      </c>
      <c r="E654" s="187">
        <v>8</v>
      </c>
      <c r="F654" s="187">
        <v>139</v>
      </c>
      <c r="G654" t="s">
        <v>893</v>
      </c>
      <c r="H654" s="71"/>
      <c r="I654" t="s">
        <v>220</v>
      </c>
      <c r="J654" s="187">
        <v>1</v>
      </c>
      <c r="K654" t="s">
        <v>1385</v>
      </c>
      <c r="L654" s="185"/>
      <c r="M654" s="188">
        <v>45161</v>
      </c>
      <c r="N654" s="71"/>
      <c r="O654" s="71"/>
      <c r="P654" s="71"/>
      <c r="Q654" s="71"/>
      <c r="R654" s="71"/>
      <c r="S654" t="s">
        <v>890</v>
      </c>
      <c r="T654" s="71"/>
    </row>
    <row r="655" spans="1:20" x14ac:dyDescent="0.3">
      <c r="A655" s="72">
        <f>IFERROR(VLOOKUP($G655,Conf!$B:$C,2,0),E655)</f>
        <v>8</v>
      </c>
      <c r="B655" s="72" t="str">
        <f ca="1">IF(D655="Inativo","Inativo",IFERROR(VLOOKUP($G655,Conf!$O:$Q,2,0),VLOOKUP($S655,Conf!$K:$M,2,0)))</f>
        <v>AÇOUGUE</v>
      </c>
      <c r="C655" s="72" t="str">
        <f ca="1">IF(D655="Inativo","Inativo",IFERROR(VLOOKUP($G655,Conf!$O:$Q,3,0),IFERROR(VLOOKUP($G655,Conf!$E:$F,2,0),VLOOKUP($S655,Conf!$K:$M,3,0))))</f>
        <v>BALCONISTA</v>
      </c>
      <c r="D655" s="72" t="str">
        <f ca="1">IFERROR(IF(TODAY()-K655&gt;365,"Inativo",IF(J655=2,"Férias",IF(J655=7,"Demitido","Afastamento"))),VLOOKUP(J655,Conf!$H:$I,2,0))</f>
        <v>Ativos</v>
      </c>
      <c r="E655" s="187">
        <v>8</v>
      </c>
      <c r="F655" s="187">
        <v>369</v>
      </c>
      <c r="G655" t="s">
        <v>1468</v>
      </c>
      <c r="H655" s="71"/>
      <c r="I655" t="s">
        <v>357</v>
      </c>
      <c r="J655" s="187">
        <v>1</v>
      </c>
      <c r="K655" t="s">
        <v>1385</v>
      </c>
      <c r="L655" s="185"/>
      <c r="M655" s="188">
        <v>46248</v>
      </c>
      <c r="N655" s="71"/>
      <c r="Q655" s="71"/>
      <c r="R655" s="71"/>
      <c r="S655" t="s">
        <v>1472</v>
      </c>
      <c r="T655" s="71"/>
    </row>
    <row r="656" spans="1:20" x14ac:dyDescent="0.3">
      <c r="A656" s="72">
        <f>IFERROR(VLOOKUP($G656,Conf!$B:$C,2,0),E656)</f>
        <v>8</v>
      </c>
      <c r="B656" s="72" t="str">
        <f ca="1">IF(D656="Inativo","Inativo",IFERROR(VLOOKUP($G656,Conf!$O:$Q,2,0),VLOOKUP($S656,Conf!$K:$M,2,0)))</f>
        <v>AÇOUGUE</v>
      </c>
      <c r="C656" s="72" t="str">
        <f ca="1">IF(D656="Inativo","Inativo",IFERROR(VLOOKUP($G656,Conf!$O:$Q,3,0),IFERROR(VLOOKUP($G656,Conf!$E:$F,2,0),VLOOKUP($S656,Conf!$K:$M,3,0))))</f>
        <v>BALCONISTA</v>
      </c>
      <c r="D656" s="72" t="str">
        <f ca="1">IFERROR(IF(TODAY()-K656&gt;365,"Inativo",IF(J656=2,"Férias",IF(J656=7,"Demitido","Afastamento"))),VLOOKUP(J656,Conf!$H:$I,2,0))</f>
        <v>Ativos</v>
      </c>
      <c r="E656" s="187">
        <v>8</v>
      </c>
      <c r="F656" s="187">
        <v>374</v>
      </c>
      <c r="G656" t="s">
        <v>1527</v>
      </c>
      <c r="H656" s="71"/>
      <c r="I656" t="s">
        <v>357</v>
      </c>
      <c r="J656" s="187">
        <v>1</v>
      </c>
      <c r="K656" t="s">
        <v>1385</v>
      </c>
      <c r="L656" s="185"/>
      <c r="M656" s="188">
        <v>46266</v>
      </c>
      <c r="N656" s="71"/>
      <c r="O656" s="71"/>
      <c r="P656" s="71"/>
      <c r="Q656" s="71"/>
      <c r="R656" s="71"/>
      <c r="S656" t="s">
        <v>1472</v>
      </c>
      <c r="T656" s="71"/>
    </row>
    <row r="657" spans="1:20" x14ac:dyDescent="0.3">
      <c r="A657" s="72">
        <f>IFERROR(VLOOKUP($G657,Conf!$B:$C,2,0),E657)</f>
        <v>8</v>
      </c>
      <c r="B657" s="72" t="str">
        <f ca="1">IF(D657="Inativo","Inativo",IFERROR(VLOOKUP($G657,Conf!$O:$Q,2,0),VLOOKUP($S657,Conf!$K:$M,2,0)))</f>
        <v>AÇOUGUE</v>
      </c>
      <c r="C657" s="72" t="str">
        <f ca="1">IF(D657="Inativo","Inativo",IFERROR(VLOOKUP($G657,Conf!$O:$Q,3,0),IFERROR(VLOOKUP($G657,Conf!$E:$F,2,0),VLOOKUP($S657,Conf!$K:$M,3,0))))</f>
        <v>DESOSSADOR</v>
      </c>
      <c r="D657" s="72" t="str">
        <f ca="1">IFERROR(IF(TODAY()-K657&gt;365,"Inativo",IF(J657=2,"Férias",IF(J657=7,"Demitido","Afastamento"))),VLOOKUP(J657,Conf!$H:$I,2,0))</f>
        <v>Ativos</v>
      </c>
      <c r="E657" s="187">
        <v>8</v>
      </c>
      <c r="F657" s="187">
        <v>375</v>
      </c>
      <c r="G657" t="s">
        <v>1564</v>
      </c>
      <c r="H657" s="71"/>
      <c r="I657" t="s">
        <v>357</v>
      </c>
      <c r="J657" s="187">
        <v>1</v>
      </c>
      <c r="K657" t="s">
        <v>1385</v>
      </c>
      <c r="L657" s="185"/>
      <c r="M657" s="188">
        <v>46279</v>
      </c>
      <c r="N657" s="71"/>
      <c r="Q657" s="71"/>
      <c r="R657" s="71"/>
      <c r="S657" t="s">
        <v>781</v>
      </c>
      <c r="T657" s="71"/>
    </row>
    <row r="658" spans="1:20" x14ac:dyDescent="0.3">
      <c r="A658" s="72">
        <f>IFERROR(VLOOKUP($G658,Conf!$B:$C,2,0),E658)</f>
        <v>8</v>
      </c>
      <c r="B658" s="72" t="str">
        <f ca="1">IF(D658="Inativo","Inativo",IFERROR(VLOOKUP($G658,Conf!$O:$Q,2,0),VLOOKUP($S658,Conf!$K:$M,2,0)))</f>
        <v>AÇOUGUE</v>
      </c>
      <c r="C658" s="72" t="str">
        <f ca="1">IF(D658="Inativo","Inativo",IFERROR(VLOOKUP($G658,Conf!$O:$Q,3,0),IFERROR(VLOOKUP($G658,Conf!$E:$F,2,0),VLOOKUP($S658,Conf!$K:$M,3,0))))</f>
        <v>DESOSSADOR</v>
      </c>
      <c r="D658" s="72" t="str">
        <f ca="1">IFERROR(IF(TODAY()-K658&gt;365,"Inativo",IF(J658=2,"Férias",IF(J658=7,"Demitido","Afastamento"))),VLOOKUP(J658,Conf!$H:$I,2,0))</f>
        <v>Ativos</v>
      </c>
      <c r="E658" s="187">
        <v>8</v>
      </c>
      <c r="F658" s="187">
        <v>215</v>
      </c>
      <c r="G658" t="s">
        <v>896</v>
      </c>
      <c r="H658" s="71"/>
      <c r="I658" t="s">
        <v>222</v>
      </c>
      <c r="J658" s="187">
        <v>1</v>
      </c>
      <c r="K658" t="s">
        <v>1385</v>
      </c>
      <c r="L658" s="185"/>
      <c r="M658" s="188">
        <v>45615</v>
      </c>
      <c r="N658" s="71"/>
      <c r="Q658" s="71"/>
      <c r="R658" s="71"/>
      <c r="S658" t="s">
        <v>781</v>
      </c>
      <c r="T658" s="71"/>
    </row>
    <row r="659" spans="1:20" x14ac:dyDescent="0.3">
      <c r="A659" s="72">
        <f>IFERROR(VLOOKUP($G659,Conf!$B:$C,2,0),E659)</f>
        <v>8</v>
      </c>
      <c r="B659" s="72" t="str">
        <f ca="1">IF(D659="Inativo","Inativo",IFERROR(VLOOKUP($G659,Conf!$O:$Q,2,0),VLOOKUP($S659,Conf!$K:$M,2,0)))</f>
        <v>AÇOUGUE</v>
      </c>
      <c r="C659" s="72" t="str">
        <f ca="1">IF(D659="Inativo","Inativo",IFERROR(VLOOKUP($G659,Conf!$O:$Q,3,0),IFERROR(VLOOKUP($G659,Conf!$E:$F,2,0),VLOOKUP($S659,Conf!$K:$M,3,0))))</f>
        <v>DESOSSADOR</v>
      </c>
      <c r="D659" s="72" t="str">
        <f ca="1">IFERROR(IF(TODAY()-K659&gt;365,"Inativo",IF(J659=2,"Férias",IF(J659=7,"Demitido","Afastamento"))),VLOOKUP(J659,Conf!$H:$I,2,0))</f>
        <v>Ativos</v>
      </c>
      <c r="E659" s="187">
        <v>8</v>
      </c>
      <c r="F659" s="187">
        <v>319</v>
      </c>
      <c r="G659" t="s">
        <v>894</v>
      </c>
      <c r="H659" s="71"/>
      <c r="I659" t="s">
        <v>222</v>
      </c>
      <c r="J659" s="187">
        <v>1</v>
      </c>
      <c r="K659" t="s">
        <v>1385</v>
      </c>
      <c r="L659" s="185"/>
      <c r="M659" s="188">
        <v>46071</v>
      </c>
      <c r="N659" s="71"/>
      <c r="Q659" s="71"/>
      <c r="R659" s="71"/>
      <c r="S659" t="s">
        <v>781</v>
      </c>
      <c r="T659" s="71"/>
    </row>
    <row r="660" spans="1:20" x14ac:dyDescent="0.3">
      <c r="A660" s="72">
        <f>IFERROR(VLOOKUP($G660,Conf!$B:$C,2,0),E660)</f>
        <v>8</v>
      </c>
      <c r="B660" s="72" t="str">
        <f ca="1">IF(D660="Inativo","Inativo",IFERROR(VLOOKUP($G660,Conf!$O:$Q,2,0),VLOOKUP($S660,Conf!$K:$M,2,0)))</f>
        <v>AÇOUGUE</v>
      </c>
      <c r="C660" s="72" t="str">
        <f ca="1">IF(D660="Inativo","Inativo",IFERROR(VLOOKUP($G660,Conf!$O:$Q,3,0),IFERROR(VLOOKUP($G660,Conf!$E:$F,2,0),VLOOKUP($S660,Conf!$K:$M,3,0))))</f>
        <v>ENCARREGADO</v>
      </c>
      <c r="D660" s="72" t="str">
        <f ca="1">IFERROR(IF(TODAY()-K660&gt;365,"Inativo",IF(J660=2,"Férias",IF(J660=7,"Demitido","Afastamento"))),VLOOKUP(J660,Conf!$H:$I,2,0))</f>
        <v>Ativos</v>
      </c>
      <c r="E660" s="187">
        <v>8</v>
      </c>
      <c r="F660" s="187">
        <v>239</v>
      </c>
      <c r="G660" t="s">
        <v>895</v>
      </c>
      <c r="H660" s="71"/>
      <c r="I660" t="s">
        <v>222</v>
      </c>
      <c r="J660" s="187">
        <v>1</v>
      </c>
      <c r="K660" t="s">
        <v>1385</v>
      </c>
      <c r="L660" s="185"/>
      <c r="M660" s="188">
        <v>45737</v>
      </c>
      <c r="N660" s="71"/>
      <c r="Q660" s="71"/>
      <c r="R660" s="71"/>
      <c r="S660" t="s">
        <v>897</v>
      </c>
      <c r="T660" s="71"/>
    </row>
    <row r="661" spans="1:20" x14ac:dyDescent="0.3">
      <c r="A661" s="72">
        <f>IFERROR(VLOOKUP($G661,Conf!$B:$C,2,0),E661)</f>
        <v>8</v>
      </c>
      <c r="B661" s="72" t="str">
        <f ca="1">IF(D661="Inativo","Inativo",IFERROR(VLOOKUP($G661,Conf!$O:$Q,2,0),VLOOKUP($S661,Conf!$K:$M,2,0)))</f>
        <v>ADMINISTRATIVO</v>
      </c>
      <c r="C661" s="72" t="str">
        <f ca="1">IF(D661="Inativo","Inativo",IFERROR(VLOOKUP($G661,Conf!$O:$Q,3,0),IFERROR(VLOOKUP($G661,Conf!$E:$F,2,0),VLOOKUP($S661,Conf!$K:$M,3,0))))</f>
        <v>APRENDIZ</v>
      </c>
      <c r="D661" s="72" t="str">
        <f ca="1">IFERROR(IF(TODAY()-K661&gt;365,"Inativo",IF(J661=2,"Férias",IF(J661=7,"Demitido","Afastamento"))),VLOOKUP(J661,Conf!$H:$I,2,0))</f>
        <v>Ativos</v>
      </c>
      <c r="E661" s="187">
        <v>8</v>
      </c>
      <c r="F661" s="187">
        <v>2374</v>
      </c>
      <c r="G661" t="s">
        <v>946</v>
      </c>
      <c r="H661" s="71"/>
      <c r="I661" t="s">
        <v>947</v>
      </c>
      <c r="J661" s="187">
        <v>1</v>
      </c>
      <c r="K661" t="s">
        <v>1385</v>
      </c>
      <c r="L661" s="185"/>
      <c r="M661" s="188">
        <v>46063</v>
      </c>
      <c r="N661" s="71"/>
      <c r="Q661" s="71"/>
      <c r="R661" s="71"/>
      <c r="S661" t="s">
        <v>22</v>
      </c>
      <c r="T661" s="71"/>
    </row>
    <row r="662" spans="1:20" x14ac:dyDescent="0.3">
      <c r="A662" s="72">
        <f>IFERROR(VLOOKUP($G662,Conf!$B:$C,2,0),E662)</f>
        <v>8</v>
      </c>
      <c r="B662" s="72" t="str">
        <f ca="1">IF(D662="Inativo","Inativo",IFERROR(VLOOKUP($G662,Conf!$O:$Q,2,0),VLOOKUP($S662,Conf!$K:$M,2,0)))</f>
        <v>ADMINISTRATIVO</v>
      </c>
      <c r="C662" s="72" t="str">
        <f ca="1">IF(D662="Inativo","Inativo",IFERROR(VLOOKUP($G662,Conf!$O:$Q,3,0),IFERROR(VLOOKUP($G662,Conf!$E:$F,2,0),VLOOKUP($S662,Conf!$K:$M,3,0))))</f>
        <v>APRENDIZ</v>
      </c>
      <c r="D662" s="72" t="str">
        <f ca="1">IFERROR(IF(TODAY()-K662&gt;365,"Inativo",IF(J662=2,"Férias",IF(J662=7,"Demitido","Afastamento"))),VLOOKUP(J662,Conf!$H:$I,2,0))</f>
        <v>Ativos</v>
      </c>
      <c r="E662" s="187">
        <v>8</v>
      </c>
      <c r="F662" s="187">
        <v>2376</v>
      </c>
      <c r="G662" t="s">
        <v>948</v>
      </c>
      <c r="H662" s="71"/>
      <c r="I662" t="s">
        <v>947</v>
      </c>
      <c r="J662" s="187">
        <v>1</v>
      </c>
      <c r="K662" t="s">
        <v>1385</v>
      </c>
      <c r="L662" s="185"/>
      <c r="M662" s="188">
        <v>46063</v>
      </c>
      <c r="N662" s="71"/>
      <c r="Q662" s="71"/>
      <c r="R662" s="71"/>
      <c r="S662" t="s">
        <v>22</v>
      </c>
      <c r="T662" s="71"/>
    </row>
    <row r="663" spans="1:20" x14ac:dyDescent="0.3">
      <c r="A663" s="72">
        <f>IFERROR(VLOOKUP($G663,Conf!$B:$C,2,0),E663)</f>
        <v>8</v>
      </c>
      <c r="B663" s="72" t="str">
        <f ca="1">IF(D663="Inativo","Inativo",IFERROR(VLOOKUP($G663,Conf!$O:$Q,2,0),VLOOKUP($S663,Conf!$K:$M,2,0)))</f>
        <v>ADMINISTRATIVO</v>
      </c>
      <c r="C663" s="72" t="str">
        <f ca="1">IF(D663="Inativo","Inativo",IFERROR(VLOOKUP($G663,Conf!$O:$Q,3,0),IFERROR(VLOOKUP($G663,Conf!$E:$F,2,0),VLOOKUP($S663,Conf!$K:$M,3,0))))</f>
        <v>GESTÃO PESSOAS</v>
      </c>
      <c r="D663" s="72" t="str">
        <f ca="1">IFERROR(IF(TODAY()-K663&gt;365,"Inativo",IF(J663=2,"Férias",IF(J663=7,"Demitido","Afastamento"))),VLOOKUP(J663,Conf!$H:$I,2,0))</f>
        <v>Ativos</v>
      </c>
      <c r="E663" s="187">
        <v>8</v>
      </c>
      <c r="F663" s="187">
        <v>2373</v>
      </c>
      <c r="G663" t="s">
        <v>898</v>
      </c>
      <c r="H663" s="71"/>
      <c r="I663" t="s">
        <v>239</v>
      </c>
      <c r="J663" s="187">
        <v>1</v>
      </c>
      <c r="K663" t="s">
        <v>1385</v>
      </c>
      <c r="L663" s="185"/>
      <c r="M663" s="188">
        <v>46062</v>
      </c>
      <c r="N663" s="71"/>
      <c r="Q663" s="71"/>
      <c r="R663" s="71"/>
      <c r="S663" t="s">
        <v>899</v>
      </c>
      <c r="T663" s="71"/>
    </row>
    <row r="664" spans="1:20" x14ac:dyDescent="0.3">
      <c r="A664" s="72">
        <f>IFERROR(VLOOKUP($G664,Conf!$B:$C,2,0),E664)</f>
        <v>8</v>
      </c>
      <c r="B664" s="72" t="str">
        <f ca="1">IF(D664="Inativo","Inativo",IFERROR(VLOOKUP($G664,Conf!$O:$Q,2,0),VLOOKUP($S664,Conf!$K:$M,2,0)))</f>
        <v>ADMINISTRATIVO</v>
      </c>
      <c r="C664" s="72" t="str">
        <f ca="1">IF(D664="Inativo","Inativo",IFERROR(VLOOKUP($G664,Conf!$O:$Q,3,0),IFERROR(VLOOKUP($G664,Conf!$E:$F,2,0),VLOOKUP($S664,Conf!$K:$M,3,0))))</f>
        <v>LIMPEZA</v>
      </c>
      <c r="D664" s="72" t="str">
        <f ca="1">IFERROR(IF(TODAY()-K664&gt;365,"Inativo",IF(J664=2,"Férias",IF(J664=7,"Demitido","Afastamento"))),VLOOKUP(J664,Conf!$H:$I,2,0))</f>
        <v>Demitido</v>
      </c>
      <c r="E664" s="187">
        <v>8</v>
      </c>
      <c r="F664" s="187">
        <v>377</v>
      </c>
      <c r="G664" t="s">
        <v>1587</v>
      </c>
      <c r="H664" s="71"/>
      <c r="I664" t="s">
        <v>357</v>
      </c>
      <c r="J664" s="187">
        <v>7</v>
      </c>
      <c r="K664" t="s">
        <v>1629</v>
      </c>
      <c r="L664" s="185"/>
      <c r="M664" s="188">
        <v>46283</v>
      </c>
      <c r="N664" s="71"/>
      <c r="Q664" s="71"/>
      <c r="R664" s="71"/>
      <c r="S664" t="s">
        <v>944</v>
      </c>
      <c r="T664" s="71"/>
    </row>
    <row r="665" spans="1:20" x14ac:dyDescent="0.3">
      <c r="A665" s="72">
        <f>IFERROR(VLOOKUP($G665,Conf!$B:$C,2,0),E665)</f>
        <v>8</v>
      </c>
      <c r="B665" s="72" t="str">
        <f ca="1">IF(D665="Inativo","Inativo",IFERROR(VLOOKUP($G665,Conf!$O:$Q,2,0),VLOOKUP($S665,Conf!$K:$M,2,0)))</f>
        <v>ADMINISTRATIVO</v>
      </c>
      <c r="C665" s="72" t="str">
        <f ca="1">IF(D665="Inativo","Inativo",IFERROR(VLOOKUP($G665,Conf!$O:$Q,3,0),IFERROR(VLOOKUP($G665,Conf!$E:$F,2,0),VLOOKUP($S665,Conf!$K:$M,3,0))))</f>
        <v>LIMPEZA</v>
      </c>
      <c r="D665" s="72" t="str">
        <f ca="1">IFERROR(IF(TODAY()-K665&gt;365,"Inativo",IF(J665=2,"Férias",IF(J665=7,"Demitido","Afastamento"))),VLOOKUP(J665,Conf!$H:$I,2,0))</f>
        <v>Demitido</v>
      </c>
      <c r="E665" s="187">
        <v>8</v>
      </c>
      <c r="F665" s="187">
        <v>373</v>
      </c>
      <c r="G665" t="s">
        <v>1506</v>
      </c>
      <c r="H665" s="71"/>
      <c r="I665" t="s">
        <v>357</v>
      </c>
      <c r="J665" s="187">
        <v>7</v>
      </c>
      <c r="K665" t="s">
        <v>1629</v>
      </c>
      <c r="L665" s="185"/>
      <c r="M665" s="188">
        <v>46259</v>
      </c>
      <c r="N665" s="71"/>
      <c r="O665" s="71"/>
      <c r="P665" s="71"/>
      <c r="Q665" s="71"/>
      <c r="R665" s="71"/>
      <c r="S665" t="s">
        <v>944</v>
      </c>
      <c r="T665" s="71"/>
    </row>
    <row r="666" spans="1:20" x14ac:dyDescent="0.3">
      <c r="A666" s="72">
        <f>IFERROR(VLOOKUP($G666,Conf!$B:$C,2,0),E666)</f>
        <v>8</v>
      </c>
      <c r="B666" s="72" t="str">
        <f ca="1">IF(D666="Inativo","Inativo",IFERROR(VLOOKUP($G666,Conf!$O:$Q,2,0),VLOOKUP($S666,Conf!$K:$M,2,0)))</f>
        <v>ADMINISTRATIVO</v>
      </c>
      <c r="C666" s="72" t="str">
        <f ca="1">IF(D666="Inativo","Inativo",IFERROR(VLOOKUP($G666,Conf!$O:$Q,3,0),IFERROR(VLOOKUP($G666,Conf!$E:$F,2,0),VLOOKUP($S666,Conf!$K:$M,3,0))))</f>
        <v>LIMPEZA</v>
      </c>
      <c r="D666" s="72" t="str">
        <f ca="1">IFERROR(IF(TODAY()-K666&gt;365,"Inativo",IF(J666=2,"Férias",IF(J666=7,"Demitido","Afastamento"))),VLOOKUP(J666,Conf!$H:$I,2,0))</f>
        <v>Ativos</v>
      </c>
      <c r="E666" s="187">
        <v>8</v>
      </c>
      <c r="F666" s="187">
        <v>53</v>
      </c>
      <c r="G666" t="s">
        <v>945</v>
      </c>
      <c r="H666" s="71"/>
      <c r="I666" t="s">
        <v>390</v>
      </c>
      <c r="J666" s="187">
        <v>1</v>
      </c>
      <c r="K666" t="s">
        <v>1385</v>
      </c>
      <c r="L666" s="185"/>
      <c r="M666" s="188">
        <v>44679</v>
      </c>
      <c r="N666" s="71"/>
      <c r="O666" s="71"/>
      <c r="P666" s="71"/>
      <c r="Q666" s="71"/>
      <c r="R666" s="71"/>
      <c r="S666" t="s">
        <v>944</v>
      </c>
      <c r="T666" s="71"/>
    </row>
    <row r="667" spans="1:20" x14ac:dyDescent="0.3">
      <c r="A667" s="72">
        <f>IFERROR(VLOOKUP($G667,Conf!$B:$C,2,0),E667)</f>
        <v>8</v>
      </c>
      <c r="B667" s="72" t="str">
        <f ca="1">IF(D667="Inativo","Inativo",IFERROR(VLOOKUP($G667,Conf!$O:$Q,2,0),VLOOKUP($S667,Conf!$K:$M,2,0)))</f>
        <v>ADMINISTRATIVO</v>
      </c>
      <c r="C667" s="72" t="str">
        <f ca="1">IF(D667="Inativo","Inativo",IFERROR(VLOOKUP($G667,Conf!$O:$Q,3,0),IFERROR(VLOOKUP($G667,Conf!$E:$F,2,0),VLOOKUP($S667,Conf!$K:$M,3,0))))</f>
        <v>PREVENÇÃO</v>
      </c>
      <c r="D667" s="72" t="str">
        <f ca="1">IFERROR(IF(TODAY()-K667&gt;365,"Inativo",IF(J667=2,"Férias",IF(J667=7,"Demitido","Afastamento"))),VLOOKUP(J667,Conf!$H:$I,2,0))</f>
        <v>Ativos</v>
      </c>
      <c r="E667" s="187">
        <v>8</v>
      </c>
      <c r="F667" s="187">
        <v>2210</v>
      </c>
      <c r="G667" t="s">
        <v>980</v>
      </c>
      <c r="H667" s="71"/>
      <c r="I667" t="s">
        <v>222</v>
      </c>
      <c r="J667" s="187">
        <v>1</v>
      </c>
      <c r="K667" t="s">
        <v>1385</v>
      </c>
      <c r="L667" s="185"/>
      <c r="M667" s="188">
        <v>45700</v>
      </c>
      <c r="N667" s="71"/>
      <c r="Q667" s="71"/>
      <c r="R667" s="71"/>
      <c r="S667" t="s">
        <v>981</v>
      </c>
      <c r="T667" s="71"/>
    </row>
    <row r="668" spans="1:20" x14ac:dyDescent="0.3">
      <c r="A668" s="72">
        <f>IFERROR(VLOOKUP($G668,Conf!$B:$C,2,0),E668)</f>
        <v>8</v>
      </c>
      <c r="B668" s="72" t="str">
        <f ca="1">IF(D668="Inativo","Inativo",IFERROR(VLOOKUP($G668,Conf!$O:$Q,2,0),VLOOKUP($S668,Conf!$K:$M,2,0)))</f>
        <v>ADMINISTRATIVO</v>
      </c>
      <c r="C668" s="72" t="str">
        <f ca="1">IF(D668="Inativo","Inativo",IFERROR(VLOOKUP($G668,Conf!$O:$Q,3,0),IFERROR(VLOOKUP($G668,Conf!$E:$F,2,0),VLOOKUP($S668,Conf!$K:$M,3,0))))</f>
        <v>PREVENÇÃO</v>
      </c>
      <c r="D668" s="72" t="str">
        <f ca="1">IFERROR(IF(TODAY()-K668&gt;365,"Inativo",IF(J668=2,"Férias",IF(J668=7,"Demitido","Afastamento"))),VLOOKUP(J668,Conf!$H:$I,2,0))</f>
        <v>Demitido</v>
      </c>
      <c r="E668" s="187">
        <v>8</v>
      </c>
      <c r="F668" s="187">
        <v>262</v>
      </c>
      <c r="G668" t="s">
        <v>982</v>
      </c>
      <c r="H668" s="71"/>
      <c r="I668" t="s">
        <v>401</v>
      </c>
      <c r="J668" s="187">
        <v>7</v>
      </c>
      <c r="K668" t="s">
        <v>1609</v>
      </c>
      <c r="L668" s="185"/>
      <c r="M668" s="188">
        <v>45810</v>
      </c>
      <c r="N668" s="71"/>
      <c r="O668" s="71"/>
      <c r="P668" s="71"/>
      <c r="Q668" s="71"/>
      <c r="R668" s="71"/>
      <c r="S668" t="s">
        <v>979</v>
      </c>
      <c r="T668" s="71"/>
    </row>
    <row r="669" spans="1:20" x14ac:dyDescent="0.3">
      <c r="A669" s="72">
        <f>IFERROR(VLOOKUP($G669,Conf!$B:$C,2,0),E669)</f>
        <v>8</v>
      </c>
      <c r="B669" s="72" t="str">
        <f ca="1">IF(D669="Inativo","Inativo",IFERROR(VLOOKUP($G669,Conf!$O:$Q,2,0),VLOOKUP($S669,Conf!$K:$M,2,0)))</f>
        <v>ADMINISTRATIVO</v>
      </c>
      <c r="C669" s="72" t="str">
        <f ca="1">IF(D669="Inativo","Inativo",IFERROR(VLOOKUP($G669,Conf!$O:$Q,3,0),IFERROR(VLOOKUP($G669,Conf!$E:$F,2,0),VLOOKUP($S669,Conf!$K:$M,3,0))))</f>
        <v>PREVENÇÃO</v>
      </c>
      <c r="D669" s="72" t="str">
        <f ca="1">IFERROR(IF(TODAY()-K669&gt;365,"Inativo",IF(J669=2,"Férias",IF(J669=7,"Demitido","Afastamento"))),VLOOKUP(J669,Conf!$H:$I,2,0))</f>
        <v>Ativos</v>
      </c>
      <c r="E669" s="187">
        <v>8</v>
      </c>
      <c r="F669" s="187">
        <v>2429</v>
      </c>
      <c r="G669" t="s">
        <v>983</v>
      </c>
      <c r="H669" s="71"/>
      <c r="I669" t="s">
        <v>357</v>
      </c>
      <c r="J669" s="187">
        <v>1</v>
      </c>
      <c r="K669" t="s">
        <v>1385</v>
      </c>
      <c r="L669" s="185"/>
      <c r="M669" s="188">
        <v>46174</v>
      </c>
      <c r="N669" s="71"/>
      <c r="Q669" s="71"/>
      <c r="R669" s="71"/>
      <c r="S669" t="s">
        <v>981</v>
      </c>
      <c r="T669" s="71"/>
    </row>
    <row r="670" spans="1:20" x14ac:dyDescent="0.3">
      <c r="A670" s="72">
        <f>IFERROR(VLOOKUP($G670,Conf!$B:$C,2,0),E670)</f>
        <v>8</v>
      </c>
      <c r="B670" s="72" t="str">
        <f ca="1">IF(D670="Inativo","Inativo",IFERROR(VLOOKUP($G670,Conf!$O:$Q,2,0),VLOOKUP($S670,Conf!$K:$M,2,0)))</f>
        <v>ADMINISTRATIVO</v>
      </c>
      <c r="C670" s="72" t="str">
        <f ca="1">IF(D670="Inativo","Inativo",IFERROR(VLOOKUP($G670,Conf!$O:$Q,3,0),IFERROR(VLOOKUP($G670,Conf!$E:$F,2,0),VLOOKUP($S670,Conf!$K:$M,3,0))))</f>
        <v>PREVENÇÃO</v>
      </c>
      <c r="D670" s="72" t="str">
        <f ca="1">IFERROR(IF(TODAY()-K670&gt;365,"Inativo",IF(J670=2,"Férias",IF(J670=7,"Demitido","Afastamento"))),VLOOKUP(J670,Conf!$H:$I,2,0))</f>
        <v>Demitido</v>
      </c>
      <c r="E670" s="187">
        <v>8</v>
      </c>
      <c r="F670" s="187">
        <v>2343</v>
      </c>
      <c r="G670" t="s">
        <v>984</v>
      </c>
      <c r="H670" s="71"/>
      <c r="I670" t="s">
        <v>357</v>
      </c>
      <c r="J670" s="187">
        <v>7</v>
      </c>
      <c r="K670" t="s">
        <v>1588</v>
      </c>
      <c r="L670" s="185"/>
      <c r="M670" s="188">
        <v>45995</v>
      </c>
      <c r="N670" s="71"/>
      <c r="O670" s="71"/>
      <c r="P670" s="71"/>
      <c r="Q670" s="71"/>
      <c r="R670" s="71"/>
      <c r="S670" t="s">
        <v>981</v>
      </c>
      <c r="T670" s="71"/>
    </row>
    <row r="671" spans="1:20" x14ac:dyDescent="0.3">
      <c r="A671" s="72">
        <f>IFERROR(VLOOKUP($G671,Conf!$B:$C,2,0),E671)</f>
        <v>8</v>
      </c>
      <c r="B671" s="72" t="str">
        <f ca="1">IF(D671="Inativo","Inativo",IFERROR(VLOOKUP($G671,Conf!$O:$Q,2,0),VLOOKUP($S671,Conf!$K:$M,2,0)))</f>
        <v>ADMINISTRATIVO</v>
      </c>
      <c r="C671" s="72" t="str">
        <f ca="1">IF(D671="Inativo","Inativo",IFERROR(VLOOKUP($G671,Conf!$O:$Q,3,0),IFERROR(VLOOKUP($G671,Conf!$E:$F,2,0),VLOOKUP($S671,Conf!$K:$M,3,0))))</f>
        <v>PREVENÇÃO</v>
      </c>
      <c r="D671" s="72" t="str">
        <f ca="1">IFERROR(IF(TODAY()-K671&gt;365,"Inativo",IF(J671=2,"Férias",IF(J671=7,"Demitido","Afastamento"))),VLOOKUP(J671,Conf!$H:$I,2,0))</f>
        <v>Demitido</v>
      </c>
      <c r="E671" s="187">
        <v>8</v>
      </c>
      <c r="F671" s="187">
        <v>197</v>
      </c>
      <c r="G671" t="s">
        <v>985</v>
      </c>
      <c r="H671" s="71"/>
      <c r="I671" t="s">
        <v>357</v>
      </c>
      <c r="J671" s="187">
        <v>7</v>
      </c>
      <c r="K671" t="s">
        <v>1638</v>
      </c>
      <c r="L671" s="185"/>
      <c r="M671" s="188">
        <v>45506</v>
      </c>
      <c r="N671" s="71"/>
      <c r="O671" s="71"/>
      <c r="P671" s="71"/>
      <c r="Q671" s="71"/>
      <c r="R671" s="71"/>
      <c r="S671" t="s">
        <v>979</v>
      </c>
      <c r="T671" s="71"/>
    </row>
    <row r="672" spans="1:20" x14ac:dyDescent="0.3">
      <c r="A672" s="72">
        <f>IFERROR(VLOOKUP($G672,Conf!$B:$C,2,0),E672)</f>
        <v>8</v>
      </c>
      <c r="B672" s="72" t="str">
        <f ca="1">IF(D672="Inativo","Inativo",IFERROR(VLOOKUP($G672,Conf!$O:$Q,2,0),VLOOKUP($S672,Conf!$K:$M,2,0)))</f>
        <v>CONFEITARIA</v>
      </c>
      <c r="C672" s="72" t="str">
        <f ca="1">IF(D672="Inativo","Inativo",IFERROR(VLOOKUP($G672,Conf!$O:$Q,3,0),IFERROR(VLOOKUP($G672,Conf!$E:$F,2,0),VLOOKUP($S672,Conf!$K:$M,3,0))))</f>
        <v>CONFEITEIRO(A)</v>
      </c>
      <c r="D672" s="72" t="str">
        <f ca="1">IFERROR(IF(TODAY()-K672&gt;365,"Inativo",IF(J672=2,"Férias",IF(J672=7,"Demitido","Afastamento"))),VLOOKUP(J672,Conf!$H:$I,2,0))</f>
        <v>Ativos</v>
      </c>
      <c r="E672" s="187">
        <v>8</v>
      </c>
      <c r="F672" s="187">
        <v>356</v>
      </c>
      <c r="G672" t="s">
        <v>1405</v>
      </c>
      <c r="H672" s="71"/>
      <c r="I672" t="s">
        <v>319</v>
      </c>
      <c r="J672" s="187">
        <v>1</v>
      </c>
      <c r="K672" t="s">
        <v>1385</v>
      </c>
      <c r="L672" s="185"/>
      <c r="M672" s="188">
        <v>46212</v>
      </c>
      <c r="N672" s="71"/>
      <c r="Q672" s="71"/>
      <c r="R672" s="71"/>
      <c r="S672" t="s">
        <v>900</v>
      </c>
      <c r="T672" s="71"/>
    </row>
    <row r="673" spans="1:20" x14ac:dyDescent="0.3">
      <c r="A673" s="72">
        <f>IFERROR(VLOOKUP($G673,Conf!$B:$C,2,0),E673)</f>
        <v>8</v>
      </c>
      <c r="B673" s="72" t="str">
        <f ca="1">IF(D673="Inativo","Inativo",IFERROR(VLOOKUP($G673,Conf!$O:$Q,2,0),VLOOKUP($S673,Conf!$K:$M,2,0)))</f>
        <v>CONFEITARIA</v>
      </c>
      <c r="C673" s="72" t="str">
        <f ca="1">IF(D673="Inativo","Inativo",IFERROR(VLOOKUP($G673,Conf!$O:$Q,3,0),IFERROR(VLOOKUP($G673,Conf!$E:$F,2,0),VLOOKUP($S673,Conf!$K:$M,3,0))))</f>
        <v>CONFEITEIRO(A)</v>
      </c>
      <c r="D673" s="72" t="str">
        <f ca="1">IFERROR(IF(TODAY()-K673&gt;365,"Inativo",IF(J673=2,"Férias",IF(J673=7,"Demitido","Afastamento"))),VLOOKUP(J673,Conf!$H:$I,2,0))</f>
        <v>Ativos</v>
      </c>
      <c r="E673" s="187">
        <v>8</v>
      </c>
      <c r="F673" s="187">
        <v>133</v>
      </c>
      <c r="G673" t="s">
        <v>971</v>
      </c>
      <c r="H673" s="71"/>
      <c r="I673" t="s">
        <v>390</v>
      </c>
      <c r="J673" s="187">
        <v>1</v>
      </c>
      <c r="K673" t="s">
        <v>1385</v>
      </c>
      <c r="L673" s="185"/>
      <c r="M673" s="188">
        <v>45097</v>
      </c>
      <c r="N673" s="71"/>
      <c r="Q673" s="71"/>
      <c r="R673" s="71"/>
      <c r="S673" t="s">
        <v>900</v>
      </c>
      <c r="T673" s="71"/>
    </row>
    <row r="674" spans="1:20" x14ac:dyDescent="0.3">
      <c r="A674" s="72">
        <f>IFERROR(VLOOKUP($G674,Conf!$B:$C,2,0),E674)</f>
        <v>8</v>
      </c>
      <c r="B674" s="72" t="str">
        <f ca="1">IF(D674="Inativo","Inativo",IFERROR(VLOOKUP($G674,Conf!$O:$Q,2,0),VLOOKUP($S674,Conf!$K:$M,2,0)))</f>
        <v>CONFEITARIA</v>
      </c>
      <c r="C674" s="72" t="str">
        <f ca="1">IF(D674="Inativo","Inativo",IFERROR(VLOOKUP($G674,Conf!$O:$Q,3,0),IFERROR(VLOOKUP($G674,Conf!$E:$F,2,0),VLOOKUP($S674,Conf!$K:$M,3,0))))</f>
        <v>CONFEITEIRO(A)</v>
      </c>
      <c r="D674" s="72" t="str">
        <f ca="1">IFERROR(IF(TODAY()-K674&gt;365,"Inativo",IF(J674=2,"Férias",IF(J674=7,"Demitido","Afastamento"))),VLOOKUP(J674,Conf!$H:$I,2,0))</f>
        <v>Ativos</v>
      </c>
      <c r="E674" s="187">
        <v>8</v>
      </c>
      <c r="F674" s="187">
        <v>255</v>
      </c>
      <c r="G674" t="s">
        <v>901</v>
      </c>
      <c r="H674" s="71"/>
      <c r="I674" t="s">
        <v>244</v>
      </c>
      <c r="J674" s="187">
        <v>1</v>
      </c>
      <c r="K674" t="s">
        <v>1385</v>
      </c>
      <c r="L674" s="185"/>
      <c r="M674" s="188">
        <v>45785</v>
      </c>
      <c r="N674" s="71"/>
      <c r="Q674" s="71"/>
      <c r="R674" s="71"/>
      <c r="S674" t="s">
        <v>900</v>
      </c>
      <c r="T674" s="71"/>
    </row>
    <row r="675" spans="1:20" x14ac:dyDescent="0.3">
      <c r="A675" s="72">
        <f>IFERROR(VLOOKUP($G675,Conf!$B:$C,2,0),E675)</f>
        <v>8</v>
      </c>
      <c r="B675" s="72" t="str">
        <f ca="1">IF(D675="Inativo","Inativo",IFERROR(VLOOKUP($G675,Conf!$O:$Q,2,0),VLOOKUP($S675,Conf!$K:$M,2,0)))</f>
        <v>DEPOSITO</v>
      </c>
      <c r="C675" s="72" t="str">
        <f ca="1">IF(D675="Inativo","Inativo",IFERROR(VLOOKUP($G675,Conf!$O:$Q,3,0),IFERROR(VLOOKUP($G675,Conf!$E:$F,2,0),VLOOKUP($S675,Conf!$K:$M,3,0))))</f>
        <v>AUXILIAR</v>
      </c>
      <c r="D675" s="72" t="str">
        <f ca="1">IFERROR(IF(TODAY()-K675&gt;365,"Inativo",IF(J675=2,"Férias",IF(J675=7,"Demitido","Afastamento"))),VLOOKUP(J675,Conf!$H:$I,2,0))</f>
        <v>Ativos</v>
      </c>
      <c r="E675" s="187">
        <v>8</v>
      </c>
      <c r="F675" s="187">
        <v>370</v>
      </c>
      <c r="G675" t="s">
        <v>1490</v>
      </c>
      <c r="H675" s="71"/>
      <c r="I675" t="s">
        <v>265</v>
      </c>
      <c r="J675" s="187">
        <v>1</v>
      </c>
      <c r="K675" t="s">
        <v>1385</v>
      </c>
      <c r="L675" s="185"/>
      <c r="M675" s="188">
        <v>46252</v>
      </c>
      <c r="N675" s="71"/>
      <c r="Q675" s="71"/>
      <c r="R675" s="71"/>
      <c r="S675" t="s">
        <v>1309</v>
      </c>
      <c r="T675" s="71"/>
    </row>
    <row r="676" spans="1:20" x14ac:dyDescent="0.3">
      <c r="A676" s="72">
        <f>IFERROR(VLOOKUP($G676,Conf!$B:$C,2,0),E676)</f>
        <v>8</v>
      </c>
      <c r="B676" s="72" t="str">
        <f ca="1">IF(D676="Inativo","Inativo",IFERROR(VLOOKUP($G676,Conf!$O:$Q,2,0),VLOOKUP($S676,Conf!$K:$M,2,0)))</f>
        <v>DEPOSITO</v>
      </c>
      <c r="C676" s="72" t="str">
        <f ca="1">IF(D676="Inativo","Inativo",IFERROR(VLOOKUP($G676,Conf!$O:$Q,3,0),IFERROR(VLOOKUP($G676,Conf!$E:$F,2,0),VLOOKUP($S676,Conf!$K:$M,3,0))))</f>
        <v>AUXILIAR</v>
      </c>
      <c r="D676" s="72" t="str">
        <f ca="1">IFERROR(IF(TODAY()-K676&gt;365,"Inativo",IF(J676=2,"Férias",IF(J676=7,"Demitido","Afastamento"))),VLOOKUP(J676,Conf!$H:$I,2,0))</f>
        <v>Ativos</v>
      </c>
      <c r="E676" s="187">
        <v>8</v>
      </c>
      <c r="F676" s="187">
        <v>378</v>
      </c>
      <c r="G676" t="s">
        <v>1597</v>
      </c>
      <c r="H676" s="71"/>
      <c r="I676" t="s">
        <v>296</v>
      </c>
      <c r="J676" s="187">
        <v>1</v>
      </c>
      <c r="K676" t="s">
        <v>1385</v>
      </c>
      <c r="L676" s="185"/>
      <c r="M676" s="188">
        <v>46289</v>
      </c>
      <c r="N676" s="71"/>
      <c r="Q676" s="71"/>
      <c r="R676" s="71"/>
      <c r="S676" t="s">
        <v>1309</v>
      </c>
      <c r="T676" s="71"/>
    </row>
    <row r="677" spans="1:20" x14ac:dyDescent="0.3">
      <c r="A677" s="72">
        <f>IFERROR(VLOOKUP($G677,Conf!$B:$C,2,0),E677)</f>
        <v>8</v>
      </c>
      <c r="B677" s="72" t="str">
        <f ca="1">IF(D677="Inativo","Inativo",IFERROR(VLOOKUP($G677,Conf!$O:$Q,2,0),VLOOKUP($S677,Conf!$K:$M,2,0)))</f>
        <v>DEPOSITO</v>
      </c>
      <c r="C677" s="72" t="str">
        <f ca="1">IF(D677="Inativo","Inativo",IFERROR(VLOOKUP($G677,Conf!$O:$Q,3,0),IFERROR(VLOOKUP($G677,Conf!$E:$F,2,0),VLOOKUP($S677,Conf!$K:$M,3,0))))</f>
        <v>ENCARREGADO</v>
      </c>
      <c r="D677" s="72" t="str">
        <f ca="1">IFERROR(IF(TODAY()-K677&gt;365,"Inativo",IF(J677=2,"Férias",IF(J677=7,"Demitido","Afastamento"))),VLOOKUP(J677,Conf!$H:$I,2,0))</f>
        <v>Ativos</v>
      </c>
      <c r="E677" s="187">
        <v>8</v>
      </c>
      <c r="F677" s="187">
        <v>283</v>
      </c>
      <c r="G677" t="s">
        <v>951</v>
      </c>
      <c r="H677" s="71"/>
      <c r="I677" t="s">
        <v>357</v>
      </c>
      <c r="J677" s="187">
        <v>1</v>
      </c>
      <c r="K677" t="s">
        <v>1385</v>
      </c>
      <c r="L677" s="185"/>
      <c r="M677" s="188">
        <v>45917</v>
      </c>
      <c r="N677" s="71"/>
      <c r="O677" s="71"/>
      <c r="P677" s="71"/>
      <c r="Q677" s="71"/>
      <c r="R677" s="71"/>
      <c r="S677" t="s">
        <v>952</v>
      </c>
      <c r="T677" s="71"/>
    </row>
    <row r="678" spans="1:20" x14ac:dyDescent="0.3">
      <c r="A678" s="72">
        <f>IFERROR(VLOOKUP($G678,Conf!$B:$C,2,0),E678)</f>
        <v>8</v>
      </c>
      <c r="B678" s="72" t="str">
        <f ca="1">IF(D678="Inativo","Inativo",IFERROR(VLOOKUP($G678,Conf!$O:$Q,2,0),VLOOKUP($S678,Conf!$K:$M,2,0)))</f>
        <v>DEPOSITO</v>
      </c>
      <c r="C678" s="72" t="str">
        <f ca="1">IF(D678="Inativo","Inativo",IFERROR(VLOOKUP($G678,Conf!$O:$Q,3,0),IFERROR(VLOOKUP($G678,Conf!$E:$F,2,0),VLOOKUP($S678,Conf!$K:$M,3,0))))</f>
        <v>ENCARREGADO</v>
      </c>
      <c r="D678" s="72" t="str">
        <f ca="1">IFERROR(IF(TODAY()-K678&gt;365,"Inativo",IF(J678=2,"Férias",IF(J678=7,"Demitido","Afastamento"))),VLOOKUP(J678,Conf!$H:$I,2,0))</f>
        <v>Ativos</v>
      </c>
      <c r="E678" s="187">
        <v>8</v>
      </c>
      <c r="F678" s="187">
        <v>222</v>
      </c>
      <c r="G678" t="s">
        <v>953</v>
      </c>
      <c r="H678" s="71"/>
      <c r="I678" t="s">
        <v>357</v>
      </c>
      <c r="J678" s="187">
        <v>1</v>
      </c>
      <c r="K678" t="s">
        <v>1385</v>
      </c>
      <c r="L678" s="185"/>
      <c r="M678" s="188">
        <v>45670</v>
      </c>
      <c r="N678" s="71"/>
      <c r="Q678" s="71"/>
      <c r="R678" s="71"/>
      <c r="S678" t="s">
        <v>952</v>
      </c>
      <c r="T678" s="71"/>
    </row>
    <row r="679" spans="1:20" x14ac:dyDescent="0.3">
      <c r="A679" s="72">
        <f>IFERROR(VLOOKUP($G679,Conf!$B:$C,2,0),E679)</f>
        <v>8</v>
      </c>
      <c r="B679" s="72" t="str">
        <f ca="1">IF(D679="Inativo","Inativo",IFERROR(VLOOKUP($G679,Conf!$O:$Q,2,0),VLOOKUP($S679,Conf!$K:$M,2,0)))</f>
        <v>FRENTE DE CAIXA</v>
      </c>
      <c r="C679" s="72" t="str">
        <f ca="1">IF(D679="Inativo","Inativo",IFERROR(VLOOKUP($G679,Conf!$O:$Q,3,0),IFERROR(VLOOKUP($G679,Conf!$E:$F,2,0),VLOOKUP($S679,Conf!$K:$M,3,0))))</f>
        <v>E-COMMERCE</v>
      </c>
      <c r="D679" s="72" t="str">
        <f ca="1">IFERROR(IF(TODAY()-K679&gt;365,"Inativo",IF(J679=2,"Férias",IF(J679=7,"Demitido","Afastamento"))),VLOOKUP(J679,Conf!$H:$I,2,0))</f>
        <v>Ativos</v>
      </c>
      <c r="E679" s="187">
        <v>8</v>
      </c>
      <c r="F679" s="187">
        <v>2014</v>
      </c>
      <c r="G679" t="s">
        <v>911</v>
      </c>
      <c r="H679" s="71"/>
      <c r="I679" t="s">
        <v>220</v>
      </c>
      <c r="J679" s="187">
        <v>1</v>
      </c>
      <c r="K679" t="s">
        <v>1385</v>
      </c>
      <c r="L679" s="185"/>
      <c r="M679" s="188">
        <v>45194</v>
      </c>
      <c r="N679" s="71"/>
      <c r="Q679" s="71"/>
      <c r="R679" s="71"/>
      <c r="S679" t="s">
        <v>735</v>
      </c>
      <c r="T679" s="71"/>
    </row>
    <row r="680" spans="1:20" x14ac:dyDescent="0.3">
      <c r="A680" s="72">
        <f>IFERROR(VLOOKUP($G680,Conf!$B:$C,2,0),E680)</f>
        <v>8</v>
      </c>
      <c r="B680" s="72" t="str">
        <f ca="1">IF(D680="Inativo","Inativo",IFERROR(VLOOKUP($G680,Conf!$O:$Q,2,0),VLOOKUP($S680,Conf!$K:$M,2,0)))</f>
        <v>FRENTE DE CAIXA</v>
      </c>
      <c r="C680" s="72" t="str">
        <f ca="1">IF(D680="Inativo","Inativo",IFERROR(VLOOKUP($G680,Conf!$O:$Q,3,0),IFERROR(VLOOKUP($G680,Conf!$E:$F,2,0),VLOOKUP($S680,Conf!$K:$M,3,0))))</f>
        <v>EMPACOTADOR</v>
      </c>
      <c r="D680" s="72" t="str">
        <f ca="1">IFERROR(IF(TODAY()-K680&gt;365,"Inativo",IF(J680=2,"Férias",IF(J680=7,"Demitido","Afastamento"))),VLOOKUP(J680,Conf!$H:$I,2,0))</f>
        <v>Férias</v>
      </c>
      <c r="E680" s="187">
        <v>8</v>
      </c>
      <c r="F680" s="187">
        <v>205</v>
      </c>
      <c r="G680" t="s">
        <v>903</v>
      </c>
      <c r="H680" s="71"/>
      <c r="I680" t="s">
        <v>357</v>
      </c>
      <c r="J680" s="187">
        <v>2</v>
      </c>
      <c r="K680" t="s">
        <v>1640</v>
      </c>
      <c r="L680" s="185"/>
      <c r="M680" s="188">
        <v>45547</v>
      </c>
      <c r="N680" s="71"/>
      <c r="Q680" s="71"/>
      <c r="R680" s="71"/>
      <c r="S680" t="s">
        <v>904</v>
      </c>
      <c r="T680" s="71"/>
    </row>
    <row r="681" spans="1:20" x14ac:dyDescent="0.3">
      <c r="A681" s="72">
        <f>IFERROR(VLOOKUP($G681,Conf!$B:$C,2,0),E681)</f>
        <v>8</v>
      </c>
      <c r="B681" s="72" t="str">
        <f ca="1">IF(D681="Inativo","Inativo",IFERROR(VLOOKUP($G681,Conf!$O:$Q,2,0),VLOOKUP($S681,Conf!$K:$M,2,0)))</f>
        <v>FRENTE DE CAIXA</v>
      </c>
      <c r="C681" s="72" t="str">
        <f ca="1">IF(D681="Inativo","Inativo",IFERROR(VLOOKUP($G681,Conf!$O:$Q,3,0),IFERROR(VLOOKUP($G681,Conf!$E:$F,2,0),VLOOKUP($S681,Conf!$K:$M,3,0))))</f>
        <v>EMPACOTADOR</v>
      </c>
      <c r="D681" s="72" t="str">
        <f ca="1">IFERROR(IF(TODAY()-K681&gt;365,"Inativo",IF(J681=2,"Férias",IF(J681=7,"Demitido","Afastamento"))),VLOOKUP(J681,Conf!$H:$I,2,0))</f>
        <v>Afastamento</v>
      </c>
      <c r="E681" s="187">
        <v>8</v>
      </c>
      <c r="F681" s="187">
        <v>2409</v>
      </c>
      <c r="G681" t="s">
        <v>905</v>
      </c>
      <c r="H681" s="71"/>
      <c r="I681" t="s">
        <v>357</v>
      </c>
      <c r="J681" s="187">
        <v>4</v>
      </c>
      <c r="K681" t="s">
        <v>1639</v>
      </c>
      <c r="L681" s="185"/>
      <c r="M681" s="188">
        <v>46100</v>
      </c>
      <c r="N681" s="71"/>
      <c r="Q681" s="71"/>
      <c r="R681" s="71"/>
      <c r="S681" t="s">
        <v>266</v>
      </c>
      <c r="T681" s="71"/>
    </row>
    <row r="682" spans="1:20" x14ac:dyDescent="0.3">
      <c r="A682" s="72">
        <f>IFERROR(VLOOKUP($G682,Conf!$B:$C,2,0),E682)</f>
        <v>8</v>
      </c>
      <c r="B682" s="72" t="str">
        <f ca="1">IF(D682="Inativo","Inativo",IFERROR(VLOOKUP($G682,Conf!$O:$Q,2,0),VLOOKUP($S682,Conf!$K:$M,2,0)))</f>
        <v>FRENTE DE CAIXA</v>
      </c>
      <c r="C682" s="72" t="str">
        <f ca="1">IF(D682="Inativo","Inativo",IFERROR(VLOOKUP($G682,Conf!$O:$Q,3,0),IFERROR(VLOOKUP($G682,Conf!$E:$F,2,0),VLOOKUP($S682,Conf!$K:$M,3,0))))</f>
        <v>EMPACOTADOR</v>
      </c>
      <c r="D682" s="72" t="str">
        <f ca="1">IFERROR(IF(TODAY()-K682&gt;365,"Inativo",IF(J682=2,"Férias",IF(J682=7,"Demitido","Afastamento"))),VLOOKUP(J682,Conf!$H:$I,2,0))</f>
        <v>Ativos</v>
      </c>
      <c r="E682" s="187">
        <v>8</v>
      </c>
      <c r="F682" s="187">
        <v>2461</v>
      </c>
      <c r="G682" t="s">
        <v>1573</v>
      </c>
      <c r="H682" s="71"/>
      <c r="I682" t="s">
        <v>357</v>
      </c>
      <c r="J682" s="187">
        <v>1</v>
      </c>
      <c r="K682" t="s">
        <v>1385</v>
      </c>
      <c r="L682" s="185"/>
      <c r="M682" s="188">
        <v>46281</v>
      </c>
      <c r="N682" s="71"/>
      <c r="O682" s="71"/>
      <c r="P682" s="71"/>
      <c r="Q682" s="71"/>
      <c r="R682" s="71"/>
      <c r="S682" t="s">
        <v>266</v>
      </c>
      <c r="T682" s="71"/>
    </row>
    <row r="683" spans="1:20" x14ac:dyDescent="0.3">
      <c r="A683" s="72">
        <f>IFERROR(VLOOKUP($G683,Conf!$B:$C,2,0),E683)</f>
        <v>8</v>
      </c>
      <c r="B683" s="72" t="str">
        <f ca="1">IF(D683="Inativo","Inativo",IFERROR(VLOOKUP($G683,Conf!$O:$Q,2,0),VLOOKUP($S683,Conf!$K:$M,2,0)))</f>
        <v>FRENTE DE CAIXA</v>
      </c>
      <c r="C683" s="72" t="str">
        <f ca="1">IF(D683="Inativo","Inativo",IFERROR(VLOOKUP($G683,Conf!$O:$Q,3,0),IFERROR(VLOOKUP($G683,Conf!$E:$F,2,0),VLOOKUP($S683,Conf!$K:$M,3,0))))</f>
        <v>EMPACOTADOR</v>
      </c>
      <c r="D683" s="72" t="str">
        <f ca="1">IFERROR(IF(TODAY()-K683&gt;365,"Inativo",IF(J683=2,"Férias",IF(J683=7,"Demitido","Afastamento"))),VLOOKUP(J683,Conf!$H:$I,2,0))</f>
        <v>Ativos</v>
      </c>
      <c r="E683" s="187">
        <v>8</v>
      </c>
      <c r="F683" s="187">
        <v>1981</v>
      </c>
      <c r="G683" t="s">
        <v>906</v>
      </c>
      <c r="H683" s="71"/>
      <c r="I683" t="s">
        <v>233</v>
      </c>
      <c r="J683" s="187">
        <v>1</v>
      </c>
      <c r="K683" t="s">
        <v>1385</v>
      </c>
      <c r="L683" s="185"/>
      <c r="M683" s="188">
        <v>45040</v>
      </c>
      <c r="N683" s="71"/>
      <c r="O683" s="71"/>
      <c r="P683" s="71"/>
      <c r="Q683" s="71"/>
      <c r="R683" s="71"/>
      <c r="S683" t="s">
        <v>266</v>
      </c>
      <c r="T683" s="71"/>
    </row>
    <row r="684" spans="1:20" x14ac:dyDescent="0.3">
      <c r="A684" s="72">
        <f>IFERROR(VLOOKUP($G684,Conf!$B:$C,2,0),E684)</f>
        <v>8</v>
      </c>
      <c r="B684" s="72" t="str">
        <f ca="1">IF(D684="Inativo","Inativo",IFERROR(VLOOKUP($G684,Conf!$O:$Q,2,0),VLOOKUP($S684,Conf!$K:$M,2,0)))</f>
        <v>FRENTE DE CAIXA</v>
      </c>
      <c r="C684" s="72" t="str">
        <f ca="1">IF(D684="Inativo","Inativo",IFERROR(VLOOKUP($G684,Conf!$O:$Q,3,0),IFERROR(VLOOKUP($G684,Conf!$E:$F,2,0),VLOOKUP($S684,Conf!$K:$M,3,0))))</f>
        <v>ENCARREGADO</v>
      </c>
      <c r="D684" s="72" t="str">
        <f ca="1">IFERROR(IF(TODAY()-K684&gt;365,"Inativo",IF(J684=2,"Férias",IF(J684=7,"Demitido","Afastamento"))),VLOOKUP(J684,Conf!$H:$I,2,0))</f>
        <v>Ativos</v>
      </c>
      <c r="E684" s="187">
        <v>8</v>
      </c>
      <c r="F684" s="187">
        <v>2300</v>
      </c>
      <c r="G684" t="s">
        <v>907</v>
      </c>
      <c r="H684" s="71"/>
      <c r="I684" t="s">
        <v>220</v>
      </c>
      <c r="J684" s="187">
        <v>1</v>
      </c>
      <c r="K684" t="s">
        <v>1385</v>
      </c>
      <c r="L684" s="185"/>
      <c r="M684" s="188">
        <v>45875</v>
      </c>
      <c r="N684" s="71"/>
      <c r="Q684" s="71"/>
      <c r="R684" s="71"/>
      <c r="S684" t="s">
        <v>410</v>
      </c>
      <c r="T684" s="71"/>
    </row>
    <row r="685" spans="1:20" x14ac:dyDescent="0.3">
      <c r="A685" s="72">
        <f>IFERROR(VLOOKUP($G685,Conf!$B:$C,2,0),E685)</f>
        <v>8</v>
      </c>
      <c r="B685" s="72" t="str">
        <f ca="1">IF(D685="Inativo","Inativo",IFERROR(VLOOKUP($G685,Conf!$O:$Q,2,0),VLOOKUP($S685,Conf!$K:$M,2,0)))</f>
        <v>FRENTE DE CAIXA</v>
      </c>
      <c r="C685" s="72" t="str">
        <f ca="1">IF(D685="Inativo","Inativo",IFERROR(VLOOKUP($G685,Conf!$O:$Q,3,0),IFERROR(VLOOKUP($G685,Conf!$E:$F,2,0),VLOOKUP($S685,Conf!$K:$M,3,0))))</f>
        <v>FISCAL DE CAIXA</v>
      </c>
      <c r="D685" s="72" t="str">
        <f ca="1">IFERROR(IF(TODAY()-K685&gt;365,"Inativo",IF(J685=2,"Férias",IF(J685=7,"Demitido","Afastamento"))),VLOOKUP(J685,Conf!$H:$I,2,0))</f>
        <v>Ativos</v>
      </c>
      <c r="E685" s="187">
        <v>8</v>
      </c>
      <c r="F685" s="187">
        <v>1851</v>
      </c>
      <c r="G685" t="s">
        <v>908</v>
      </c>
      <c r="H685" s="71"/>
      <c r="I685" t="s">
        <v>357</v>
      </c>
      <c r="J685" s="187">
        <v>1</v>
      </c>
      <c r="K685" t="s">
        <v>1385</v>
      </c>
      <c r="L685" s="185"/>
      <c r="M685" s="188">
        <v>44691</v>
      </c>
      <c r="N685" s="71"/>
      <c r="Q685" s="71"/>
      <c r="R685" s="71"/>
      <c r="S685" t="s">
        <v>278</v>
      </c>
      <c r="T685" s="71"/>
    </row>
    <row r="686" spans="1:20" x14ac:dyDescent="0.3">
      <c r="A686" s="72">
        <f>IFERROR(VLOOKUP($G686,Conf!$B:$C,2,0),E686)</f>
        <v>8</v>
      </c>
      <c r="B686" s="72" t="str">
        <f ca="1">IF(D686="Inativo","Inativo",IFERROR(VLOOKUP($G686,Conf!$O:$Q,2,0),VLOOKUP($S686,Conf!$K:$M,2,0)))</f>
        <v>FRENTE DE CAIXA</v>
      </c>
      <c r="C686" s="72" t="str">
        <f ca="1">IF(D686="Inativo","Inativo",IFERROR(VLOOKUP($G686,Conf!$O:$Q,3,0),IFERROR(VLOOKUP($G686,Conf!$E:$F,2,0),VLOOKUP($S686,Conf!$K:$M,3,0))))</f>
        <v>FISCAL DE CAIXA</v>
      </c>
      <c r="D686" s="72" t="str">
        <f ca="1">IFERROR(IF(TODAY()-K686&gt;365,"Inativo",IF(J686=2,"Férias",IF(J686=7,"Demitido","Afastamento"))),VLOOKUP(J686,Conf!$H:$I,2,0))</f>
        <v>Ativos</v>
      </c>
      <c r="E686" s="187">
        <v>8</v>
      </c>
      <c r="F686" s="187">
        <v>2415</v>
      </c>
      <c r="G686" t="s">
        <v>909</v>
      </c>
      <c r="H686" s="71"/>
      <c r="I686" t="s">
        <v>357</v>
      </c>
      <c r="J686" s="187">
        <v>1</v>
      </c>
      <c r="K686" t="s">
        <v>1385</v>
      </c>
      <c r="L686" s="185"/>
      <c r="M686" s="188">
        <v>46113</v>
      </c>
      <c r="N686" s="71"/>
      <c r="Q686" s="71"/>
      <c r="R686" s="71"/>
      <c r="S686" t="s">
        <v>278</v>
      </c>
      <c r="T686" s="71"/>
    </row>
    <row r="687" spans="1:20" x14ac:dyDescent="0.3">
      <c r="A687" s="72">
        <f>IFERROR(VLOOKUP($G687,Conf!$B:$C,2,0),E687)</f>
        <v>8</v>
      </c>
      <c r="B687" s="72" t="str">
        <f ca="1">IF(D687="Inativo","Inativo",IFERROR(VLOOKUP($G687,Conf!$O:$Q,2,0),VLOOKUP($S687,Conf!$K:$M,2,0)))</f>
        <v>FRENTE DE CAIXA</v>
      </c>
      <c r="C687" s="72" t="str">
        <f ca="1">IF(D687="Inativo","Inativo",IFERROR(VLOOKUP($G687,Conf!$O:$Q,3,0),IFERROR(VLOOKUP($G687,Conf!$E:$F,2,0),VLOOKUP($S687,Conf!$K:$M,3,0))))</f>
        <v>FISCAL DE CAIXA</v>
      </c>
      <c r="D687" s="72" t="str">
        <f ca="1">IFERROR(IF(TODAY()-K687&gt;365,"Inativo",IF(J687=2,"Férias",IF(J687=7,"Demitido","Afastamento"))),VLOOKUP(J687,Conf!$H:$I,2,0))</f>
        <v>Demitido</v>
      </c>
      <c r="E687" s="187">
        <v>8</v>
      </c>
      <c r="F687" s="187">
        <v>2451</v>
      </c>
      <c r="G687" t="s">
        <v>1469</v>
      </c>
      <c r="H687" s="71"/>
      <c r="I687" t="s">
        <v>357</v>
      </c>
      <c r="J687" s="187">
        <v>7</v>
      </c>
      <c r="K687" t="s">
        <v>1659</v>
      </c>
      <c r="L687" s="185"/>
      <c r="M687" s="188">
        <v>46247</v>
      </c>
      <c r="N687" s="71"/>
      <c r="Q687" s="71"/>
      <c r="R687" s="71"/>
      <c r="S687" t="s">
        <v>278</v>
      </c>
      <c r="T687" s="71"/>
    </row>
    <row r="688" spans="1:20" x14ac:dyDescent="0.3">
      <c r="A688" s="72">
        <f>IFERROR(VLOOKUP($G688,Conf!$B:$C,2,0),E688)</f>
        <v>8</v>
      </c>
      <c r="B688" s="72" t="str">
        <f ca="1">IF(D688="Inativo","Inativo",IFERROR(VLOOKUP($G688,Conf!$O:$Q,2,0),VLOOKUP($S688,Conf!$K:$M,2,0)))</f>
        <v>FRENTE DE CAIXA</v>
      </c>
      <c r="C688" s="72" t="str">
        <f ca="1">IF(D688="Inativo","Inativo",IFERROR(VLOOKUP($G688,Conf!$O:$Q,3,0),IFERROR(VLOOKUP($G688,Conf!$E:$F,2,0),VLOOKUP($S688,Conf!$K:$M,3,0))))</f>
        <v>FISCAL DE CAIXA</v>
      </c>
      <c r="D688" s="72" t="str">
        <f ca="1">IFERROR(IF(TODAY()-K688&gt;365,"Inativo",IF(J688=2,"Férias",IF(J688=7,"Demitido","Afastamento"))),VLOOKUP(J688,Conf!$H:$I,2,0))</f>
        <v>Ativos</v>
      </c>
      <c r="E688" s="187">
        <v>8</v>
      </c>
      <c r="F688" s="187">
        <v>2459</v>
      </c>
      <c r="G688" t="s">
        <v>1563</v>
      </c>
      <c r="H688" s="71"/>
      <c r="I688" t="s">
        <v>247</v>
      </c>
      <c r="J688" s="187">
        <v>1</v>
      </c>
      <c r="K688" t="s">
        <v>1385</v>
      </c>
      <c r="L688" s="185"/>
      <c r="M688" s="188">
        <v>46279</v>
      </c>
      <c r="N688" s="71"/>
      <c r="O688" s="71"/>
      <c r="P688" s="71"/>
      <c r="Q688" s="71"/>
      <c r="R688" s="71"/>
      <c r="S688" t="s">
        <v>278</v>
      </c>
      <c r="T688" s="71"/>
    </row>
    <row r="689" spans="1:20" x14ac:dyDescent="0.3">
      <c r="A689" s="72">
        <f>IFERROR(VLOOKUP($G689,Conf!$B:$C,2,0),E689)</f>
        <v>8</v>
      </c>
      <c r="B689" s="72" t="str">
        <f ca="1">IF(D689="Inativo","Inativo",IFERROR(VLOOKUP($G689,Conf!$O:$Q,2,0),VLOOKUP($S689,Conf!$K:$M,2,0)))</f>
        <v>FRENTE DE CAIXA</v>
      </c>
      <c r="C689" s="72" t="str">
        <f ca="1">IF(D689="Inativo","Inativo",IFERROR(VLOOKUP($G689,Conf!$O:$Q,3,0),IFERROR(VLOOKUP($G689,Conf!$E:$F,2,0),VLOOKUP($S689,Conf!$K:$M,3,0))))</f>
        <v>FISCAL DE CAIXA</v>
      </c>
      <c r="D689" s="72" t="str">
        <f ca="1">IFERROR(IF(TODAY()-K689&gt;365,"Inativo",IF(J689=2,"Férias",IF(J689=7,"Demitido","Afastamento"))),VLOOKUP(J689,Conf!$H:$I,2,0))</f>
        <v>Ativos</v>
      </c>
      <c r="E689" s="187">
        <v>8</v>
      </c>
      <c r="F689" s="187">
        <v>2303</v>
      </c>
      <c r="G689" t="s">
        <v>910</v>
      </c>
      <c r="H689" s="71"/>
      <c r="I689" t="s">
        <v>357</v>
      </c>
      <c r="J689" s="187">
        <v>1</v>
      </c>
      <c r="K689" t="s">
        <v>1385</v>
      </c>
      <c r="L689" s="185"/>
      <c r="M689" s="188">
        <v>45882</v>
      </c>
      <c r="N689" s="71"/>
      <c r="Q689" s="71"/>
      <c r="R689" s="71"/>
      <c r="S689" t="s">
        <v>278</v>
      </c>
      <c r="T689" s="71"/>
    </row>
    <row r="690" spans="1:20" x14ac:dyDescent="0.3">
      <c r="A690" s="72">
        <f>IFERROR(VLOOKUP($G690,Conf!$B:$C,2,0),E690)</f>
        <v>8</v>
      </c>
      <c r="B690" s="72" t="str">
        <f ca="1">IF(D690="Inativo","Inativo",IFERROR(VLOOKUP($G690,Conf!$O:$Q,2,0),VLOOKUP($S690,Conf!$K:$M,2,0)))</f>
        <v>FRENTE DE CAIXA</v>
      </c>
      <c r="C690" s="72" t="str">
        <f ca="1">IF(D690="Inativo","Inativo",IFERROR(VLOOKUP($G690,Conf!$O:$Q,3,0),IFERROR(VLOOKUP($G690,Conf!$E:$F,2,0),VLOOKUP($S690,Conf!$K:$M,3,0))))</f>
        <v>OPERADOR CAIXA</v>
      </c>
      <c r="D690" s="72" t="str">
        <f ca="1">IFERROR(IF(TODAY()-K690&gt;365,"Inativo",IF(J690=2,"Férias",IF(J690=7,"Demitido","Afastamento"))),VLOOKUP(J690,Conf!$H:$I,2,0))</f>
        <v>Ativos</v>
      </c>
      <c r="E690" s="187">
        <v>8</v>
      </c>
      <c r="F690" s="187">
        <v>2237</v>
      </c>
      <c r="G690" t="s">
        <v>912</v>
      </c>
      <c r="H690" s="71"/>
      <c r="I690" t="s">
        <v>357</v>
      </c>
      <c r="J690" s="187">
        <v>1</v>
      </c>
      <c r="K690" t="s">
        <v>1385</v>
      </c>
      <c r="L690" s="185"/>
      <c r="M690" s="188">
        <v>45737</v>
      </c>
      <c r="N690" s="71"/>
      <c r="O690" s="71"/>
      <c r="P690" s="71"/>
      <c r="Q690" s="71"/>
      <c r="R690" s="71"/>
      <c r="S690" t="s">
        <v>284</v>
      </c>
      <c r="T690" s="71"/>
    </row>
    <row r="691" spans="1:20" x14ac:dyDescent="0.3">
      <c r="A691" s="72">
        <f>IFERROR(VLOOKUP($G691,Conf!$B:$C,2,0),E691)</f>
        <v>8</v>
      </c>
      <c r="B691" s="72" t="str">
        <f ca="1">IF(D691="Inativo","Inativo",IFERROR(VLOOKUP($G691,Conf!$O:$Q,2,0),VLOOKUP($S691,Conf!$K:$M,2,0)))</f>
        <v>FRENTE DE CAIXA</v>
      </c>
      <c r="C691" s="72" t="str">
        <f ca="1">IF(D691="Inativo","Inativo",IFERROR(VLOOKUP($G691,Conf!$O:$Q,3,0),IFERROR(VLOOKUP($G691,Conf!$E:$F,2,0),VLOOKUP($S691,Conf!$K:$M,3,0))))</f>
        <v>OPERADOR CAIXA</v>
      </c>
      <c r="D691" s="72" t="str">
        <f ca="1">IFERROR(IF(TODAY()-K691&gt;365,"Inativo",IF(J691=2,"Férias",IF(J691=7,"Demitido","Afastamento"))),VLOOKUP(J691,Conf!$H:$I,2,0))</f>
        <v>Ativos</v>
      </c>
      <c r="E691" s="187">
        <v>8</v>
      </c>
      <c r="F691" s="187">
        <v>2265</v>
      </c>
      <c r="G691" t="s">
        <v>913</v>
      </c>
      <c r="H691" s="71"/>
      <c r="I691" t="s">
        <v>357</v>
      </c>
      <c r="J691" s="187">
        <v>1</v>
      </c>
      <c r="K691" t="s">
        <v>1385</v>
      </c>
      <c r="L691" s="185"/>
      <c r="M691" s="188">
        <v>45791</v>
      </c>
      <c r="N691" s="71"/>
      <c r="O691" s="71"/>
      <c r="P691" s="71"/>
      <c r="Q691" s="71"/>
      <c r="R691" s="71"/>
      <c r="S691" t="s">
        <v>284</v>
      </c>
      <c r="T691" s="71"/>
    </row>
    <row r="692" spans="1:20" x14ac:dyDescent="0.3">
      <c r="A692" s="72">
        <f>IFERROR(VLOOKUP($G692,Conf!$B:$C,2,0),E692)</f>
        <v>8</v>
      </c>
      <c r="B692" s="72" t="str">
        <f ca="1">IF(D692="Inativo","Inativo",IFERROR(VLOOKUP($G692,Conf!$O:$Q,2,0),VLOOKUP($S692,Conf!$K:$M,2,0)))</f>
        <v>FRENTE DE CAIXA</v>
      </c>
      <c r="C692" s="72" t="str">
        <f ca="1">IF(D692="Inativo","Inativo",IFERROR(VLOOKUP($G692,Conf!$O:$Q,3,0),IFERROR(VLOOKUP($G692,Conf!$E:$F,2,0),VLOOKUP($S692,Conf!$K:$M,3,0))))</f>
        <v>OPERADOR CAIXA</v>
      </c>
      <c r="D692" s="72" t="str">
        <f ca="1">IFERROR(IF(TODAY()-K692&gt;365,"Inativo",IF(J692=2,"Férias",IF(J692=7,"Demitido","Afastamento"))),VLOOKUP(J692,Conf!$H:$I,2,0))</f>
        <v>Ativos</v>
      </c>
      <c r="E692" s="187">
        <v>8</v>
      </c>
      <c r="F692" s="187">
        <v>2295</v>
      </c>
      <c r="G692" t="s">
        <v>914</v>
      </c>
      <c r="H692" s="71"/>
      <c r="I692" t="s">
        <v>357</v>
      </c>
      <c r="J692" s="187">
        <v>1</v>
      </c>
      <c r="K692" t="s">
        <v>1385</v>
      </c>
      <c r="L692" s="185"/>
      <c r="M692" s="188">
        <v>45847</v>
      </c>
      <c r="N692" s="71"/>
      <c r="Q692" s="71"/>
      <c r="R692" s="71"/>
      <c r="S692" t="s">
        <v>284</v>
      </c>
      <c r="T692" s="71"/>
    </row>
    <row r="693" spans="1:20" x14ac:dyDescent="0.3">
      <c r="A693" s="72">
        <f>IFERROR(VLOOKUP($G693,Conf!$B:$C,2,0),E693)</f>
        <v>8</v>
      </c>
      <c r="B693" s="72" t="str">
        <f ca="1">IF(D693="Inativo","Inativo",IFERROR(VLOOKUP($G693,Conf!$O:$Q,2,0),VLOOKUP($S693,Conf!$K:$M,2,0)))</f>
        <v>FRENTE DE CAIXA</v>
      </c>
      <c r="C693" s="72" t="str">
        <f ca="1">IF(D693="Inativo","Inativo",IFERROR(VLOOKUP($G693,Conf!$O:$Q,3,0),IFERROR(VLOOKUP($G693,Conf!$E:$F,2,0),VLOOKUP($S693,Conf!$K:$M,3,0))))</f>
        <v>OPERADOR CAIXA</v>
      </c>
      <c r="D693" s="72" t="str">
        <f ca="1">IFERROR(IF(TODAY()-K693&gt;365,"Inativo",IF(J693=2,"Férias",IF(J693=7,"Demitido","Afastamento"))),VLOOKUP(J693,Conf!$H:$I,2,0))</f>
        <v>Ativos</v>
      </c>
      <c r="E693" s="187">
        <v>8</v>
      </c>
      <c r="F693" s="187">
        <v>2465</v>
      </c>
      <c r="G693" t="s">
        <v>1636</v>
      </c>
      <c r="H693" s="71"/>
      <c r="I693" t="s">
        <v>357</v>
      </c>
      <c r="J693" s="187">
        <v>1</v>
      </c>
      <c r="K693" t="s">
        <v>1385</v>
      </c>
      <c r="L693" s="185"/>
      <c r="M693" s="188">
        <v>46297</v>
      </c>
      <c r="N693" s="71"/>
      <c r="Q693" s="71"/>
      <c r="R693" s="71"/>
      <c r="S693" t="s">
        <v>284</v>
      </c>
      <c r="T693" s="71"/>
    </row>
    <row r="694" spans="1:20" x14ac:dyDescent="0.3">
      <c r="A694" s="72">
        <f>IFERROR(VLOOKUP($G694,Conf!$B:$C,2,0),E694)</f>
        <v>8</v>
      </c>
      <c r="B694" s="72" t="str">
        <f ca="1">IF(D694="Inativo","Inativo",IFERROR(VLOOKUP($G694,Conf!$O:$Q,2,0),VLOOKUP($S694,Conf!$K:$M,2,0)))</f>
        <v>FRENTE DE CAIXA</v>
      </c>
      <c r="C694" s="72" t="str">
        <f ca="1">IF(D694="Inativo","Inativo",IFERROR(VLOOKUP($G694,Conf!$O:$Q,3,0),IFERROR(VLOOKUP($G694,Conf!$E:$F,2,0),VLOOKUP($S694,Conf!$K:$M,3,0))))</f>
        <v>OPERADOR CAIXA</v>
      </c>
      <c r="D694" s="72" t="str">
        <f ca="1">IFERROR(IF(TODAY()-K694&gt;365,"Inativo",IF(J694=2,"Férias",IF(J694=7,"Demitido","Afastamento"))),VLOOKUP(J694,Conf!$H:$I,2,0))</f>
        <v>Ativos</v>
      </c>
      <c r="E694" s="187">
        <v>8</v>
      </c>
      <c r="F694" s="187">
        <v>2420</v>
      </c>
      <c r="G694" t="s">
        <v>916</v>
      </c>
      <c r="H694" s="71"/>
      <c r="I694" t="s">
        <v>357</v>
      </c>
      <c r="J694" s="187">
        <v>1</v>
      </c>
      <c r="K694" t="s">
        <v>1385</v>
      </c>
      <c r="L694" s="185"/>
      <c r="M694" s="188">
        <v>46125</v>
      </c>
      <c r="N694" s="71"/>
      <c r="Q694" s="71"/>
      <c r="R694" s="71"/>
      <c r="S694" t="s">
        <v>284</v>
      </c>
      <c r="T694" s="71"/>
    </row>
    <row r="695" spans="1:20" x14ac:dyDescent="0.3">
      <c r="A695" s="72">
        <f>IFERROR(VLOOKUP($G695,Conf!$B:$C,2,0),E695)</f>
        <v>8</v>
      </c>
      <c r="B695" s="72" t="str">
        <f ca="1">IF(D695="Inativo","Inativo",IFERROR(VLOOKUP($G695,Conf!$O:$Q,2,0),VLOOKUP($S695,Conf!$K:$M,2,0)))</f>
        <v>FRENTE DE CAIXA</v>
      </c>
      <c r="C695" s="72" t="str">
        <f ca="1">IF(D695="Inativo","Inativo",IFERROR(VLOOKUP($G695,Conf!$O:$Q,3,0),IFERROR(VLOOKUP($G695,Conf!$E:$F,2,0),VLOOKUP($S695,Conf!$K:$M,3,0))))</f>
        <v>OPERADOR CAIXA</v>
      </c>
      <c r="D695" s="72" t="str">
        <f ca="1">IFERROR(IF(TODAY()-K695&gt;365,"Inativo",IF(J695=2,"Férias",IF(J695=7,"Demitido","Afastamento"))),VLOOKUP(J695,Conf!$H:$I,2,0))</f>
        <v>Demitido</v>
      </c>
      <c r="E695" s="187">
        <v>8</v>
      </c>
      <c r="F695" s="187">
        <v>2351</v>
      </c>
      <c r="G695" t="s">
        <v>917</v>
      </c>
      <c r="H695" s="71"/>
      <c r="I695" t="s">
        <v>357</v>
      </c>
      <c r="J695" s="187">
        <v>7</v>
      </c>
      <c r="K695" t="s">
        <v>1602</v>
      </c>
      <c r="L695" s="185"/>
      <c r="M695" s="188">
        <v>46036</v>
      </c>
      <c r="N695" s="71"/>
      <c r="O695" s="71"/>
      <c r="P695" s="71"/>
      <c r="Q695" s="71"/>
      <c r="R695" s="71"/>
      <c r="S695" t="s">
        <v>284</v>
      </c>
      <c r="T695" s="71"/>
    </row>
    <row r="696" spans="1:20" x14ac:dyDescent="0.3">
      <c r="A696" s="72">
        <f>IFERROR(VLOOKUP($G696,Conf!$B:$C,2,0),E696)</f>
        <v>8</v>
      </c>
      <c r="B696" s="72" t="str">
        <f ca="1">IF(D696="Inativo","Inativo",IFERROR(VLOOKUP($G696,Conf!$O:$Q,2,0),VLOOKUP($S696,Conf!$K:$M,2,0)))</f>
        <v>FRENTE DE CAIXA</v>
      </c>
      <c r="C696" s="72" t="str">
        <f ca="1">IF(D696="Inativo","Inativo",IFERROR(VLOOKUP($G696,Conf!$O:$Q,3,0),IFERROR(VLOOKUP($G696,Conf!$E:$F,2,0),VLOOKUP($S696,Conf!$K:$M,3,0))))</f>
        <v>OPERADOR CAIXA</v>
      </c>
      <c r="D696" s="72" t="str">
        <f ca="1">IFERROR(IF(TODAY()-K696&gt;365,"Inativo",IF(J696=2,"Férias",IF(J696=7,"Demitido","Afastamento"))),VLOOKUP(J696,Conf!$H:$I,2,0))</f>
        <v>Ativos</v>
      </c>
      <c r="E696" s="187">
        <v>8</v>
      </c>
      <c r="F696" s="187">
        <v>1805</v>
      </c>
      <c r="G696" t="s">
        <v>918</v>
      </c>
      <c r="H696" s="71"/>
      <c r="I696" t="s">
        <v>225</v>
      </c>
      <c r="J696" s="187">
        <v>1</v>
      </c>
      <c r="K696" t="s">
        <v>1385</v>
      </c>
      <c r="L696" s="185"/>
      <c r="M696" s="188">
        <v>44641</v>
      </c>
      <c r="N696" s="71"/>
      <c r="O696" s="71"/>
      <c r="P696" s="71"/>
      <c r="Q696" s="71"/>
      <c r="R696" s="71"/>
      <c r="S696" t="s">
        <v>284</v>
      </c>
      <c r="T696" s="71"/>
    </row>
    <row r="697" spans="1:20" x14ac:dyDescent="0.3">
      <c r="A697" s="72">
        <f>IFERROR(VLOOKUP($G697,Conf!$B:$C,2,0),E697)</f>
        <v>8</v>
      </c>
      <c r="B697" s="72" t="str">
        <f ca="1">IF(D697="Inativo","Inativo",IFERROR(VLOOKUP($G697,Conf!$O:$Q,2,0),VLOOKUP($S697,Conf!$K:$M,2,0)))</f>
        <v>FRENTE DE CAIXA</v>
      </c>
      <c r="C697" s="72" t="str">
        <f ca="1">IF(D697="Inativo","Inativo",IFERROR(VLOOKUP($G697,Conf!$O:$Q,3,0),IFERROR(VLOOKUP($G697,Conf!$E:$F,2,0),VLOOKUP($S697,Conf!$K:$M,3,0))))</f>
        <v>OPERADOR CAIXA</v>
      </c>
      <c r="D697" s="72" t="str">
        <f ca="1">IFERROR(IF(TODAY()-K697&gt;365,"Inativo",IF(J697=2,"Férias",IF(J697=7,"Demitido","Afastamento"))),VLOOKUP(J697,Conf!$H:$I,2,0))</f>
        <v>Ativos</v>
      </c>
      <c r="E697" s="187">
        <v>8</v>
      </c>
      <c r="F697" s="187">
        <v>2143</v>
      </c>
      <c r="G697" t="s">
        <v>919</v>
      </c>
      <c r="H697" s="71"/>
      <c r="I697" t="s">
        <v>225</v>
      </c>
      <c r="J697" s="187">
        <v>1</v>
      </c>
      <c r="K697" t="s">
        <v>1385</v>
      </c>
      <c r="L697" s="185"/>
      <c r="M697" s="188">
        <v>45547</v>
      </c>
      <c r="N697" s="71"/>
      <c r="Q697" s="71"/>
      <c r="R697" s="71"/>
      <c r="S697" t="s">
        <v>284</v>
      </c>
      <c r="T697" s="71"/>
    </row>
    <row r="698" spans="1:20" x14ac:dyDescent="0.3">
      <c r="A698" s="72">
        <f>IFERROR(VLOOKUP($G698,Conf!$B:$C,2,0),E698)</f>
        <v>8</v>
      </c>
      <c r="B698" s="72" t="str">
        <f ca="1">IF(D698="Inativo","Inativo",IFERROR(VLOOKUP($G698,Conf!$O:$Q,2,0),VLOOKUP($S698,Conf!$K:$M,2,0)))</f>
        <v>FRENTE DE CAIXA</v>
      </c>
      <c r="C698" s="72" t="str">
        <f ca="1">IF(D698="Inativo","Inativo",IFERROR(VLOOKUP($G698,Conf!$O:$Q,3,0),IFERROR(VLOOKUP($G698,Conf!$E:$F,2,0),VLOOKUP($S698,Conf!$K:$M,3,0))))</f>
        <v>OPERADOR CAIXA</v>
      </c>
      <c r="D698" s="72" t="str">
        <f ca="1">IFERROR(IF(TODAY()-K698&gt;365,"Inativo",IF(J698=2,"Férias",IF(J698=7,"Demitido","Afastamento"))),VLOOKUP(J698,Conf!$H:$I,2,0))</f>
        <v>Ativos</v>
      </c>
      <c r="E698" s="187">
        <v>8</v>
      </c>
      <c r="F698" s="187">
        <v>2170</v>
      </c>
      <c r="G698" t="s">
        <v>920</v>
      </c>
      <c r="H698" s="71"/>
      <c r="I698" t="s">
        <v>357</v>
      </c>
      <c r="J698" s="187">
        <v>1</v>
      </c>
      <c r="K698" t="s">
        <v>1385</v>
      </c>
      <c r="L698" s="185"/>
      <c r="M698" s="188">
        <v>45602</v>
      </c>
      <c r="N698" s="71"/>
      <c r="O698" s="71"/>
      <c r="P698" s="71"/>
      <c r="Q698" s="71"/>
      <c r="R698" s="71"/>
      <c r="S698" t="s">
        <v>284</v>
      </c>
      <c r="T698" s="71"/>
    </row>
    <row r="699" spans="1:20" x14ac:dyDescent="0.3">
      <c r="A699" s="72">
        <f>IFERROR(VLOOKUP($G699,Conf!$B:$C,2,0),E699)</f>
        <v>8</v>
      </c>
      <c r="B699" s="72" t="str">
        <f ca="1">IF(D699="Inativo","Inativo",IFERROR(VLOOKUP($G699,Conf!$O:$Q,2,0),VLOOKUP($S699,Conf!$K:$M,2,0)))</f>
        <v>FRENTE DE CAIXA</v>
      </c>
      <c r="C699" s="72" t="str">
        <f ca="1">IF(D699="Inativo","Inativo",IFERROR(VLOOKUP($G699,Conf!$O:$Q,3,0),IFERROR(VLOOKUP($G699,Conf!$E:$F,2,0),VLOOKUP($S699,Conf!$K:$M,3,0))))</f>
        <v>OPERADOR CAIXA</v>
      </c>
      <c r="D699" s="72" t="str">
        <f ca="1">IFERROR(IF(TODAY()-K699&gt;365,"Inativo",IF(J699=2,"Férias",IF(J699=7,"Demitido","Afastamento"))),VLOOKUP(J699,Conf!$H:$I,2,0))</f>
        <v>Férias</v>
      </c>
      <c r="E699" s="187">
        <v>8</v>
      </c>
      <c r="F699" s="187">
        <v>2012</v>
      </c>
      <c r="G699" t="s">
        <v>921</v>
      </c>
      <c r="H699" s="71"/>
      <c r="I699" t="s">
        <v>225</v>
      </c>
      <c r="J699" s="187">
        <v>2</v>
      </c>
      <c r="K699" t="s">
        <v>1640</v>
      </c>
      <c r="L699" s="185"/>
      <c r="M699" s="188">
        <v>45191</v>
      </c>
      <c r="N699" s="71"/>
      <c r="Q699" s="71"/>
      <c r="R699" s="71"/>
      <c r="S699" t="s">
        <v>284</v>
      </c>
      <c r="T699" s="71"/>
    </row>
    <row r="700" spans="1:20" x14ac:dyDescent="0.3">
      <c r="A700" s="72">
        <f>IFERROR(VLOOKUP($G700,Conf!$B:$C,2,0),E700)</f>
        <v>8</v>
      </c>
      <c r="B700" s="72" t="str">
        <f ca="1">IF(D700="Inativo","Inativo",IFERROR(VLOOKUP($G700,Conf!$O:$Q,2,0),VLOOKUP($S700,Conf!$K:$M,2,0)))</f>
        <v>FRENTE DE CAIXA</v>
      </c>
      <c r="C700" s="72" t="str">
        <f ca="1">IF(D700="Inativo","Inativo",IFERROR(VLOOKUP($G700,Conf!$O:$Q,3,0),IFERROR(VLOOKUP($G700,Conf!$E:$F,2,0),VLOOKUP($S700,Conf!$K:$M,3,0))))</f>
        <v>OPERADOR CAIXA</v>
      </c>
      <c r="D700" s="72" t="str">
        <f ca="1">IFERROR(IF(TODAY()-K700&gt;365,"Inativo",IF(J700=2,"Férias",IF(J700=7,"Demitido","Afastamento"))),VLOOKUP(J700,Conf!$H:$I,2,0))</f>
        <v>Ativos</v>
      </c>
      <c r="E700" s="187">
        <v>8</v>
      </c>
      <c r="F700" s="187">
        <v>2448</v>
      </c>
      <c r="G700" t="s">
        <v>1438</v>
      </c>
      <c r="H700" s="71"/>
      <c r="I700" t="s">
        <v>357</v>
      </c>
      <c r="J700" s="187">
        <v>1</v>
      </c>
      <c r="K700" t="s">
        <v>1385</v>
      </c>
      <c r="L700" s="185"/>
      <c r="M700" s="188">
        <v>46228</v>
      </c>
      <c r="N700" s="71"/>
      <c r="O700" s="71"/>
      <c r="P700" s="71"/>
      <c r="Q700" s="71"/>
      <c r="R700" s="71"/>
      <c r="S700" t="s">
        <v>284</v>
      </c>
      <c r="T700" s="71"/>
    </row>
    <row r="701" spans="1:20" x14ac:dyDescent="0.3">
      <c r="A701" s="72">
        <f>IFERROR(VLOOKUP($G701,Conf!$B:$C,2,0),E701)</f>
        <v>8</v>
      </c>
      <c r="B701" s="72" t="str">
        <f ca="1">IF(D701="Inativo","Inativo",IFERROR(VLOOKUP($G701,Conf!$O:$Q,2,0),VLOOKUP($S701,Conf!$K:$M,2,0)))</f>
        <v>FRENTE DE CAIXA</v>
      </c>
      <c r="C701" s="72" t="str">
        <f ca="1">IF(D701="Inativo","Inativo",IFERROR(VLOOKUP($G701,Conf!$O:$Q,3,0),IFERROR(VLOOKUP($G701,Conf!$E:$F,2,0),VLOOKUP($S701,Conf!$K:$M,3,0))))</f>
        <v>OPERADOR CAIXA</v>
      </c>
      <c r="D701" s="72" t="str">
        <f ca="1">IFERROR(IF(TODAY()-K701&gt;365,"Inativo",IF(J701=2,"Férias",IF(J701=7,"Demitido","Afastamento"))),VLOOKUP(J701,Conf!$H:$I,2,0))</f>
        <v>Ativos</v>
      </c>
      <c r="E701" s="187">
        <v>8</v>
      </c>
      <c r="F701" s="187">
        <v>1846</v>
      </c>
      <c r="G701" t="s">
        <v>922</v>
      </c>
      <c r="H701" s="71"/>
      <c r="I701" t="s">
        <v>225</v>
      </c>
      <c r="J701" s="187">
        <v>1</v>
      </c>
      <c r="K701" t="s">
        <v>1385</v>
      </c>
      <c r="L701" s="185"/>
      <c r="M701" s="188">
        <v>44690</v>
      </c>
      <c r="N701" s="71"/>
      <c r="Q701" s="71"/>
      <c r="R701" s="71"/>
      <c r="S701" t="s">
        <v>284</v>
      </c>
      <c r="T701" s="71"/>
    </row>
    <row r="702" spans="1:20" x14ac:dyDescent="0.3">
      <c r="A702" s="72">
        <f>IFERROR(VLOOKUP($G702,Conf!$B:$C,2,0),E702)</f>
        <v>8</v>
      </c>
      <c r="B702" s="72" t="str">
        <f ca="1">IF(D702="Inativo","Inativo",IFERROR(VLOOKUP($G702,Conf!$O:$Q,2,0),VLOOKUP($S702,Conf!$K:$M,2,0)))</f>
        <v>FRENTE DE CAIXA</v>
      </c>
      <c r="C702" s="72" t="str">
        <f ca="1">IF(D702="Inativo","Inativo",IFERROR(VLOOKUP($G702,Conf!$O:$Q,3,0),IFERROR(VLOOKUP($G702,Conf!$E:$F,2,0),VLOOKUP($S702,Conf!$K:$M,3,0))))</f>
        <v>OPERADOR CAIXA</v>
      </c>
      <c r="D702" s="72" t="str">
        <f ca="1">IFERROR(IF(TODAY()-K702&gt;365,"Inativo",IF(J702=2,"Férias",IF(J702=7,"Demitido","Afastamento"))),VLOOKUP(J702,Conf!$H:$I,2,0))</f>
        <v>Ativos</v>
      </c>
      <c r="E702" s="187">
        <v>8</v>
      </c>
      <c r="F702" s="187">
        <v>2467</v>
      </c>
      <c r="G702" t="s">
        <v>1653</v>
      </c>
      <c r="H702" s="71"/>
      <c r="I702" t="s">
        <v>357</v>
      </c>
      <c r="J702" s="187">
        <v>1</v>
      </c>
      <c r="K702" t="s">
        <v>1385</v>
      </c>
      <c r="L702" s="185"/>
      <c r="M702" s="188">
        <v>46302</v>
      </c>
      <c r="N702" s="71"/>
      <c r="O702" s="71"/>
      <c r="P702" s="71"/>
      <c r="Q702" s="71"/>
      <c r="R702" s="71"/>
      <c r="S702" t="s">
        <v>284</v>
      </c>
      <c r="T702" s="71"/>
    </row>
    <row r="703" spans="1:20" x14ac:dyDescent="0.3">
      <c r="A703" s="72">
        <f>IFERROR(VLOOKUP($G703,Conf!$B:$C,2,0),E703)</f>
        <v>8</v>
      </c>
      <c r="B703" s="72" t="str">
        <f ca="1">IF(D703="Inativo","Inativo",IFERROR(VLOOKUP($G703,Conf!$O:$Q,2,0),VLOOKUP($S703,Conf!$K:$M,2,0)))</f>
        <v>FRENTE DE CAIXA</v>
      </c>
      <c r="C703" s="72" t="str">
        <f ca="1">IF(D703="Inativo","Inativo",IFERROR(VLOOKUP($G703,Conf!$O:$Q,3,0),IFERROR(VLOOKUP($G703,Conf!$E:$F,2,0),VLOOKUP($S703,Conf!$K:$M,3,0))))</f>
        <v>OPERADOR CAIXA</v>
      </c>
      <c r="D703" s="72" t="str">
        <f ca="1">IFERROR(IF(TODAY()-K703&gt;365,"Inativo",IF(J703=2,"Férias",IF(J703=7,"Demitido","Afastamento"))),VLOOKUP(J703,Conf!$H:$I,2,0))</f>
        <v>Ativos</v>
      </c>
      <c r="E703" s="187">
        <v>8</v>
      </c>
      <c r="F703" s="187">
        <v>2439</v>
      </c>
      <c r="G703" t="s">
        <v>1305</v>
      </c>
      <c r="H703" s="71"/>
      <c r="I703" t="s">
        <v>889</v>
      </c>
      <c r="J703" s="187">
        <v>1</v>
      </c>
      <c r="K703" t="s">
        <v>1385</v>
      </c>
      <c r="L703" s="185"/>
      <c r="M703" s="188">
        <v>46184</v>
      </c>
      <c r="N703" s="71"/>
      <c r="Q703" s="71"/>
      <c r="R703" s="71"/>
      <c r="S703" t="s">
        <v>284</v>
      </c>
      <c r="T703" s="71"/>
    </row>
    <row r="704" spans="1:20" x14ac:dyDescent="0.3">
      <c r="A704" s="72">
        <f>IFERROR(VLOOKUP($G704,Conf!$B:$C,2,0),E704)</f>
        <v>8</v>
      </c>
      <c r="B704" s="72" t="str">
        <f ca="1">IF(D704="Inativo","Inativo",IFERROR(VLOOKUP($G704,Conf!$O:$Q,2,0),VLOOKUP($S704,Conf!$K:$M,2,0)))</f>
        <v>FRENTE DE CAIXA</v>
      </c>
      <c r="C704" s="72" t="str">
        <f ca="1">IF(D704="Inativo","Inativo",IFERROR(VLOOKUP($G704,Conf!$O:$Q,3,0),IFERROR(VLOOKUP($G704,Conf!$E:$F,2,0),VLOOKUP($S704,Conf!$K:$M,3,0))))</f>
        <v>OPERADOR CAIXA</v>
      </c>
      <c r="D704" s="72" t="str">
        <f ca="1">IFERROR(IF(TODAY()-K704&gt;365,"Inativo",IF(J704=2,"Férias",IF(J704=7,"Demitido","Afastamento"))),VLOOKUP(J704,Conf!$H:$I,2,0))</f>
        <v>Ativos</v>
      </c>
      <c r="E704" s="187">
        <v>8</v>
      </c>
      <c r="F704" s="187">
        <v>2456</v>
      </c>
      <c r="G704" t="s">
        <v>1528</v>
      </c>
      <c r="H704" s="71"/>
      <c r="I704" t="s">
        <v>889</v>
      </c>
      <c r="J704" s="187">
        <v>1</v>
      </c>
      <c r="K704" t="s">
        <v>1385</v>
      </c>
      <c r="L704" s="185"/>
      <c r="M704" s="188">
        <v>46266</v>
      </c>
      <c r="N704" s="71"/>
      <c r="Q704" s="71"/>
      <c r="R704" s="71"/>
      <c r="S704" t="s">
        <v>284</v>
      </c>
      <c r="T704" s="71"/>
    </row>
    <row r="705" spans="1:20" x14ac:dyDescent="0.3">
      <c r="A705" s="72">
        <f>IFERROR(VLOOKUP($G705,Conf!$B:$C,2,0),E705)</f>
        <v>8</v>
      </c>
      <c r="B705" s="72" t="str">
        <f ca="1">IF(D705="Inativo","Inativo",IFERROR(VLOOKUP($G705,Conf!$O:$Q,2,0),VLOOKUP($S705,Conf!$K:$M,2,0)))</f>
        <v>FRENTE DE CAIXA</v>
      </c>
      <c r="C705" s="72" t="str">
        <f ca="1">IF(D705="Inativo","Inativo",IFERROR(VLOOKUP($G705,Conf!$O:$Q,3,0),IFERROR(VLOOKUP($G705,Conf!$E:$F,2,0),VLOOKUP($S705,Conf!$K:$M,3,0))))</f>
        <v>OPERADOR CAIXA</v>
      </c>
      <c r="D705" s="72" t="str">
        <f ca="1">IFERROR(IF(TODAY()-K705&gt;365,"Inativo",IF(J705=2,"Férias",IF(J705=7,"Demitido","Afastamento"))),VLOOKUP(J705,Conf!$H:$I,2,0))</f>
        <v>Ativos</v>
      </c>
      <c r="E705" s="187">
        <v>8</v>
      </c>
      <c r="F705" s="187">
        <v>2455</v>
      </c>
      <c r="G705" t="s">
        <v>1522</v>
      </c>
      <c r="H705" s="71"/>
      <c r="I705" t="s">
        <v>889</v>
      </c>
      <c r="J705" s="187">
        <v>1</v>
      </c>
      <c r="K705" t="s">
        <v>1385</v>
      </c>
      <c r="L705" s="185"/>
      <c r="M705" s="188">
        <v>46273</v>
      </c>
      <c r="N705" s="71"/>
      <c r="O705" s="71"/>
      <c r="P705" s="71"/>
      <c r="Q705" s="71"/>
      <c r="R705" s="71"/>
      <c r="S705" t="s">
        <v>284</v>
      </c>
      <c r="T705" s="71"/>
    </row>
    <row r="706" spans="1:20" x14ac:dyDescent="0.3">
      <c r="A706" s="72">
        <f>IFERROR(VLOOKUP($G706,Conf!$B:$C,2,0),E706)</f>
        <v>8</v>
      </c>
      <c r="B706" s="72" t="str">
        <f ca="1">IF(D706="Inativo","Inativo",IFERROR(VLOOKUP($G706,Conf!$O:$Q,2,0),VLOOKUP($S706,Conf!$K:$M,2,0)))</f>
        <v>FRENTE DE CAIXA</v>
      </c>
      <c r="C706" s="72" t="str">
        <f ca="1">IF(D706="Inativo","Inativo",IFERROR(VLOOKUP($G706,Conf!$O:$Q,3,0),IFERROR(VLOOKUP($G706,Conf!$E:$F,2,0),VLOOKUP($S706,Conf!$K:$M,3,0))))</f>
        <v>OPERADOR CAIXA</v>
      </c>
      <c r="D706" s="72" t="str">
        <f ca="1">IFERROR(IF(TODAY()-K706&gt;365,"Inativo",IF(J706=2,"Férias",IF(J706=7,"Demitido","Afastamento"))),VLOOKUP(J706,Conf!$H:$I,2,0))</f>
        <v>Ativos</v>
      </c>
      <c r="E706" s="187">
        <v>8</v>
      </c>
      <c r="F706" s="187">
        <v>2454</v>
      </c>
      <c r="G706" t="s">
        <v>1507</v>
      </c>
      <c r="H706" s="71"/>
      <c r="I706" t="s">
        <v>357</v>
      </c>
      <c r="J706" s="187">
        <v>1</v>
      </c>
      <c r="K706" t="s">
        <v>1385</v>
      </c>
      <c r="L706" s="185"/>
      <c r="M706" s="188">
        <v>46259</v>
      </c>
      <c r="N706" s="71"/>
      <c r="Q706" s="71"/>
      <c r="R706" s="71"/>
      <c r="S706" t="s">
        <v>284</v>
      </c>
      <c r="T706" s="71"/>
    </row>
    <row r="707" spans="1:20" x14ac:dyDescent="0.3">
      <c r="A707" s="72">
        <f>IFERROR(VLOOKUP($G707,Conf!$B:$C,2,0),E707)</f>
        <v>8</v>
      </c>
      <c r="B707" s="72" t="str">
        <f ca="1">IF(D707="Inativo","Inativo",IFERROR(VLOOKUP($G707,Conf!$O:$Q,2,0),VLOOKUP($S707,Conf!$K:$M,2,0)))</f>
        <v>FRENTE DE CAIXA</v>
      </c>
      <c r="C707" s="72" t="str">
        <f ca="1">IF(D707="Inativo","Inativo",IFERROR(VLOOKUP($G707,Conf!$O:$Q,3,0),IFERROR(VLOOKUP($G707,Conf!$E:$F,2,0),VLOOKUP($S707,Conf!$K:$M,3,0))))</f>
        <v>OPERADOR CAIXA</v>
      </c>
      <c r="D707" s="72" t="str">
        <f ca="1">IFERROR(IF(TODAY()-K707&gt;365,"Inativo",IF(J707=2,"Férias",IF(J707=7,"Demitido","Afastamento"))),VLOOKUP(J707,Conf!$H:$I,2,0))</f>
        <v>Ativos</v>
      </c>
      <c r="E707" s="187">
        <v>8</v>
      </c>
      <c r="F707" s="187">
        <v>2246</v>
      </c>
      <c r="G707" t="s">
        <v>923</v>
      </c>
      <c r="H707" s="71"/>
      <c r="I707" t="s">
        <v>357</v>
      </c>
      <c r="J707" s="187">
        <v>1</v>
      </c>
      <c r="K707" t="s">
        <v>1385</v>
      </c>
      <c r="L707" s="185"/>
      <c r="M707" s="188">
        <v>45750</v>
      </c>
      <c r="N707" s="71"/>
      <c r="Q707" s="71"/>
      <c r="R707" s="71"/>
      <c r="S707" t="s">
        <v>284</v>
      </c>
      <c r="T707" s="71"/>
    </row>
    <row r="708" spans="1:20" x14ac:dyDescent="0.3">
      <c r="A708" s="72">
        <f>IFERROR(VLOOKUP($G708,Conf!$B:$C,2,0),E708)</f>
        <v>8</v>
      </c>
      <c r="B708" s="72" t="str">
        <f ca="1">IF(D708="Inativo","Inativo",IFERROR(VLOOKUP($G708,Conf!$O:$Q,2,0),VLOOKUP($S708,Conf!$K:$M,2,0)))</f>
        <v>FRENTE DE CAIXA</v>
      </c>
      <c r="C708" s="72" t="str">
        <f ca="1">IF(D708="Inativo","Inativo",IFERROR(VLOOKUP($G708,Conf!$O:$Q,3,0),IFERROR(VLOOKUP($G708,Conf!$E:$F,2,0),VLOOKUP($S708,Conf!$K:$M,3,0))))</f>
        <v>OPERADOR CAIXA</v>
      </c>
      <c r="D708" s="72" t="str">
        <f ca="1">IFERROR(IF(TODAY()-K708&gt;365,"Inativo",IF(J708=2,"Férias",IF(J708=7,"Demitido","Afastamento"))),VLOOKUP(J708,Conf!$H:$I,2,0))</f>
        <v>Ativos</v>
      </c>
      <c r="E708" s="187">
        <v>8</v>
      </c>
      <c r="F708" s="187">
        <v>2095</v>
      </c>
      <c r="G708" t="s">
        <v>924</v>
      </c>
      <c r="H708" s="71"/>
      <c r="I708" t="s">
        <v>225</v>
      </c>
      <c r="J708" s="187">
        <v>1</v>
      </c>
      <c r="K708" t="s">
        <v>1385</v>
      </c>
      <c r="L708" s="185"/>
      <c r="M708" s="188">
        <v>45455</v>
      </c>
      <c r="N708" s="71"/>
      <c r="O708" s="71"/>
      <c r="P708" s="71"/>
      <c r="Q708" s="71"/>
      <c r="R708" s="71"/>
      <c r="S708" t="s">
        <v>284</v>
      </c>
      <c r="T708" s="71"/>
    </row>
    <row r="709" spans="1:20" x14ac:dyDescent="0.3">
      <c r="A709" s="72">
        <f>IFERROR(VLOOKUP($G709,Conf!$B:$C,2,0),E709)</f>
        <v>8</v>
      </c>
      <c r="B709" s="72" t="str">
        <f ca="1">IF(D709="Inativo","Inativo",IFERROR(VLOOKUP($G709,Conf!$O:$Q,2,0),VLOOKUP($S709,Conf!$K:$M,2,0)))</f>
        <v>FRENTE DE CAIXA</v>
      </c>
      <c r="C709" s="72" t="str">
        <f ca="1">IF(D709="Inativo","Inativo",IFERROR(VLOOKUP($G709,Conf!$O:$Q,3,0),IFERROR(VLOOKUP($G709,Conf!$E:$F,2,0),VLOOKUP($S709,Conf!$K:$M,3,0))))</f>
        <v>OPERADOR CAIXA</v>
      </c>
      <c r="D709" s="72" t="str">
        <f ca="1">IFERROR(IF(TODAY()-K709&gt;365,"Inativo",IF(J709=2,"Férias",IF(J709=7,"Demitido","Afastamento"))),VLOOKUP(J709,Conf!$H:$I,2,0))</f>
        <v>Ativos</v>
      </c>
      <c r="E709" s="187">
        <v>8</v>
      </c>
      <c r="F709" s="187">
        <v>1828</v>
      </c>
      <c r="G709" t="s">
        <v>925</v>
      </c>
      <c r="H709" s="71"/>
      <c r="I709" t="s">
        <v>220</v>
      </c>
      <c r="J709" s="187">
        <v>1</v>
      </c>
      <c r="K709" t="s">
        <v>1385</v>
      </c>
      <c r="L709" s="185"/>
      <c r="M709" s="188">
        <v>44670</v>
      </c>
      <c r="N709" s="71"/>
      <c r="Q709" s="71"/>
      <c r="R709" s="71"/>
      <c r="S709" t="s">
        <v>284</v>
      </c>
      <c r="T709" s="71"/>
    </row>
    <row r="710" spans="1:20" x14ac:dyDescent="0.3">
      <c r="A710" s="72">
        <f>IFERROR(VLOOKUP($G710,Conf!$B:$C,2,0),E710)</f>
        <v>8</v>
      </c>
      <c r="B710" s="72" t="str">
        <f ca="1">IF(D710="Inativo","Inativo",IFERROR(VLOOKUP($G710,Conf!$O:$Q,2,0),VLOOKUP($S710,Conf!$K:$M,2,0)))</f>
        <v>FRENTE DE CAIXA</v>
      </c>
      <c r="C710" s="72" t="str">
        <f ca="1">IF(D710="Inativo","Inativo",IFERROR(VLOOKUP($G710,Conf!$O:$Q,3,0),IFERROR(VLOOKUP($G710,Conf!$E:$F,2,0),VLOOKUP($S710,Conf!$K:$M,3,0))))</f>
        <v>OPERADOR CAIXA</v>
      </c>
      <c r="D710" s="72" t="str">
        <f ca="1">IFERROR(IF(TODAY()-K710&gt;365,"Inativo",IF(J710=2,"Férias",IF(J710=7,"Demitido","Afastamento"))),VLOOKUP(J710,Conf!$H:$I,2,0))</f>
        <v>Ativos</v>
      </c>
      <c r="E710" s="187">
        <v>8</v>
      </c>
      <c r="F710" s="187">
        <v>2458</v>
      </c>
      <c r="G710" t="s">
        <v>1542</v>
      </c>
      <c r="H710" s="71"/>
      <c r="I710" t="s">
        <v>357</v>
      </c>
      <c r="J710" s="187">
        <v>1</v>
      </c>
      <c r="K710" t="s">
        <v>1385</v>
      </c>
      <c r="L710" s="185"/>
      <c r="M710" s="188">
        <v>46273</v>
      </c>
      <c r="N710" s="71"/>
      <c r="Q710" s="71"/>
      <c r="R710" s="71"/>
      <c r="S710" t="s">
        <v>284</v>
      </c>
      <c r="T710" s="71"/>
    </row>
    <row r="711" spans="1:20" x14ac:dyDescent="0.3">
      <c r="A711" s="72">
        <f>IFERROR(VLOOKUP($G711,Conf!$B:$C,2,0),E711)</f>
        <v>8</v>
      </c>
      <c r="B711" s="72" t="str">
        <f ca="1">IF(D711="Inativo","Inativo",IFERROR(VLOOKUP($G711,Conf!$O:$Q,2,0),VLOOKUP($S711,Conf!$K:$M,2,0)))</f>
        <v>FRIOS</v>
      </c>
      <c r="C711" s="72" t="str">
        <f ca="1">IF(D711="Inativo","Inativo",IFERROR(VLOOKUP($G711,Conf!$O:$Q,3,0),IFERROR(VLOOKUP($G711,Conf!$E:$F,2,0),VLOOKUP($S711,Conf!$K:$M,3,0))))</f>
        <v>ATENDENTE</v>
      </c>
      <c r="D711" s="72" t="str">
        <f ca="1">IFERROR(IF(TODAY()-K711&gt;365,"Inativo",IF(J711=2,"Férias",IF(J711=7,"Demitido","Afastamento"))),VLOOKUP(J711,Conf!$H:$I,2,0))</f>
        <v>Férias</v>
      </c>
      <c r="E711" s="187">
        <v>8</v>
      </c>
      <c r="F711" s="187">
        <v>177</v>
      </c>
      <c r="G711" t="s">
        <v>926</v>
      </c>
      <c r="H711" s="71"/>
      <c r="I711" t="s">
        <v>220</v>
      </c>
      <c r="J711" s="187">
        <v>2</v>
      </c>
      <c r="K711" t="s">
        <v>1640</v>
      </c>
      <c r="L711" s="185"/>
      <c r="M711" s="188">
        <v>45385</v>
      </c>
      <c r="N711" s="71"/>
      <c r="Q711" s="71"/>
      <c r="R711" s="71"/>
      <c r="S711" t="s">
        <v>927</v>
      </c>
      <c r="T711" s="71"/>
    </row>
    <row r="712" spans="1:20" x14ac:dyDescent="0.3">
      <c r="A712" s="72">
        <f>IFERROR(VLOOKUP($G712,Conf!$B:$C,2,0),E712)</f>
        <v>8</v>
      </c>
      <c r="B712" s="72" t="str">
        <f ca="1">IF(D712="Inativo","Inativo",IFERROR(VLOOKUP($G712,Conf!$O:$Q,2,0),VLOOKUP($S712,Conf!$K:$M,2,0)))</f>
        <v>FRIOS</v>
      </c>
      <c r="C712" s="72" t="str">
        <f ca="1">IF(D712="Inativo","Inativo",IFERROR(VLOOKUP($G712,Conf!$O:$Q,3,0),IFERROR(VLOOKUP($G712,Conf!$E:$F,2,0),VLOOKUP($S712,Conf!$K:$M,3,0))))</f>
        <v>ATENDENTE</v>
      </c>
      <c r="D712" s="72" t="str">
        <f ca="1">IFERROR(IF(TODAY()-K712&gt;365,"Inativo",IF(J712=2,"Férias",IF(J712=7,"Demitido","Afastamento"))),VLOOKUP(J712,Conf!$H:$I,2,0))</f>
        <v>Ativos</v>
      </c>
      <c r="E712" s="187">
        <v>8</v>
      </c>
      <c r="F712" s="187">
        <v>313</v>
      </c>
      <c r="G712" t="s">
        <v>928</v>
      </c>
      <c r="H712" s="71"/>
      <c r="I712" t="s">
        <v>357</v>
      </c>
      <c r="J712" s="187">
        <v>1</v>
      </c>
      <c r="K712" t="s">
        <v>1385</v>
      </c>
      <c r="L712" s="185"/>
      <c r="M712" s="188">
        <v>46056</v>
      </c>
      <c r="N712" s="71"/>
      <c r="Q712" s="71"/>
      <c r="R712" s="71"/>
      <c r="S712" t="s">
        <v>927</v>
      </c>
      <c r="T712" s="71"/>
    </row>
    <row r="713" spans="1:20" x14ac:dyDescent="0.3">
      <c r="A713" s="72">
        <f>IFERROR(VLOOKUP($G713,Conf!$B:$C,2,0),E713)</f>
        <v>8</v>
      </c>
      <c r="B713" s="72" t="str">
        <f ca="1">IF(D713="Inativo","Inativo",IFERROR(VLOOKUP($G713,Conf!$O:$Q,2,0),VLOOKUP($S713,Conf!$K:$M,2,0)))</f>
        <v>FRIOS</v>
      </c>
      <c r="C713" s="72" t="str">
        <f ca="1">IF(D713="Inativo","Inativo",IFERROR(VLOOKUP($G713,Conf!$O:$Q,3,0),IFERROR(VLOOKUP($G713,Conf!$E:$F,2,0),VLOOKUP($S713,Conf!$K:$M,3,0))))</f>
        <v>ATENDENTE</v>
      </c>
      <c r="D713" s="72" t="str">
        <f ca="1">IFERROR(IF(TODAY()-K713&gt;365,"Inativo",IF(J713=2,"Férias",IF(J713=7,"Demitido","Afastamento"))),VLOOKUP(J713,Conf!$H:$I,2,0))</f>
        <v>Ativos</v>
      </c>
      <c r="E713" s="187">
        <v>8</v>
      </c>
      <c r="F713" s="187">
        <v>289</v>
      </c>
      <c r="G713" t="s">
        <v>929</v>
      </c>
      <c r="H713" s="71"/>
      <c r="I713" t="s">
        <v>889</v>
      </c>
      <c r="J713" s="187">
        <v>1</v>
      </c>
      <c r="K713" t="s">
        <v>1385</v>
      </c>
      <c r="L713" s="185"/>
      <c r="M713" s="188">
        <v>45938</v>
      </c>
      <c r="N713" s="71"/>
      <c r="O713" s="71"/>
      <c r="P713" s="71"/>
      <c r="Q713" s="71"/>
      <c r="R713" s="71"/>
      <c r="S713" t="s">
        <v>927</v>
      </c>
      <c r="T713" s="71"/>
    </row>
    <row r="714" spans="1:20" x14ac:dyDescent="0.3">
      <c r="A714" s="72">
        <f>IFERROR(VLOOKUP($G714,Conf!$B:$C,2,0),E714)</f>
        <v>8</v>
      </c>
      <c r="B714" s="72" t="str">
        <f ca="1">IF(D714="Inativo","Inativo",IFERROR(VLOOKUP($G714,Conf!$O:$Q,2,0),VLOOKUP($S714,Conf!$K:$M,2,0)))</f>
        <v>FRIOS</v>
      </c>
      <c r="C714" s="72" t="str">
        <f ca="1">IF(D714="Inativo","Inativo",IFERROR(VLOOKUP($G714,Conf!$O:$Q,3,0),IFERROR(VLOOKUP($G714,Conf!$E:$F,2,0),VLOOKUP($S714,Conf!$K:$M,3,0))))</f>
        <v>ENCARREGADO</v>
      </c>
      <c r="D714" s="72" t="str">
        <f ca="1">IFERROR(IF(TODAY()-K714&gt;365,"Inativo",IF(J714=2,"Férias",IF(J714=7,"Demitido","Afastamento"))),VLOOKUP(J714,Conf!$H:$I,2,0))</f>
        <v>Ativos</v>
      </c>
      <c r="E714" s="187">
        <v>8</v>
      </c>
      <c r="F714" s="187">
        <v>1</v>
      </c>
      <c r="G714" t="s">
        <v>930</v>
      </c>
      <c r="H714" s="71"/>
      <c r="I714" t="s">
        <v>222</v>
      </c>
      <c r="J714" s="187">
        <v>1</v>
      </c>
      <c r="K714" t="s">
        <v>1385</v>
      </c>
      <c r="L714" s="185"/>
      <c r="M714" s="188">
        <v>44634</v>
      </c>
      <c r="N714" s="71"/>
      <c r="O714" s="71"/>
      <c r="P714" s="71"/>
      <c r="Q714" s="71"/>
      <c r="R714" s="71"/>
      <c r="S714" t="s">
        <v>931</v>
      </c>
      <c r="T714" s="71"/>
    </row>
    <row r="715" spans="1:20" x14ac:dyDescent="0.3">
      <c r="A715" s="72">
        <f>IFERROR(VLOOKUP($G715,Conf!$B:$C,2,0),E715)</f>
        <v>8</v>
      </c>
      <c r="B715" s="72" t="str">
        <f ca="1">IF(D715="Inativo","Inativo",IFERROR(VLOOKUP($G715,Conf!$O:$Q,2,0),VLOOKUP($S715,Conf!$K:$M,2,0)))</f>
        <v>FRIOS</v>
      </c>
      <c r="C715" s="72" t="str">
        <f ca="1">IF(D715="Inativo","Inativo",IFERROR(VLOOKUP($G715,Conf!$O:$Q,3,0),IFERROR(VLOOKUP($G715,Conf!$E:$F,2,0),VLOOKUP($S715,Conf!$K:$M,3,0))))</f>
        <v>REPOSITOR</v>
      </c>
      <c r="D715" s="72" t="str">
        <f ca="1">IFERROR(IF(TODAY()-K715&gt;365,"Inativo",IF(J715=2,"Férias",IF(J715=7,"Demitido","Afastamento"))),VLOOKUP(J715,Conf!$H:$I,2,0))</f>
        <v>Ativos</v>
      </c>
      <c r="E715" s="187">
        <v>8</v>
      </c>
      <c r="F715" s="187">
        <v>326</v>
      </c>
      <c r="G715" t="s">
        <v>958</v>
      </c>
      <c r="H715" s="71"/>
      <c r="I715" t="s">
        <v>357</v>
      </c>
      <c r="J715" s="187">
        <v>1</v>
      </c>
      <c r="K715" t="s">
        <v>1385</v>
      </c>
      <c r="L715" s="185"/>
      <c r="M715" s="188">
        <v>46086</v>
      </c>
      <c r="N715" s="71"/>
      <c r="O715" s="71"/>
      <c r="P715" s="71"/>
      <c r="Q715" s="71"/>
      <c r="R715" s="71"/>
      <c r="S715" t="s">
        <v>932</v>
      </c>
      <c r="T715" s="71"/>
    </row>
    <row r="716" spans="1:20" x14ac:dyDescent="0.3">
      <c r="A716" s="72">
        <f>IFERROR(VLOOKUP($G716,Conf!$B:$C,2,0),E716)</f>
        <v>8</v>
      </c>
      <c r="B716" s="72" t="str">
        <f ca="1">IF(D716="Inativo","Inativo",IFERROR(VLOOKUP($G716,Conf!$O:$Q,2,0),VLOOKUP($S716,Conf!$K:$M,2,0)))</f>
        <v>FRIOS</v>
      </c>
      <c r="C716" s="72" t="str">
        <f ca="1">IF(D716="Inativo","Inativo",IFERROR(VLOOKUP($G716,Conf!$O:$Q,3,0),IFERROR(VLOOKUP($G716,Conf!$E:$F,2,0),VLOOKUP($S716,Conf!$K:$M,3,0))))</f>
        <v>REPOSITOR</v>
      </c>
      <c r="D716" s="72" t="str">
        <f ca="1">IFERROR(IF(TODAY()-K716&gt;365,"Inativo",IF(J716=2,"Férias",IF(J716=7,"Demitido","Afastamento"))),VLOOKUP(J716,Conf!$H:$I,2,0))</f>
        <v>Ativos</v>
      </c>
      <c r="E716" s="187">
        <v>8</v>
      </c>
      <c r="F716" s="187">
        <v>21</v>
      </c>
      <c r="G716" t="s">
        <v>933</v>
      </c>
      <c r="H716" s="71"/>
      <c r="I716" t="s">
        <v>380</v>
      </c>
      <c r="J716" s="187">
        <v>1</v>
      </c>
      <c r="K716" t="s">
        <v>1385</v>
      </c>
      <c r="L716" s="185"/>
      <c r="M716" s="188">
        <v>44648</v>
      </c>
      <c r="N716" s="71"/>
      <c r="Q716" s="71"/>
      <c r="R716" s="71"/>
      <c r="S716" t="s">
        <v>934</v>
      </c>
      <c r="T716" s="71"/>
    </row>
    <row r="717" spans="1:20" x14ac:dyDescent="0.3">
      <c r="A717" s="72">
        <f>IFERROR(VLOOKUP($G717,Conf!$B:$C,2,0),E717)</f>
        <v>8</v>
      </c>
      <c r="B717" s="72" t="str">
        <f ca="1">IF(D717="Inativo","Inativo",IFERROR(VLOOKUP($G717,Conf!$O:$Q,2,0),VLOOKUP($S717,Conf!$K:$M,2,0)))</f>
        <v>FRIOS</v>
      </c>
      <c r="C717" s="72" t="str">
        <f ca="1">IF(D717="Inativo","Inativo",IFERROR(VLOOKUP($G717,Conf!$O:$Q,3,0),IFERROR(VLOOKUP($G717,Conf!$E:$F,2,0),VLOOKUP($S717,Conf!$K:$M,3,0))))</f>
        <v>REPOSITOR</v>
      </c>
      <c r="D717" s="72" t="str">
        <f ca="1">IFERROR(IF(TODAY()-K717&gt;365,"Inativo",IF(J717=2,"Férias",IF(J717=7,"Demitido","Afastamento"))),VLOOKUP(J717,Conf!$H:$I,2,0))</f>
        <v>Ativos</v>
      </c>
      <c r="E717" s="187">
        <v>8</v>
      </c>
      <c r="F717" s="187">
        <v>290</v>
      </c>
      <c r="G717" t="s">
        <v>935</v>
      </c>
      <c r="H717" s="71"/>
      <c r="I717" t="s">
        <v>357</v>
      </c>
      <c r="J717" s="187">
        <v>1</v>
      </c>
      <c r="K717" t="s">
        <v>1385</v>
      </c>
      <c r="L717" s="185"/>
      <c r="M717" s="188">
        <v>45945</v>
      </c>
      <c r="N717" s="71"/>
      <c r="Q717" s="71"/>
      <c r="R717" s="71"/>
      <c r="S717" t="s">
        <v>932</v>
      </c>
      <c r="T717" s="71"/>
    </row>
    <row r="718" spans="1:20" x14ac:dyDescent="0.3">
      <c r="A718" s="72">
        <f>IFERROR(VLOOKUP($G718,Conf!$B:$C,2,0),E718)</f>
        <v>8</v>
      </c>
      <c r="B718" s="72" t="str">
        <f ca="1">IF(D718="Inativo","Inativo",IFERROR(VLOOKUP($G718,Conf!$O:$Q,2,0),VLOOKUP($S718,Conf!$K:$M,2,0)))</f>
        <v>GERÊNCIA</v>
      </c>
      <c r="C718" s="72" t="str">
        <f ca="1">IF(D718="Inativo","Inativo",IFERROR(VLOOKUP($G718,Conf!$O:$Q,3,0),IFERROR(VLOOKUP($G718,Conf!$E:$F,2,0),VLOOKUP($S718,Conf!$K:$M,3,0))))</f>
        <v>GERENTE</v>
      </c>
      <c r="D718" s="72" t="str">
        <f ca="1">IFERROR(IF(TODAY()-K718&gt;365,"Inativo",IF(J718=2,"Férias",IF(J718=7,"Demitido","Afastamento"))),VLOOKUP(J718,Conf!$H:$I,2,0))</f>
        <v>Ativos</v>
      </c>
      <c r="E718" s="187">
        <v>8</v>
      </c>
      <c r="F718" s="187">
        <v>2175</v>
      </c>
      <c r="G718" t="s">
        <v>954</v>
      </c>
      <c r="H718" s="71"/>
      <c r="I718" t="s">
        <v>350</v>
      </c>
      <c r="J718" s="187">
        <v>1</v>
      </c>
      <c r="K718" t="s">
        <v>1385</v>
      </c>
      <c r="L718" s="185"/>
      <c r="M718" s="188">
        <v>45609</v>
      </c>
      <c r="N718" s="71"/>
      <c r="O718" s="71"/>
      <c r="P718" s="71"/>
      <c r="Q718" s="71"/>
      <c r="R718" s="71"/>
      <c r="S718" t="s">
        <v>351</v>
      </c>
      <c r="T718" s="71"/>
    </row>
    <row r="719" spans="1:20" x14ac:dyDescent="0.3">
      <c r="A719" s="72">
        <f>IFERROR(VLOOKUP($G719,Conf!$B:$C,2,0),E719)</f>
        <v>8</v>
      </c>
      <c r="B719" s="72" t="str">
        <f ca="1">IF(D719="Inativo","Inativo",IFERROR(VLOOKUP($G719,Conf!$O:$Q,2,0),VLOOKUP($S719,Conf!$K:$M,2,0)))</f>
        <v>GERÊNCIA</v>
      </c>
      <c r="C719" s="72" t="str">
        <f ca="1">IF(D719="Inativo","Inativo",IFERROR(VLOOKUP($G719,Conf!$O:$Q,3,0),IFERROR(VLOOKUP($G719,Conf!$E:$F,2,0),VLOOKUP($S719,Conf!$K:$M,3,0))))</f>
        <v>SUBGERENTE</v>
      </c>
      <c r="D719" s="72" t="str">
        <f ca="1">IFERROR(IF(TODAY()-K719&gt;365,"Inativo",IF(J719=2,"Férias",IF(J719=7,"Demitido","Afastamento"))),VLOOKUP(J719,Conf!$H:$I,2,0))</f>
        <v>Ativos</v>
      </c>
      <c r="E719" s="187">
        <v>8</v>
      </c>
      <c r="F719" s="187">
        <v>228</v>
      </c>
      <c r="G719" t="s">
        <v>964</v>
      </c>
      <c r="H719" s="71"/>
      <c r="I719" t="s">
        <v>350</v>
      </c>
      <c r="J719" s="187">
        <v>1</v>
      </c>
      <c r="K719" t="s">
        <v>1385</v>
      </c>
      <c r="L719" s="185"/>
      <c r="M719" s="188">
        <v>45695</v>
      </c>
      <c r="N719" s="71"/>
      <c r="O719" s="71"/>
      <c r="P719" s="71"/>
      <c r="Q719" s="71"/>
      <c r="R719" s="71"/>
      <c r="S719" t="s">
        <v>965</v>
      </c>
      <c r="T719" s="71"/>
    </row>
    <row r="720" spans="1:20" x14ac:dyDescent="0.3">
      <c r="A720" s="72">
        <f>IFERROR(VLOOKUP($G720,Conf!$B:$C,2,0),E720)</f>
        <v>8</v>
      </c>
      <c r="B720" s="72" t="str">
        <f ca="1">IF(D720="Inativo","Inativo",IFERROR(VLOOKUP($G720,Conf!$O:$Q,2,0),VLOOKUP($S720,Conf!$K:$M,2,0)))</f>
        <v>HORTIFRUTI</v>
      </c>
      <c r="C720" s="72" t="str">
        <f ca="1">IF(D720="Inativo","Inativo",IFERROR(VLOOKUP($G720,Conf!$O:$Q,3,0),IFERROR(VLOOKUP($G720,Conf!$E:$F,2,0),VLOOKUP($S720,Conf!$K:$M,3,0))))</f>
        <v>ENCARREGADO</v>
      </c>
      <c r="D720" s="72" t="str">
        <f ca="1">IFERROR(IF(TODAY()-K720&gt;365,"Inativo",IF(J720=2,"Férias",IF(J720=7,"Demitido","Afastamento"))),VLOOKUP(J720,Conf!$H:$I,2,0))</f>
        <v>Ativos</v>
      </c>
      <c r="E720" s="187">
        <v>8</v>
      </c>
      <c r="F720" s="187">
        <v>271</v>
      </c>
      <c r="G720" t="s">
        <v>936</v>
      </c>
      <c r="H720" s="71"/>
      <c r="I720" t="s">
        <v>258</v>
      </c>
      <c r="J720" s="187">
        <v>1</v>
      </c>
      <c r="K720" t="s">
        <v>1385</v>
      </c>
      <c r="L720" s="185"/>
      <c r="M720" s="188">
        <v>45848</v>
      </c>
      <c r="N720" s="71"/>
      <c r="Q720" s="71"/>
      <c r="R720" s="71"/>
      <c r="S720" t="s">
        <v>937</v>
      </c>
      <c r="T720" s="71"/>
    </row>
    <row r="721" spans="1:20" x14ac:dyDescent="0.3">
      <c r="A721" s="72">
        <f>IFERROR(VLOOKUP($G721,Conf!$B:$C,2,0),E721)</f>
        <v>8</v>
      </c>
      <c r="B721" s="72" t="str">
        <f ca="1">IF(D721="Inativo","Inativo",IFERROR(VLOOKUP($G721,Conf!$O:$Q,2,0),VLOOKUP($S721,Conf!$K:$M,2,0)))</f>
        <v>HORTIFRUTI</v>
      </c>
      <c r="C721" s="72" t="str">
        <f ca="1">IF(D721="Inativo","Inativo",IFERROR(VLOOKUP($G721,Conf!$O:$Q,3,0),IFERROR(VLOOKUP($G721,Conf!$E:$F,2,0),VLOOKUP($S721,Conf!$K:$M,3,0))))</f>
        <v>REPOSITOR</v>
      </c>
      <c r="D721" s="72" t="str">
        <f ca="1">IFERROR(IF(TODAY()-K721&gt;365,"Inativo",IF(J721=2,"Férias",IF(J721=7,"Demitido","Afastamento"))),VLOOKUP(J721,Conf!$H:$I,2,0))</f>
        <v>Ativos</v>
      </c>
      <c r="E721" s="187">
        <v>8</v>
      </c>
      <c r="F721" s="187">
        <v>300</v>
      </c>
      <c r="G721" t="s">
        <v>938</v>
      </c>
      <c r="H721" s="71"/>
      <c r="I721" t="s">
        <v>222</v>
      </c>
      <c r="J721" s="187">
        <v>1</v>
      </c>
      <c r="K721" t="s">
        <v>1385</v>
      </c>
      <c r="L721" s="185"/>
      <c r="M721" s="188">
        <v>45980</v>
      </c>
      <c r="N721" s="71"/>
      <c r="O721" s="71"/>
      <c r="P721" s="71"/>
      <c r="Q721" s="71"/>
      <c r="R721" s="71"/>
      <c r="S721" t="s">
        <v>939</v>
      </c>
      <c r="T721" s="71"/>
    </row>
    <row r="722" spans="1:20" x14ac:dyDescent="0.3">
      <c r="A722" s="72">
        <f>IFERROR(VLOOKUP($G722,Conf!$B:$C,2,0),E722)</f>
        <v>8</v>
      </c>
      <c r="B722" s="72" t="str">
        <f ca="1">IF(D722="Inativo","Inativo",IFERROR(VLOOKUP($G722,Conf!$O:$Q,2,0),VLOOKUP($S722,Conf!$K:$M,2,0)))</f>
        <v>HORTIFRUTI</v>
      </c>
      <c r="C722" s="72" t="str">
        <f ca="1">IF(D722="Inativo","Inativo",IFERROR(VLOOKUP($G722,Conf!$O:$Q,3,0),IFERROR(VLOOKUP($G722,Conf!$E:$F,2,0),VLOOKUP($S722,Conf!$K:$M,3,0))))</f>
        <v>REPOSITOR</v>
      </c>
      <c r="D722" s="72" t="str">
        <f ca="1">IFERROR(IF(TODAY()-K722&gt;365,"Inativo",IF(J722=2,"Férias",IF(J722=7,"Demitido","Afastamento"))),VLOOKUP(J722,Conf!$H:$I,2,0))</f>
        <v>Ativos</v>
      </c>
      <c r="E722" s="187">
        <v>8</v>
      </c>
      <c r="F722" s="187">
        <v>379</v>
      </c>
      <c r="G722" t="s">
        <v>1598</v>
      </c>
      <c r="H722" s="71"/>
      <c r="I722" t="s">
        <v>357</v>
      </c>
      <c r="J722" s="187">
        <v>1</v>
      </c>
      <c r="K722" t="s">
        <v>1385</v>
      </c>
      <c r="L722" s="185"/>
      <c r="M722" s="188">
        <v>46290</v>
      </c>
      <c r="N722" s="71"/>
      <c r="O722" s="71"/>
      <c r="P722" s="71"/>
      <c r="Q722" s="71"/>
      <c r="R722" s="71"/>
      <c r="S722" t="s">
        <v>939</v>
      </c>
      <c r="T722" s="71"/>
    </row>
    <row r="723" spans="1:20" x14ac:dyDescent="0.3">
      <c r="A723" s="72">
        <f>IFERROR(VLOOKUP($G723,Conf!$B:$C,2,0),E723)</f>
        <v>8</v>
      </c>
      <c r="B723" s="72" t="str">
        <f ca="1">IF(D723="Inativo","Inativo",IFERROR(VLOOKUP($G723,Conf!$O:$Q,2,0),VLOOKUP($S723,Conf!$K:$M,2,0)))</f>
        <v>HORTIFRUTI</v>
      </c>
      <c r="C723" s="72" t="str">
        <f ca="1">IF(D723="Inativo","Inativo",IFERROR(VLOOKUP($G723,Conf!$O:$Q,3,0),IFERROR(VLOOKUP($G723,Conf!$E:$F,2,0),VLOOKUP($S723,Conf!$K:$M,3,0))))</f>
        <v>REPOSITOR</v>
      </c>
      <c r="D723" s="72" t="str">
        <f ca="1">IFERROR(IF(TODAY()-K723&gt;365,"Inativo",IF(J723=2,"Férias",IF(J723=7,"Demitido","Afastamento"))),VLOOKUP(J723,Conf!$H:$I,2,0))</f>
        <v>Demitido</v>
      </c>
      <c r="E723" s="187">
        <v>8</v>
      </c>
      <c r="F723" s="187">
        <v>358</v>
      </c>
      <c r="G723" t="s">
        <v>1415</v>
      </c>
      <c r="H723" s="71"/>
      <c r="I723" t="s">
        <v>357</v>
      </c>
      <c r="J723" s="187">
        <v>7</v>
      </c>
      <c r="K723" t="s">
        <v>1642</v>
      </c>
      <c r="L723" s="185"/>
      <c r="M723" s="188">
        <v>46218</v>
      </c>
      <c r="N723" s="71"/>
      <c r="O723" s="71"/>
      <c r="P723" s="71"/>
      <c r="Q723" s="71"/>
      <c r="R723" s="71"/>
      <c r="S723" t="s">
        <v>939</v>
      </c>
      <c r="T723" s="71"/>
    </row>
    <row r="724" spans="1:20" x14ac:dyDescent="0.3">
      <c r="A724" s="72">
        <f>IFERROR(VLOOKUP($G724,Conf!$B:$C,2,0),E724)</f>
        <v>8</v>
      </c>
      <c r="B724" s="72" t="str">
        <f ca="1">IF(D724="Inativo","Inativo",IFERROR(VLOOKUP($G724,Conf!$O:$Q,2,0),VLOOKUP($S724,Conf!$K:$M,2,0)))</f>
        <v>HORTIFRUTI</v>
      </c>
      <c r="C724" s="72" t="str">
        <f ca="1">IF(D724="Inativo","Inativo",IFERROR(VLOOKUP($G724,Conf!$O:$Q,3,0),IFERROR(VLOOKUP($G724,Conf!$E:$F,2,0),VLOOKUP($S724,Conf!$K:$M,3,0))))</f>
        <v>REPOSITOR</v>
      </c>
      <c r="D724" s="72" t="str">
        <f ca="1">IFERROR(IF(TODAY()-K724&gt;365,"Inativo",IF(J724=2,"Férias",IF(J724=7,"Demitido","Afastamento"))),VLOOKUP(J724,Conf!$H:$I,2,0))</f>
        <v>Ativos</v>
      </c>
      <c r="E724" s="187">
        <v>8</v>
      </c>
      <c r="F724" s="187">
        <v>371</v>
      </c>
      <c r="G724" t="s">
        <v>1491</v>
      </c>
      <c r="H724" s="71"/>
      <c r="I724" t="s">
        <v>357</v>
      </c>
      <c r="J724" s="187">
        <v>1</v>
      </c>
      <c r="K724" t="s">
        <v>1385</v>
      </c>
      <c r="L724" s="185"/>
      <c r="M724" s="188">
        <v>46254</v>
      </c>
      <c r="N724" s="71"/>
      <c r="O724" s="71"/>
      <c r="P724" s="71"/>
      <c r="Q724" s="71"/>
      <c r="R724" s="71"/>
      <c r="S724" t="s">
        <v>939</v>
      </c>
      <c r="T724" s="71"/>
    </row>
    <row r="725" spans="1:20" x14ac:dyDescent="0.3">
      <c r="A725" s="72">
        <f>IFERROR(VLOOKUP($G725,Conf!$B:$C,2,0),E725)</f>
        <v>8</v>
      </c>
      <c r="B725" s="72" t="str">
        <f ca="1">IF(D725="Inativo","Inativo",IFERROR(VLOOKUP($G725,Conf!$O:$Q,2,0),VLOOKUP($S725,Conf!$K:$M,2,0)))</f>
        <v>HORTIFRUTI</v>
      </c>
      <c r="C725" s="72" t="str">
        <f ca="1">IF(D725="Inativo","Inativo",IFERROR(VLOOKUP($G725,Conf!$O:$Q,3,0),IFERROR(VLOOKUP($G725,Conf!$E:$F,2,0),VLOOKUP($S725,Conf!$K:$M,3,0))))</f>
        <v>REPOSITOR</v>
      </c>
      <c r="D725" s="72" t="str">
        <f ca="1">IFERROR(IF(TODAY()-K725&gt;365,"Inativo",IF(J725=2,"Férias",IF(J725=7,"Demitido","Afastamento"))),VLOOKUP(J725,Conf!$H:$I,2,0))</f>
        <v>Ativos</v>
      </c>
      <c r="E725" s="187">
        <v>8</v>
      </c>
      <c r="F725" s="187">
        <v>354</v>
      </c>
      <c r="G725" t="s">
        <v>1365</v>
      </c>
      <c r="H725" s="71"/>
      <c r="I725" t="s">
        <v>220</v>
      </c>
      <c r="J725" s="187">
        <v>1</v>
      </c>
      <c r="K725" t="s">
        <v>1385</v>
      </c>
      <c r="L725" s="185"/>
      <c r="M725" s="188">
        <v>46204</v>
      </c>
      <c r="N725" s="71"/>
      <c r="Q725" s="71"/>
      <c r="R725" s="71"/>
      <c r="S725" t="s">
        <v>939</v>
      </c>
      <c r="T725" s="71"/>
    </row>
    <row r="726" spans="1:20" x14ac:dyDescent="0.3">
      <c r="A726" s="72">
        <f>IFERROR(VLOOKUP($G726,Conf!$B:$C,2,0),E726)</f>
        <v>8</v>
      </c>
      <c r="B726" s="72" t="str">
        <f ca="1">IF(D726="Inativo","Inativo",IFERROR(VLOOKUP($G726,Conf!$O:$Q,2,0),VLOOKUP($S726,Conf!$K:$M,2,0)))</f>
        <v>HORTIFRUTI</v>
      </c>
      <c r="C726" s="72" t="str">
        <f ca="1">IF(D726="Inativo","Inativo",IFERROR(VLOOKUP($G726,Conf!$O:$Q,3,0),IFERROR(VLOOKUP($G726,Conf!$E:$F,2,0),VLOOKUP($S726,Conf!$K:$M,3,0))))</f>
        <v>REPOSITOR</v>
      </c>
      <c r="D726" s="72" t="str">
        <f ca="1">IFERROR(IF(TODAY()-K726&gt;365,"Inativo",IF(J726=2,"Férias",IF(J726=7,"Demitido","Afastamento"))),VLOOKUP(J726,Conf!$H:$I,2,0))</f>
        <v>Ativos</v>
      </c>
      <c r="E726" s="187">
        <v>8</v>
      </c>
      <c r="F726" s="187">
        <v>357</v>
      </c>
      <c r="G726" t="s">
        <v>1414</v>
      </c>
      <c r="H726" s="71"/>
      <c r="I726" t="s">
        <v>222</v>
      </c>
      <c r="J726" s="187">
        <v>1</v>
      </c>
      <c r="K726" t="s">
        <v>1385</v>
      </c>
      <c r="L726" s="185"/>
      <c r="M726" s="188">
        <v>46218</v>
      </c>
      <c r="N726" s="71"/>
      <c r="Q726" s="71"/>
      <c r="R726" s="71"/>
      <c r="S726" t="s">
        <v>939</v>
      </c>
      <c r="T726" s="71"/>
    </row>
    <row r="727" spans="1:20" x14ac:dyDescent="0.3">
      <c r="A727" s="72">
        <f>IFERROR(VLOOKUP($G727,Conf!$B:$C,2,0),E727)</f>
        <v>8</v>
      </c>
      <c r="B727" s="72" t="str">
        <f ca="1">IF(D727="Inativo","Inativo",IFERROR(VLOOKUP($G727,Conf!$O:$Q,2,0),VLOOKUP($S727,Conf!$K:$M,2,0)))</f>
        <v>HORTIFRUTI</v>
      </c>
      <c r="C727" s="72" t="str">
        <f ca="1">IF(D727="Inativo","Inativo",IFERROR(VLOOKUP($G727,Conf!$O:$Q,3,0),IFERROR(VLOOKUP($G727,Conf!$E:$F,2,0),VLOOKUP($S727,Conf!$K:$M,3,0))))</f>
        <v>REPOSITOR</v>
      </c>
      <c r="D727" s="72" t="str">
        <f ca="1">IFERROR(IF(TODAY()-K727&gt;365,"Inativo",IF(J727=2,"Férias",IF(J727=7,"Demitido","Afastamento"))),VLOOKUP(J727,Conf!$H:$I,2,0))</f>
        <v>Demitido</v>
      </c>
      <c r="E727" s="187">
        <v>8</v>
      </c>
      <c r="F727" s="187">
        <v>331</v>
      </c>
      <c r="G727" t="s">
        <v>940</v>
      </c>
      <c r="H727" s="71"/>
      <c r="I727" t="s">
        <v>357</v>
      </c>
      <c r="J727" s="187">
        <v>7</v>
      </c>
      <c r="K727" t="s">
        <v>1551</v>
      </c>
      <c r="L727" s="185"/>
      <c r="M727" s="188">
        <v>46097</v>
      </c>
      <c r="N727" s="71"/>
      <c r="Q727" s="71"/>
      <c r="R727" s="71"/>
      <c r="S727" t="s">
        <v>939</v>
      </c>
      <c r="T727" s="71"/>
    </row>
    <row r="728" spans="1:20" x14ac:dyDescent="0.3">
      <c r="A728" s="72">
        <f>IFERROR(VLOOKUP($G728,Conf!$B:$C,2,0),E728)</f>
        <v>8</v>
      </c>
      <c r="B728" s="72" t="str">
        <f ca="1">IF(D728="Inativo","Inativo",IFERROR(VLOOKUP($G728,Conf!$O:$Q,2,0),VLOOKUP($S728,Conf!$K:$M,2,0)))</f>
        <v>Inativo</v>
      </c>
      <c r="C728" s="72" t="str">
        <f ca="1">IF(D728="Inativo","Inativo",IFERROR(VLOOKUP($G728,Conf!$O:$Q,3,0),IFERROR(VLOOKUP($G728,Conf!$E:$F,2,0),VLOOKUP($S728,Conf!$K:$M,3,0))))</f>
        <v>Inativo</v>
      </c>
      <c r="D728" s="72" t="str">
        <f ca="1">IFERROR(IF(TODAY()-K728&gt;365,"Inativo",IF(J728=2,"Férias",IF(J728=7,"Demitido","Afastamento"))),VLOOKUP(J728,Conf!$H:$I,2,0))</f>
        <v>Inativo</v>
      </c>
      <c r="E728" s="187">
        <v>8</v>
      </c>
      <c r="F728" s="187">
        <v>34</v>
      </c>
      <c r="G728" t="s">
        <v>941</v>
      </c>
      <c r="H728" s="71"/>
      <c r="I728" t="s">
        <v>222</v>
      </c>
      <c r="J728" s="187">
        <v>3</v>
      </c>
      <c r="K728" t="s">
        <v>942</v>
      </c>
      <c r="L728" s="185"/>
      <c r="M728" s="188">
        <v>44643</v>
      </c>
      <c r="N728" s="71"/>
      <c r="Q728" s="71"/>
      <c r="R728" s="71"/>
      <c r="S728" t="s">
        <v>943</v>
      </c>
      <c r="T728" s="71"/>
    </row>
    <row r="729" spans="1:20" x14ac:dyDescent="0.3">
      <c r="A729" s="72">
        <f>IFERROR(VLOOKUP($G729,Conf!$B:$C,2,0),E729)</f>
        <v>8</v>
      </c>
      <c r="B729" s="72" t="str">
        <f ca="1">IF(D729="Inativo","Inativo",IFERROR(VLOOKUP($G729,Conf!$O:$Q,2,0),VLOOKUP($S729,Conf!$K:$M,2,0)))</f>
        <v>LOJA</v>
      </c>
      <c r="C729" s="72" t="str">
        <f ca="1">IF(D729="Inativo","Inativo",IFERROR(VLOOKUP($G729,Conf!$O:$Q,3,0),IFERROR(VLOOKUP($G729,Conf!$E:$F,2,0),VLOOKUP($S729,Conf!$K:$M,3,0))))</f>
        <v>CARTAZISTA</v>
      </c>
      <c r="D729" s="72" t="str">
        <f ca="1">IFERROR(IF(TODAY()-K729&gt;365,"Inativo",IF(J729=2,"Férias",IF(J729=7,"Demitido","Afastamento"))),VLOOKUP(J729,Conf!$H:$I,2,0))</f>
        <v>Ativos</v>
      </c>
      <c r="E729" s="187">
        <v>8</v>
      </c>
      <c r="F729" s="187">
        <v>178</v>
      </c>
      <c r="G729" t="s">
        <v>949</v>
      </c>
      <c r="H729" s="71"/>
      <c r="I729" t="s">
        <v>225</v>
      </c>
      <c r="J729" s="187">
        <v>1</v>
      </c>
      <c r="K729" t="s">
        <v>1385</v>
      </c>
      <c r="L729" s="185"/>
      <c r="M729" s="188">
        <v>45385</v>
      </c>
      <c r="N729" s="71"/>
      <c r="Q729" s="71"/>
      <c r="R729" s="71"/>
      <c r="S729" t="s">
        <v>950</v>
      </c>
      <c r="T729" s="71"/>
    </row>
    <row r="730" spans="1:20" x14ac:dyDescent="0.3">
      <c r="A730" s="72">
        <f>IFERROR(VLOOKUP($G730,Conf!$B:$C,2,0),E730)</f>
        <v>8</v>
      </c>
      <c r="B730" s="72" t="str">
        <f ca="1">IF(D730="Inativo","Inativo",IFERROR(VLOOKUP($G730,Conf!$O:$Q,2,0),VLOOKUP($S730,Conf!$K:$M,2,0)))</f>
        <v>LOJA</v>
      </c>
      <c r="C730" s="72" t="str">
        <f ca="1">IF(D730="Inativo","Inativo",IFERROR(VLOOKUP($G730,Conf!$O:$Q,3,0),IFERROR(VLOOKUP($G730,Conf!$E:$F,2,0),VLOOKUP($S730,Conf!$K:$M,3,0))))</f>
        <v>REPOSITOR</v>
      </c>
      <c r="D730" s="72" t="str">
        <f ca="1">IFERROR(IF(TODAY()-K730&gt;365,"Inativo",IF(J730=2,"Férias",IF(J730=7,"Demitido","Afastamento"))),VLOOKUP(J730,Conf!$H:$I,2,0))</f>
        <v>Ativos</v>
      </c>
      <c r="E730" s="187">
        <v>8</v>
      </c>
      <c r="F730" s="187">
        <v>334</v>
      </c>
      <c r="G730" t="s">
        <v>956</v>
      </c>
      <c r="H730" s="71"/>
      <c r="I730" t="s">
        <v>357</v>
      </c>
      <c r="J730" s="187">
        <v>1</v>
      </c>
      <c r="K730" t="s">
        <v>1385</v>
      </c>
      <c r="L730" s="185"/>
      <c r="M730" s="188">
        <v>46113</v>
      </c>
      <c r="N730" s="71"/>
      <c r="Q730" s="71"/>
      <c r="R730" s="71"/>
      <c r="S730" t="s">
        <v>957</v>
      </c>
      <c r="T730" s="71"/>
    </row>
    <row r="731" spans="1:20" x14ac:dyDescent="0.3">
      <c r="A731" s="72">
        <f>IFERROR(VLOOKUP($G731,Conf!$B:$C,2,0),E731)</f>
        <v>8</v>
      </c>
      <c r="B731" s="72" t="str">
        <f ca="1">IF(D731="Inativo","Inativo",IFERROR(VLOOKUP($G731,Conf!$O:$Q,2,0),VLOOKUP($S731,Conf!$K:$M,2,0)))</f>
        <v>LOJA</v>
      </c>
      <c r="C731" s="72" t="str">
        <f ca="1">IF(D731="Inativo","Inativo",IFERROR(VLOOKUP($G731,Conf!$O:$Q,3,0),IFERROR(VLOOKUP($G731,Conf!$E:$F,2,0),VLOOKUP($S731,Conf!$K:$M,3,0))))</f>
        <v>REPOSITOR</v>
      </c>
      <c r="D731" s="72" t="str">
        <f ca="1">IFERROR(IF(TODAY()-K731&gt;365,"Inativo",IF(J731=2,"Férias",IF(J731=7,"Demitido","Afastamento"))),VLOOKUP(J731,Conf!$H:$I,2,0))</f>
        <v>Ativos</v>
      </c>
      <c r="E731" s="187">
        <v>8</v>
      </c>
      <c r="F731" s="187">
        <v>323</v>
      </c>
      <c r="G731" t="s">
        <v>960</v>
      </c>
      <c r="H731" s="71"/>
      <c r="I731" t="s">
        <v>357</v>
      </c>
      <c r="J731" s="187">
        <v>1</v>
      </c>
      <c r="K731" t="s">
        <v>1385</v>
      </c>
      <c r="L731" s="185"/>
      <c r="M731" s="188">
        <v>46085</v>
      </c>
      <c r="N731" s="71"/>
      <c r="O731" s="71"/>
      <c r="P731" s="71"/>
      <c r="Q731" s="71"/>
      <c r="R731" s="71"/>
      <c r="S731" t="s">
        <v>955</v>
      </c>
      <c r="T731" s="71"/>
    </row>
    <row r="732" spans="1:20" x14ac:dyDescent="0.3">
      <c r="A732" s="72">
        <f>IFERROR(VLOOKUP($G732,Conf!$B:$C,2,0),E732)</f>
        <v>8</v>
      </c>
      <c r="B732" s="72" t="str">
        <f ca="1">IF(D732="Inativo","Inativo",IFERROR(VLOOKUP($G732,Conf!$O:$Q,2,0),VLOOKUP($S732,Conf!$K:$M,2,0)))</f>
        <v>LOJA</v>
      </c>
      <c r="C732" s="72" t="str">
        <f ca="1">IF(D732="Inativo","Inativo",IFERROR(VLOOKUP($G732,Conf!$O:$Q,3,0),IFERROR(VLOOKUP($G732,Conf!$E:$F,2,0),VLOOKUP($S732,Conf!$K:$M,3,0))))</f>
        <v>REPOSITOR</v>
      </c>
      <c r="D732" s="72" t="str">
        <f ca="1">IFERROR(IF(TODAY()-K732&gt;365,"Inativo",IF(J732=2,"Férias",IF(J732=7,"Demitido","Afastamento"))),VLOOKUP(J732,Conf!$H:$I,2,0))</f>
        <v>Ativos</v>
      </c>
      <c r="E732" s="187">
        <v>8</v>
      </c>
      <c r="F732" s="187">
        <v>376</v>
      </c>
      <c r="G732" t="s">
        <v>1574</v>
      </c>
      <c r="H732" s="71"/>
      <c r="I732" t="s">
        <v>357</v>
      </c>
      <c r="J732" s="187">
        <v>1</v>
      </c>
      <c r="K732" t="s">
        <v>1385</v>
      </c>
      <c r="L732" s="185"/>
      <c r="M732" s="188">
        <v>46280</v>
      </c>
      <c r="N732" s="71"/>
      <c r="O732" s="71"/>
      <c r="P732" s="71"/>
      <c r="Q732" s="71"/>
      <c r="R732" s="71"/>
      <c r="S732" t="s">
        <v>955</v>
      </c>
      <c r="T732" s="71"/>
    </row>
    <row r="733" spans="1:20" x14ac:dyDescent="0.3">
      <c r="A733" s="72">
        <f>IFERROR(VLOOKUP($G733,Conf!$B:$C,2,0),E733)</f>
        <v>8</v>
      </c>
      <c r="B733" s="72" t="str">
        <f ca="1">IF(D733="Inativo","Inativo",IFERROR(VLOOKUP($G733,Conf!$O:$Q,2,0),VLOOKUP($S733,Conf!$K:$M,2,0)))</f>
        <v>LOJA</v>
      </c>
      <c r="C733" s="72" t="str">
        <f ca="1">IF(D733="Inativo","Inativo",IFERROR(VLOOKUP($G733,Conf!$O:$Q,3,0),IFERROR(VLOOKUP($G733,Conf!$E:$F,2,0),VLOOKUP($S733,Conf!$K:$M,3,0))))</f>
        <v>REPOSITOR</v>
      </c>
      <c r="D733" s="72" t="str">
        <f ca="1">IFERROR(IF(TODAY()-K733&gt;365,"Inativo",IF(J733=2,"Férias",IF(J733=7,"Demitido","Afastamento"))),VLOOKUP(J733,Conf!$H:$I,2,0))</f>
        <v>Ativos</v>
      </c>
      <c r="E733" s="187">
        <v>8</v>
      </c>
      <c r="F733" s="187">
        <v>336</v>
      </c>
      <c r="G733" t="s">
        <v>961</v>
      </c>
      <c r="H733" s="71"/>
      <c r="I733" t="s">
        <v>222</v>
      </c>
      <c r="J733" s="187">
        <v>1</v>
      </c>
      <c r="K733" t="s">
        <v>1385</v>
      </c>
      <c r="L733" s="185"/>
      <c r="M733" s="188">
        <v>46114</v>
      </c>
      <c r="N733" s="71"/>
      <c r="Q733" s="71"/>
      <c r="R733" s="71"/>
      <c r="S733" t="s">
        <v>955</v>
      </c>
      <c r="T733" s="71"/>
    </row>
    <row r="734" spans="1:20" x14ac:dyDescent="0.3">
      <c r="A734" s="72">
        <f>IFERROR(VLOOKUP($G734,Conf!$B:$C,2,0),E734)</f>
        <v>8</v>
      </c>
      <c r="B734" s="72" t="str">
        <f ca="1">IF(D734="Inativo","Inativo",IFERROR(VLOOKUP($G734,Conf!$O:$Q,2,0),VLOOKUP($S734,Conf!$K:$M,2,0)))</f>
        <v>LOJA</v>
      </c>
      <c r="C734" s="72" t="str">
        <f ca="1">IF(D734="Inativo","Inativo",IFERROR(VLOOKUP($G734,Conf!$O:$Q,3,0),IFERROR(VLOOKUP($G734,Conf!$E:$F,2,0),VLOOKUP($S734,Conf!$K:$M,3,0))))</f>
        <v>REPOSITOR</v>
      </c>
      <c r="D734" s="72" t="str">
        <f ca="1">IFERROR(IF(TODAY()-K734&gt;365,"Inativo",IF(J734=2,"Férias",IF(J734=7,"Demitido","Afastamento"))),VLOOKUP(J734,Conf!$H:$I,2,0))</f>
        <v>Ativos</v>
      </c>
      <c r="E734" s="187">
        <v>8</v>
      </c>
      <c r="F734" s="187">
        <v>353</v>
      </c>
      <c r="G734" t="s">
        <v>1364</v>
      </c>
      <c r="H734" s="71"/>
      <c r="I734" t="s">
        <v>222</v>
      </c>
      <c r="J734" s="187">
        <v>1</v>
      </c>
      <c r="K734" t="s">
        <v>1385</v>
      </c>
      <c r="L734" s="185"/>
      <c r="M734" s="188">
        <v>46204</v>
      </c>
      <c r="N734" s="71"/>
      <c r="O734" s="71"/>
      <c r="P734" s="71"/>
      <c r="Q734" s="71"/>
      <c r="R734" s="71"/>
      <c r="S734" t="s">
        <v>955</v>
      </c>
      <c r="T734" s="71"/>
    </row>
    <row r="735" spans="1:20" x14ac:dyDescent="0.3">
      <c r="A735" s="72">
        <f>IFERROR(VLOOKUP($G735,Conf!$B:$C,2,0),E735)</f>
        <v>8</v>
      </c>
      <c r="B735" s="72" t="str">
        <f ca="1">IF(D735="Inativo","Inativo",IFERROR(VLOOKUP($G735,Conf!$O:$Q,2,0),VLOOKUP($S735,Conf!$K:$M,2,0)))</f>
        <v>LOJA</v>
      </c>
      <c r="C735" s="72" t="str">
        <f ca="1">IF(D735="Inativo","Inativo",IFERROR(VLOOKUP($G735,Conf!$O:$Q,3,0),IFERROR(VLOOKUP($G735,Conf!$E:$F,2,0),VLOOKUP($S735,Conf!$K:$M,3,0))))</f>
        <v>REPOSITOR</v>
      </c>
      <c r="D735" s="72" t="str">
        <f ca="1">IFERROR(IF(TODAY()-K735&gt;365,"Inativo",IF(J735=2,"Férias",IF(J735=7,"Demitido","Afastamento"))),VLOOKUP(J735,Conf!$H:$I,2,0))</f>
        <v>Ativos</v>
      </c>
      <c r="E735" s="187">
        <v>8</v>
      </c>
      <c r="F735" s="187">
        <v>368</v>
      </c>
      <c r="G735" t="s">
        <v>1467</v>
      </c>
      <c r="H735" s="71"/>
      <c r="I735" t="s">
        <v>357</v>
      </c>
      <c r="J735" s="187">
        <v>1</v>
      </c>
      <c r="K735" t="s">
        <v>1385</v>
      </c>
      <c r="L735" s="185"/>
      <c r="M735" s="188">
        <v>46247</v>
      </c>
      <c r="N735" s="71"/>
      <c r="O735" s="71"/>
      <c r="P735" s="71"/>
      <c r="Q735" s="71"/>
      <c r="R735" s="71"/>
      <c r="S735" t="s">
        <v>955</v>
      </c>
      <c r="T735" s="71"/>
    </row>
    <row r="736" spans="1:20" x14ac:dyDescent="0.3">
      <c r="A736" s="72">
        <f>IFERROR(VLOOKUP($G736,Conf!$B:$C,2,0),E736)</f>
        <v>8</v>
      </c>
      <c r="B736" s="72" t="str">
        <f ca="1">IF(D736="Inativo","Inativo",IFERROR(VLOOKUP($G736,Conf!$O:$Q,2,0),VLOOKUP($S736,Conf!$K:$M,2,0)))</f>
        <v>LOJA</v>
      </c>
      <c r="C736" s="72" t="str">
        <f ca="1">IF(D736="Inativo","Inativo",IFERROR(VLOOKUP($G736,Conf!$O:$Q,3,0),IFERROR(VLOOKUP($G736,Conf!$E:$F,2,0),VLOOKUP($S736,Conf!$K:$M,3,0))))</f>
        <v>REPOSITOR</v>
      </c>
      <c r="D736" s="72" t="str">
        <f ca="1">IFERROR(IF(TODAY()-K736&gt;365,"Inativo",IF(J736=2,"Férias",IF(J736=7,"Demitido","Afastamento"))),VLOOKUP(J736,Conf!$H:$I,2,0))</f>
        <v>Ativos</v>
      </c>
      <c r="E736" s="187">
        <v>8</v>
      </c>
      <c r="F736" s="187">
        <v>335</v>
      </c>
      <c r="G736" t="s">
        <v>962</v>
      </c>
      <c r="H736" s="71"/>
      <c r="I736" t="s">
        <v>357</v>
      </c>
      <c r="J736" s="187">
        <v>1</v>
      </c>
      <c r="K736" t="s">
        <v>1385</v>
      </c>
      <c r="L736" s="185"/>
      <c r="M736" s="188">
        <v>46113</v>
      </c>
      <c r="N736" s="71"/>
      <c r="Q736" s="71"/>
      <c r="R736" s="71"/>
      <c r="S736" t="s">
        <v>955</v>
      </c>
      <c r="T736" s="71"/>
    </row>
    <row r="737" spans="1:20" x14ac:dyDescent="0.3">
      <c r="A737" s="72">
        <f>IFERROR(VLOOKUP($G737,Conf!$B:$C,2,0),E737)</f>
        <v>8</v>
      </c>
      <c r="B737" s="72" t="str">
        <f ca="1">IF(D737="Inativo","Inativo",IFERROR(VLOOKUP($G737,Conf!$O:$Q,2,0),VLOOKUP($S737,Conf!$K:$M,2,0)))</f>
        <v>LOJA</v>
      </c>
      <c r="C737" s="72" t="str">
        <f ca="1">IF(D737="Inativo","Inativo",IFERROR(VLOOKUP($G737,Conf!$O:$Q,3,0),IFERROR(VLOOKUP($G737,Conf!$E:$F,2,0),VLOOKUP($S737,Conf!$K:$M,3,0))))</f>
        <v>REPOSITOR</v>
      </c>
      <c r="D737" s="72" t="str">
        <f ca="1">IFERROR(IF(TODAY()-K737&gt;365,"Inativo",IF(J737=2,"Férias",IF(J737=7,"Demitido","Afastamento"))),VLOOKUP(J737,Conf!$H:$I,2,0))</f>
        <v>Ativos</v>
      </c>
      <c r="E737" s="187">
        <v>8</v>
      </c>
      <c r="F737" s="187">
        <v>355</v>
      </c>
      <c r="G737" t="s">
        <v>1398</v>
      </c>
      <c r="H737" s="71"/>
      <c r="I737" t="s">
        <v>357</v>
      </c>
      <c r="J737" s="187">
        <v>1</v>
      </c>
      <c r="K737" t="s">
        <v>1385</v>
      </c>
      <c r="L737" s="185"/>
      <c r="M737" s="188">
        <v>46209</v>
      </c>
      <c r="N737" s="71"/>
      <c r="O737" s="71"/>
      <c r="P737" s="71"/>
      <c r="Q737" s="71"/>
      <c r="R737" s="71"/>
      <c r="S737" t="s">
        <v>955</v>
      </c>
      <c r="T737" s="71"/>
    </row>
    <row r="738" spans="1:20" x14ac:dyDescent="0.3">
      <c r="A738" s="72">
        <f>IFERROR(VLOOKUP($G738,Conf!$B:$C,2,0),E738)</f>
        <v>8</v>
      </c>
      <c r="B738" s="72" t="str">
        <f ca="1">IF(D738="Inativo","Inativo",IFERROR(VLOOKUP($G738,Conf!$O:$Q,2,0),VLOOKUP($S738,Conf!$K:$M,2,0)))</f>
        <v>LOJA</v>
      </c>
      <c r="C738" s="72" t="str">
        <f ca="1">IF(D738="Inativo","Inativo",IFERROR(VLOOKUP($G738,Conf!$O:$Q,3,0),IFERROR(VLOOKUP($G738,Conf!$E:$F,2,0),VLOOKUP($S738,Conf!$K:$M,3,0))))</f>
        <v>REPOSITOR</v>
      </c>
      <c r="D738" s="72" t="str">
        <f ca="1">IFERROR(IF(TODAY()-K738&gt;365,"Inativo",IF(J738=2,"Férias",IF(J738=7,"Demitido","Afastamento"))),VLOOKUP(J738,Conf!$H:$I,2,0))</f>
        <v>Ativos</v>
      </c>
      <c r="E738" s="187">
        <v>8</v>
      </c>
      <c r="F738" s="187">
        <v>347</v>
      </c>
      <c r="G738" t="s">
        <v>653</v>
      </c>
      <c r="H738" s="71"/>
      <c r="I738" t="s">
        <v>357</v>
      </c>
      <c r="J738" s="187">
        <v>1</v>
      </c>
      <c r="K738" t="s">
        <v>1385</v>
      </c>
      <c r="L738" s="185"/>
      <c r="M738" s="188">
        <v>46175</v>
      </c>
      <c r="N738" s="71"/>
      <c r="Q738" s="71"/>
      <c r="R738" s="71"/>
      <c r="S738" t="s">
        <v>955</v>
      </c>
      <c r="T738" s="71"/>
    </row>
    <row r="739" spans="1:20" x14ac:dyDescent="0.3">
      <c r="A739" s="72">
        <f>IFERROR(VLOOKUP($G739,Conf!$B:$C,2,0),E739)</f>
        <v>8</v>
      </c>
      <c r="B739" s="72" t="str">
        <f ca="1">IF(D739="Inativo","Inativo",IFERROR(VLOOKUP($G739,Conf!$O:$Q,2,0),VLOOKUP($S739,Conf!$K:$M,2,0)))</f>
        <v>LOJA</v>
      </c>
      <c r="C739" s="72" t="str">
        <f ca="1">IF(D739="Inativo","Inativo",IFERROR(VLOOKUP($G739,Conf!$O:$Q,3,0),IFERROR(VLOOKUP($G739,Conf!$E:$F,2,0),VLOOKUP($S739,Conf!$K:$M,3,0))))</f>
        <v>REPOSITOR</v>
      </c>
      <c r="D739" s="72" t="str">
        <f ca="1">IFERROR(IF(TODAY()-K739&gt;365,"Inativo",IF(J739=2,"Férias",IF(J739=7,"Demitido","Afastamento"))),VLOOKUP(J739,Conf!$H:$I,2,0))</f>
        <v>Ativos</v>
      </c>
      <c r="E739" s="187">
        <v>8</v>
      </c>
      <c r="F739" s="187">
        <v>346</v>
      </c>
      <c r="G739" t="s">
        <v>963</v>
      </c>
      <c r="H739" s="71"/>
      <c r="I739" t="s">
        <v>319</v>
      </c>
      <c r="J739" s="187">
        <v>1</v>
      </c>
      <c r="K739" t="s">
        <v>1385</v>
      </c>
      <c r="L739" s="185"/>
      <c r="M739" s="188">
        <v>46160</v>
      </c>
      <c r="N739" s="71"/>
      <c r="Q739" s="71"/>
      <c r="R739" s="71"/>
      <c r="S739" t="s">
        <v>955</v>
      </c>
      <c r="T739" s="71"/>
    </row>
    <row r="740" spans="1:20" x14ac:dyDescent="0.3">
      <c r="A740" s="72">
        <f>IFERROR(VLOOKUP($G740,Conf!$B:$C,2,0),E740)</f>
        <v>8</v>
      </c>
      <c r="B740" s="72" t="str">
        <f ca="1">IF(D740="Inativo","Inativo",IFERROR(VLOOKUP($G740,Conf!$O:$Q,2,0),VLOOKUP($S740,Conf!$K:$M,2,0)))</f>
        <v>PADARIA</v>
      </c>
      <c r="C740" s="72" t="str">
        <f ca="1">IF(D740="Inativo","Inativo",IFERROR(VLOOKUP($G740,Conf!$O:$Q,3,0),IFERROR(VLOOKUP($G740,Conf!$E:$F,2,0),VLOOKUP($S740,Conf!$K:$M,3,0))))</f>
        <v>ATENDENTE</v>
      </c>
      <c r="D740" s="72" t="str">
        <f ca="1">IFERROR(IF(TODAY()-K740&gt;365,"Inativo",IF(J740=2,"Férias",IF(J740=7,"Demitido","Afastamento"))),VLOOKUP(J740,Conf!$H:$I,2,0))</f>
        <v>Ativos</v>
      </c>
      <c r="E740" s="187">
        <v>8</v>
      </c>
      <c r="F740" s="187">
        <v>343</v>
      </c>
      <c r="G740" t="s">
        <v>972</v>
      </c>
      <c r="H740" s="71"/>
      <c r="I740" t="s">
        <v>357</v>
      </c>
      <c r="J740" s="187">
        <v>1</v>
      </c>
      <c r="K740" t="s">
        <v>1385</v>
      </c>
      <c r="L740" s="185"/>
      <c r="M740" s="188">
        <v>46150</v>
      </c>
      <c r="N740" s="71"/>
      <c r="O740" s="71"/>
      <c r="P740" s="71"/>
      <c r="Q740" s="71"/>
      <c r="R740" s="71"/>
      <c r="S740" t="s">
        <v>966</v>
      </c>
      <c r="T740" s="71"/>
    </row>
    <row r="741" spans="1:20" x14ac:dyDescent="0.3">
      <c r="A741" s="72">
        <f>IFERROR(VLOOKUP($G741,Conf!$B:$C,2,0),E741)</f>
        <v>8</v>
      </c>
      <c r="B741" s="72" t="str">
        <f ca="1">IF(D741="Inativo","Inativo",IFERROR(VLOOKUP($G741,Conf!$O:$Q,2,0),VLOOKUP($S741,Conf!$K:$M,2,0)))</f>
        <v>PADARIA</v>
      </c>
      <c r="C741" s="72" t="str">
        <f ca="1">IF(D741="Inativo","Inativo",IFERROR(VLOOKUP($G741,Conf!$O:$Q,3,0),IFERROR(VLOOKUP($G741,Conf!$E:$F,2,0),VLOOKUP($S741,Conf!$K:$M,3,0))))</f>
        <v>AUXILIAR</v>
      </c>
      <c r="D741" s="72" t="str">
        <f ca="1">IFERROR(IF(TODAY()-K741&gt;365,"Inativo",IF(J741=2,"Férias",IF(J741=7,"Demitido","Afastamento"))),VLOOKUP(J741,Conf!$H:$I,2,0))</f>
        <v>Ativos</v>
      </c>
      <c r="E741" s="187">
        <v>8</v>
      </c>
      <c r="F741" s="187">
        <v>286</v>
      </c>
      <c r="G741" t="s">
        <v>967</v>
      </c>
      <c r="H741" s="71"/>
      <c r="I741" t="s">
        <v>357</v>
      </c>
      <c r="J741" s="187">
        <v>1</v>
      </c>
      <c r="K741" t="s">
        <v>1385</v>
      </c>
      <c r="L741" s="185"/>
      <c r="M741" s="188">
        <v>45931</v>
      </c>
      <c r="N741" s="71"/>
      <c r="Q741" s="71"/>
      <c r="R741" s="71"/>
      <c r="S741" t="s">
        <v>968</v>
      </c>
      <c r="T741" s="71"/>
    </row>
    <row r="742" spans="1:20" x14ac:dyDescent="0.3">
      <c r="A742" s="72">
        <f>IFERROR(VLOOKUP($G742,Conf!$B:$C,2,0),E742)</f>
        <v>8</v>
      </c>
      <c r="B742" s="72" t="str">
        <f ca="1">IF(D742="Inativo","Inativo",IFERROR(VLOOKUP($G742,Conf!$O:$Q,2,0),VLOOKUP($S742,Conf!$K:$M,2,0)))</f>
        <v>PADARIA</v>
      </c>
      <c r="C742" s="72" t="str">
        <f ca="1">IF(D742="Inativo","Inativo",IFERROR(VLOOKUP($G742,Conf!$O:$Q,3,0),IFERROR(VLOOKUP($G742,Conf!$E:$F,2,0),VLOOKUP($S742,Conf!$K:$M,3,0))))</f>
        <v>AUXILIAR</v>
      </c>
      <c r="D742" s="72" t="str">
        <f ca="1">IFERROR(IF(TODAY()-K742&gt;365,"Inativo",IF(J742=2,"Férias",IF(J742=7,"Demitido","Afastamento"))),VLOOKUP(J742,Conf!$H:$I,2,0))</f>
        <v>Ativos</v>
      </c>
      <c r="E742" s="187">
        <v>8</v>
      </c>
      <c r="F742" s="187">
        <v>270</v>
      </c>
      <c r="G742" t="s">
        <v>969</v>
      </c>
      <c r="H742" s="71"/>
      <c r="I742" t="s">
        <v>357</v>
      </c>
      <c r="J742" s="187">
        <v>1</v>
      </c>
      <c r="K742" t="s">
        <v>1385</v>
      </c>
      <c r="L742" s="185"/>
      <c r="M742" s="188">
        <v>45848</v>
      </c>
      <c r="N742" s="71"/>
      <c r="Q742" s="71"/>
      <c r="R742" s="71"/>
      <c r="S742" t="s">
        <v>968</v>
      </c>
      <c r="T742" s="71"/>
    </row>
    <row r="743" spans="1:20" x14ac:dyDescent="0.3">
      <c r="A743" s="72">
        <f>IFERROR(VLOOKUP($G743,Conf!$B:$C,2,0),E743)</f>
        <v>8</v>
      </c>
      <c r="B743" s="72" t="str">
        <f ca="1">IF(D743="Inativo","Inativo",IFERROR(VLOOKUP($G743,Conf!$O:$Q,2,0),VLOOKUP($S743,Conf!$K:$M,2,0)))</f>
        <v>PADARIA</v>
      </c>
      <c r="C743" s="72" t="str">
        <f ca="1">IF(D743="Inativo","Inativo",IFERROR(VLOOKUP($G743,Conf!$O:$Q,3,0),IFERROR(VLOOKUP($G743,Conf!$E:$F,2,0),VLOOKUP($S743,Conf!$K:$M,3,0))))</f>
        <v>AUXILIAR</v>
      </c>
      <c r="D743" s="72" t="str">
        <f ca="1">IFERROR(IF(TODAY()-K743&gt;365,"Inativo",IF(J743=2,"Férias",IF(J743=7,"Demitido","Afastamento"))),VLOOKUP(J743,Conf!$H:$I,2,0))</f>
        <v>Ativos</v>
      </c>
      <c r="E743" s="187">
        <v>8</v>
      </c>
      <c r="F743" s="187">
        <v>130</v>
      </c>
      <c r="G743" t="s">
        <v>970</v>
      </c>
      <c r="H743" s="71"/>
      <c r="I743" t="s">
        <v>390</v>
      </c>
      <c r="J743" s="187">
        <v>1</v>
      </c>
      <c r="K743" t="s">
        <v>1385</v>
      </c>
      <c r="L743" s="185"/>
      <c r="M743" s="188">
        <v>45070</v>
      </c>
      <c r="N743" s="71"/>
      <c r="Q743" s="71"/>
      <c r="R743" s="71"/>
      <c r="S743" t="s">
        <v>968</v>
      </c>
      <c r="T743" s="71"/>
    </row>
    <row r="744" spans="1:20" x14ac:dyDescent="0.3">
      <c r="A744" s="72">
        <f>IFERROR(VLOOKUP($G744,Conf!$B:$C,2,0),E744)</f>
        <v>8</v>
      </c>
      <c r="B744" s="72" t="str">
        <f ca="1">IF(D744="Inativo","Inativo",IFERROR(VLOOKUP($G744,Conf!$O:$Q,2,0),VLOOKUP($S744,Conf!$K:$M,2,0)))</f>
        <v>PADARIA</v>
      </c>
      <c r="C744" s="72" t="str">
        <f ca="1">IF(D744="Inativo","Inativo",IFERROR(VLOOKUP($G744,Conf!$O:$Q,3,0),IFERROR(VLOOKUP($G744,Conf!$E:$F,2,0),VLOOKUP($S744,Conf!$K:$M,3,0))))</f>
        <v>AUXILIAR</v>
      </c>
      <c r="D744" s="72" t="str">
        <f ca="1">IFERROR(IF(TODAY()-K744&gt;365,"Inativo",IF(J744=2,"Férias",IF(J744=7,"Demitido","Afastamento"))),VLOOKUP(J744,Conf!$H:$I,2,0))</f>
        <v>Ativos</v>
      </c>
      <c r="E744" s="187">
        <v>8</v>
      </c>
      <c r="F744" s="187">
        <v>366</v>
      </c>
      <c r="G744" t="s">
        <v>1457</v>
      </c>
      <c r="H744" s="71"/>
      <c r="I744" t="s">
        <v>357</v>
      </c>
      <c r="J744" s="187">
        <v>1</v>
      </c>
      <c r="K744" t="s">
        <v>1385</v>
      </c>
      <c r="L744" s="185"/>
      <c r="M744" s="188">
        <v>46240</v>
      </c>
      <c r="N744" s="71"/>
      <c r="Q744" s="71"/>
      <c r="R744" s="71"/>
      <c r="S744" t="s">
        <v>968</v>
      </c>
      <c r="T744" s="71"/>
    </row>
    <row r="745" spans="1:20" x14ac:dyDescent="0.3">
      <c r="A745" s="72">
        <f>IFERROR(VLOOKUP($G745,Conf!$B:$C,2,0),E745)</f>
        <v>8</v>
      </c>
      <c r="B745" s="72" t="str">
        <f ca="1">IF(D745="Inativo","Inativo",IFERROR(VLOOKUP($G745,Conf!$O:$Q,2,0),VLOOKUP($S745,Conf!$K:$M,2,0)))</f>
        <v>PADARIA</v>
      </c>
      <c r="C745" s="72" t="str">
        <f ca="1">IF(D745="Inativo","Inativo",IFERROR(VLOOKUP($G745,Conf!$O:$Q,3,0),IFERROR(VLOOKUP($G745,Conf!$E:$F,2,0),VLOOKUP($S745,Conf!$K:$M,3,0))))</f>
        <v>AUXILIAR</v>
      </c>
      <c r="D745" s="72" t="str">
        <f ca="1">IFERROR(IF(TODAY()-K745&gt;365,"Inativo",IF(J745=2,"Férias",IF(J745=7,"Demitido","Afastamento"))),VLOOKUP(J745,Conf!$H:$I,2,0))</f>
        <v>Ativos</v>
      </c>
      <c r="E745" s="187">
        <v>8</v>
      </c>
      <c r="F745" s="187">
        <v>367</v>
      </c>
      <c r="G745" t="s">
        <v>915</v>
      </c>
      <c r="H745" s="71"/>
      <c r="I745" t="s">
        <v>357</v>
      </c>
      <c r="J745" s="187">
        <v>1</v>
      </c>
      <c r="K745" t="s">
        <v>1385</v>
      </c>
      <c r="L745" s="185"/>
      <c r="M745" s="188">
        <v>46240</v>
      </c>
      <c r="N745" s="71"/>
      <c r="O745" s="71"/>
      <c r="P745" s="71"/>
      <c r="Q745" s="71"/>
      <c r="R745" s="71"/>
      <c r="S745" t="s">
        <v>968</v>
      </c>
      <c r="T745" s="71"/>
    </row>
    <row r="746" spans="1:20" x14ac:dyDescent="0.3">
      <c r="A746" s="72">
        <f>IFERROR(VLOOKUP($G746,Conf!$B:$C,2,0),E746)</f>
        <v>8</v>
      </c>
      <c r="B746" s="72" t="str">
        <f ca="1">IF(D746="Inativo","Inativo",IFERROR(VLOOKUP($G746,Conf!$O:$Q,2,0),VLOOKUP($S746,Conf!$K:$M,2,0)))</f>
        <v>PADARIA</v>
      </c>
      <c r="C746" s="72" t="str">
        <f ca="1">IF(D746="Inativo","Inativo",IFERROR(VLOOKUP($G746,Conf!$O:$Q,3,0),IFERROR(VLOOKUP($G746,Conf!$E:$F,2,0),VLOOKUP($S746,Conf!$K:$M,3,0))))</f>
        <v>AUXILIAR</v>
      </c>
      <c r="D746" s="72" t="str">
        <f ca="1">IFERROR(IF(TODAY()-K746&gt;365,"Inativo",IF(J746=2,"Férias",IF(J746=7,"Demitido","Afastamento"))),VLOOKUP(J746,Conf!$H:$I,2,0))</f>
        <v>Ativos</v>
      </c>
      <c r="E746" s="187">
        <v>8</v>
      </c>
      <c r="F746" s="187">
        <v>372</v>
      </c>
      <c r="G746" t="s">
        <v>1492</v>
      </c>
      <c r="H746" s="71"/>
      <c r="I746" t="s">
        <v>1495</v>
      </c>
      <c r="J746" s="187">
        <v>1</v>
      </c>
      <c r="K746" t="s">
        <v>1385</v>
      </c>
      <c r="L746" s="185"/>
      <c r="M746" s="188">
        <v>46254</v>
      </c>
      <c r="N746" s="71"/>
      <c r="O746" s="71"/>
      <c r="P746" s="71"/>
      <c r="Q746" s="71"/>
      <c r="R746" s="71"/>
      <c r="S746" t="s">
        <v>968</v>
      </c>
      <c r="T746" s="71"/>
    </row>
    <row r="747" spans="1:20" x14ac:dyDescent="0.3">
      <c r="A747" s="72">
        <f>IFERROR(VLOOKUP($G747,Conf!$B:$C,2,0),E747)</f>
        <v>8</v>
      </c>
      <c r="B747" s="72" t="str">
        <f ca="1">IF(D747="Inativo","Inativo",IFERROR(VLOOKUP($G747,Conf!$O:$Q,2,0),VLOOKUP($S747,Conf!$K:$M,2,0)))</f>
        <v>PADARIA</v>
      </c>
      <c r="C747" s="72" t="str">
        <f ca="1">IF(D747="Inativo","Inativo",IFERROR(VLOOKUP($G747,Conf!$O:$Q,3,0),IFERROR(VLOOKUP($G747,Conf!$E:$F,2,0),VLOOKUP($S747,Conf!$K:$M,3,0))))</f>
        <v>AUXILIAR</v>
      </c>
      <c r="D747" s="72" t="str">
        <f ca="1">IFERROR(IF(TODAY()-K747&gt;365,"Inativo",IF(J747=2,"Férias",IF(J747=7,"Demitido","Afastamento"))),VLOOKUP(J747,Conf!$H:$I,2,0))</f>
        <v>Ativos</v>
      </c>
      <c r="E747" s="187">
        <v>8</v>
      </c>
      <c r="F747" s="187">
        <v>365</v>
      </c>
      <c r="G747" t="s">
        <v>1444</v>
      </c>
      <c r="H747" s="71"/>
      <c r="I747" t="s">
        <v>357</v>
      </c>
      <c r="J747" s="187">
        <v>1</v>
      </c>
      <c r="K747" t="s">
        <v>1385</v>
      </c>
      <c r="L747" s="185"/>
      <c r="M747" s="188">
        <v>46238</v>
      </c>
      <c r="N747" s="71"/>
      <c r="Q747" s="71"/>
      <c r="R747" s="71"/>
      <c r="S747" t="s">
        <v>968</v>
      </c>
      <c r="T747" s="71"/>
    </row>
    <row r="748" spans="1:20" x14ac:dyDescent="0.3">
      <c r="A748" s="72">
        <f>IFERROR(VLOOKUP($G748,Conf!$B:$C,2,0),E748)</f>
        <v>8</v>
      </c>
      <c r="B748" s="72" t="str">
        <f ca="1">IF(D748="Inativo","Inativo",IFERROR(VLOOKUP($G748,Conf!$O:$Q,2,0),VLOOKUP($S748,Conf!$K:$M,2,0)))</f>
        <v>PADARIA</v>
      </c>
      <c r="C748" s="72" t="str">
        <f ca="1">IF(D748="Inativo","Inativo",IFERROR(VLOOKUP($G748,Conf!$O:$Q,3,0),IFERROR(VLOOKUP($G748,Conf!$E:$F,2,0),VLOOKUP($S748,Conf!$K:$M,3,0))))</f>
        <v>AUXILIAR</v>
      </c>
      <c r="D748" s="72" t="str">
        <f ca="1">IFERROR(IF(TODAY()-K748&gt;365,"Inativo",IF(J748=2,"Férias",IF(J748=7,"Demitido","Afastamento"))),VLOOKUP(J748,Conf!$H:$I,2,0))</f>
        <v>Ativos</v>
      </c>
      <c r="E748" s="187">
        <v>8</v>
      </c>
      <c r="F748" s="187">
        <v>350</v>
      </c>
      <c r="G748" t="s">
        <v>1308</v>
      </c>
      <c r="H748" s="71"/>
      <c r="I748" t="s">
        <v>222</v>
      </c>
      <c r="J748" s="187">
        <v>1</v>
      </c>
      <c r="K748" t="s">
        <v>1385</v>
      </c>
      <c r="L748" s="185"/>
      <c r="M748" s="188">
        <v>46188</v>
      </c>
      <c r="N748" s="71"/>
      <c r="O748" s="71"/>
      <c r="P748" s="71"/>
      <c r="Q748" s="71"/>
      <c r="R748" s="71"/>
      <c r="S748" t="s">
        <v>968</v>
      </c>
      <c r="T748" s="71"/>
    </row>
    <row r="749" spans="1:20" x14ac:dyDescent="0.3">
      <c r="A749" s="72">
        <f>IFERROR(VLOOKUP($G749,Conf!$B:$C,2,0),E749)</f>
        <v>8</v>
      </c>
      <c r="B749" s="72" t="str">
        <f ca="1">IF(D749="Inativo","Inativo",IFERROR(VLOOKUP($G749,Conf!$O:$Q,2,0),VLOOKUP($S749,Conf!$K:$M,2,0)))</f>
        <v>PADARIA</v>
      </c>
      <c r="C749" s="72" t="str">
        <f ca="1">IF(D749="Inativo","Inativo",IFERROR(VLOOKUP($G749,Conf!$O:$Q,3,0),IFERROR(VLOOKUP($G749,Conf!$E:$F,2,0),VLOOKUP($S749,Conf!$K:$M,3,0))))</f>
        <v>ENCARREGADO</v>
      </c>
      <c r="D749" s="72" t="str">
        <f ca="1">IFERROR(IF(TODAY()-K749&gt;365,"Inativo",IF(J749=2,"Férias",IF(J749=7,"Demitido","Afastamento"))),VLOOKUP(J749,Conf!$H:$I,2,0))</f>
        <v>Ativos</v>
      </c>
      <c r="E749" s="187">
        <v>8</v>
      </c>
      <c r="F749" s="187">
        <v>279</v>
      </c>
      <c r="G749" t="s">
        <v>973</v>
      </c>
      <c r="H749" s="71"/>
      <c r="I749" t="s">
        <v>277</v>
      </c>
      <c r="J749" s="187">
        <v>1</v>
      </c>
      <c r="K749" t="s">
        <v>1385</v>
      </c>
      <c r="L749" s="185"/>
      <c r="M749" s="188">
        <v>45890</v>
      </c>
      <c r="N749" s="71"/>
      <c r="Q749" s="71"/>
      <c r="R749" s="71"/>
      <c r="S749" t="s">
        <v>943</v>
      </c>
      <c r="T749" s="71"/>
    </row>
    <row r="750" spans="1:20" x14ac:dyDescent="0.3">
      <c r="A750" s="72">
        <f>IFERROR(VLOOKUP($G750,Conf!$B:$C,2,0),E750)</f>
        <v>8</v>
      </c>
      <c r="B750" s="72" t="str">
        <f ca="1">IF(D750="Inativo","Inativo",IFERROR(VLOOKUP($G750,Conf!$O:$Q,2,0),VLOOKUP($S750,Conf!$K:$M,2,0)))</f>
        <v>PADARIA</v>
      </c>
      <c r="C750" s="72" t="str">
        <f ca="1">IF(D750="Inativo","Inativo",IFERROR(VLOOKUP($G750,Conf!$O:$Q,3,0),IFERROR(VLOOKUP($G750,Conf!$E:$F,2,0),VLOOKUP($S750,Conf!$K:$M,3,0))))</f>
        <v>PADEIRO(A)</v>
      </c>
      <c r="D750" s="72" t="str">
        <f ca="1">IFERROR(IF(TODAY()-K750&gt;365,"Inativo",IF(J750=2,"Férias",IF(J750=7,"Demitido","Afastamento"))),VLOOKUP(J750,Conf!$H:$I,2,0))</f>
        <v>Férias</v>
      </c>
      <c r="E750" s="187">
        <v>8</v>
      </c>
      <c r="F750" s="187">
        <v>38</v>
      </c>
      <c r="G750" t="s">
        <v>974</v>
      </c>
      <c r="H750" s="71"/>
      <c r="I750" t="s">
        <v>222</v>
      </c>
      <c r="J750" s="187">
        <v>2</v>
      </c>
      <c r="K750" t="s">
        <v>1640</v>
      </c>
      <c r="L750" s="185"/>
      <c r="M750" s="188">
        <v>44670</v>
      </c>
      <c r="N750" s="71"/>
      <c r="O750" s="71"/>
      <c r="P750" s="71"/>
      <c r="Q750" s="71"/>
      <c r="R750" s="71"/>
      <c r="S750" t="s">
        <v>975</v>
      </c>
      <c r="T750" s="71"/>
    </row>
    <row r="751" spans="1:20" x14ac:dyDescent="0.3">
      <c r="A751" s="72">
        <f>IFERROR(VLOOKUP($G751,Conf!$B:$C,2,0),E751)</f>
        <v>8</v>
      </c>
      <c r="B751" s="72" t="str">
        <f ca="1">IF(D751="Inativo","Inativo",IFERROR(VLOOKUP($G751,Conf!$O:$Q,2,0),VLOOKUP($S751,Conf!$K:$M,2,0)))</f>
        <v>PADARIA</v>
      </c>
      <c r="C751" s="72" t="str">
        <f ca="1">IF(D751="Inativo","Inativo",IFERROR(VLOOKUP($G751,Conf!$O:$Q,3,0),IFERROR(VLOOKUP($G751,Conf!$E:$F,2,0),VLOOKUP($S751,Conf!$K:$M,3,0))))</f>
        <v>PADEIRO(A)</v>
      </c>
      <c r="D751" s="72" t="str">
        <f ca="1">IFERROR(IF(TODAY()-K751&gt;365,"Inativo",IF(J751=2,"Férias",IF(J751=7,"Demitido","Afastamento"))),VLOOKUP(J751,Conf!$H:$I,2,0))</f>
        <v>Ativos</v>
      </c>
      <c r="E751" s="187">
        <v>8</v>
      </c>
      <c r="F751" s="187">
        <v>23</v>
      </c>
      <c r="G751" t="s">
        <v>976</v>
      </c>
      <c r="H751" s="71"/>
      <c r="I751" t="s">
        <v>222</v>
      </c>
      <c r="J751" s="187">
        <v>1</v>
      </c>
      <c r="K751" t="s">
        <v>1385</v>
      </c>
      <c r="L751" s="185"/>
      <c r="M751" s="188">
        <v>44648</v>
      </c>
      <c r="N751" s="71"/>
      <c r="Q751" s="71"/>
      <c r="R751" s="71"/>
      <c r="S751" t="s">
        <v>977</v>
      </c>
      <c r="T751" s="71"/>
    </row>
    <row r="752" spans="1:20" x14ac:dyDescent="0.3">
      <c r="A752" s="72">
        <f>IFERROR(VLOOKUP($G752,Conf!$B:$C,2,0),E752)</f>
        <v>8</v>
      </c>
      <c r="B752" s="72" t="str">
        <f ca="1">IF(D752="Inativo","Inativo",IFERROR(VLOOKUP($G752,Conf!$O:$Q,2,0),VLOOKUP($S752,Conf!$K:$M,2,0)))</f>
        <v>PADARIA</v>
      </c>
      <c r="C752" s="72" t="str">
        <f ca="1">IF(D752="Inativo","Inativo",IFERROR(VLOOKUP($G752,Conf!$O:$Q,3,0),IFERROR(VLOOKUP($G752,Conf!$E:$F,2,0),VLOOKUP($S752,Conf!$K:$M,3,0))))</f>
        <v>PADEIRO(A)</v>
      </c>
      <c r="D752" s="72" t="str">
        <f ca="1">IFERROR(IF(TODAY()-K752&gt;365,"Inativo",IF(J752=2,"Férias",IF(J752=7,"Demitido","Afastamento"))),VLOOKUP(J752,Conf!$H:$I,2,0))</f>
        <v>Ativos</v>
      </c>
      <c r="E752" s="187">
        <v>8</v>
      </c>
      <c r="F752" s="187">
        <v>207</v>
      </c>
      <c r="G752" t="s">
        <v>978</v>
      </c>
      <c r="H752" s="71"/>
      <c r="I752" t="s">
        <v>390</v>
      </c>
      <c r="J752" s="187">
        <v>1</v>
      </c>
      <c r="K752" t="s">
        <v>1385</v>
      </c>
      <c r="L752" s="185"/>
      <c r="M752" s="188">
        <v>45559</v>
      </c>
      <c r="N752" s="71"/>
      <c r="O752" s="71"/>
      <c r="P752" s="71"/>
      <c r="Q752" s="71"/>
      <c r="R752" s="71"/>
      <c r="S752" t="s">
        <v>975</v>
      </c>
      <c r="T752" s="71"/>
    </row>
    <row r="753" spans="1:20" x14ac:dyDescent="0.3">
      <c r="A753" s="72">
        <f>IFERROR(VLOOKUP($G753,Conf!$B:$C,2,0),E753)</f>
        <v>8</v>
      </c>
      <c r="B753" s="72" t="str">
        <f ca="1">IF(D753="Inativo","Inativo",IFERROR(VLOOKUP($G753,Conf!$O:$Q,2,0),VLOOKUP($S753,Conf!$K:$M,2,0)))</f>
        <v>ROTISSERIA</v>
      </c>
      <c r="C753" s="72" t="str">
        <f ca="1">IF(D753="Inativo","Inativo",IFERROR(VLOOKUP($G753,Conf!$O:$Q,3,0),IFERROR(VLOOKUP($G753,Conf!$E:$F,2,0),VLOOKUP($S753,Conf!$K:$M,3,0))))</f>
        <v>COZINHEIRO</v>
      </c>
      <c r="D753" s="72" t="str">
        <f ca="1">IFERROR(IF(TODAY()-K753&gt;365,"Inativo",IF(J753=2,"Férias",IF(J753=7,"Demitido","Afastamento"))),VLOOKUP(J753,Conf!$H:$I,2,0))</f>
        <v>Ativos</v>
      </c>
      <c r="E753" s="187">
        <v>8</v>
      </c>
      <c r="F753" s="187">
        <v>135</v>
      </c>
      <c r="G753" t="s">
        <v>986</v>
      </c>
      <c r="H753" s="71"/>
      <c r="I753" t="s">
        <v>390</v>
      </c>
      <c r="J753" s="187">
        <v>1</v>
      </c>
      <c r="K753" t="s">
        <v>1385</v>
      </c>
      <c r="L753" s="185"/>
      <c r="M753" s="188">
        <v>45100</v>
      </c>
      <c r="N753" s="71"/>
      <c r="Q753" s="71"/>
      <c r="R753" s="71"/>
      <c r="S753" t="s">
        <v>987</v>
      </c>
      <c r="T753" s="71"/>
    </row>
    <row r="754" spans="1:20" x14ac:dyDescent="0.3">
      <c r="A754" s="72">
        <f>IFERROR(VLOOKUP($G754,Conf!$B:$C,2,0),E754)</f>
        <v>8</v>
      </c>
      <c r="B754" s="72" t="str">
        <f ca="1">IF(D754="Inativo","Inativo",IFERROR(VLOOKUP($G754,Conf!$O:$Q,2,0),VLOOKUP($S754,Conf!$K:$M,2,0)))</f>
        <v>ROTISSERIA</v>
      </c>
      <c r="C754" s="72" t="str">
        <f ca="1">IF(D754="Inativo","Inativo",IFERROR(VLOOKUP($G754,Conf!$O:$Q,3,0),IFERROR(VLOOKUP($G754,Conf!$E:$F,2,0),VLOOKUP($S754,Conf!$K:$M,3,0))))</f>
        <v>COZINHEIRO</v>
      </c>
      <c r="D754" s="72" t="str">
        <f ca="1">IFERROR(IF(TODAY()-K754&gt;365,"Inativo",IF(J754=2,"Férias",IF(J754=7,"Demitido","Afastamento"))),VLOOKUP(J754,Conf!$H:$I,2,0))</f>
        <v>Ativos</v>
      </c>
      <c r="E754" s="187">
        <v>8</v>
      </c>
      <c r="F754" s="187">
        <v>209</v>
      </c>
      <c r="G754" t="s">
        <v>988</v>
      </c>
      <c r="H754" s="71"/>
      <c r="I754" t="s">
        <v>390</v>
      </c>
      <c r="J754" s="187">
        <v>1</v>
      </c>
      <c r="K754" t="s">
        <v>1385</v>
      </c>
      <c r="L754" s="185"/>
      <c r="M754" s="188">
        <v>45567</v>
      </c>
      <c r="N754" s="71"/>
      <c r="O754" s="71"/>
      <c r="P754" s="71"/>
      <c r="Q754" s="71"/>
      <c r="R754" s="71"/>
      <c r="S754" t="s">
        <v>987</v>
      </c>
      <c r="T754" s="71"/>
    </row>
    <row r="755" spans="1:20" x14ac:dyDescent="0.3">
      <c r="A755" s="72">
        <f>IFERROR(VLOOKUP($G755,Conf!$B:$C,2,0),E755)</f>
        <v>30</v>
      </c>
      <c r="B755" s="72" t="str">
        <f ca="1">IF(D755="Inativo","Inativo",IFERROR(VLOOKUP($G755,Conf!$O:$Q,2,0),VLOOKUP($S755,Conf!$K:$M,2,0)))</f>
        <v>ADMINISTRATIVO</v>
      </c>
      <c r="C755" s="72" t="str">
        <f ca="1">IF(D755="Inativo","Inativo",IFERROR(VLOOKUP($G755,Conf!$O:$Q,3,0),IFERROR(VLOOKUP($G755,Conf!$E:$F,2,0),VLOOKUP($S755,Conf!$K:$M,3,0))))</f>
        <v>ANALISTA</v>
      </c>
      <c r="D755" s="72" t="str">
        <f ca="1">IFERROR(IF(TODAY()-K755&gt;365,"Inativo",IF(J755=2,"Férias",IF(J755=7,"Demitido","Afastamento"))),VLOOKUP(J755,Conf!$H:$I,2,0))</f>
        <v>Ativos</v>
      </c>
      <c r="E755" s="187">
        <v>30</v>
      </c>
      <c r="F755" s="187">
        <v>11</v>
      </c>
      <c r="G755" t="s">
        <v>991</v>
      </c>
      <c r="H755" s="71"/>
      <c r="I755" t="s">
        <v>604</v>
      </c>
      <c r="J755" s="187">
        <v>1</v>
      </c>
      <c r="K755" t="s">
        <v>1385</v>
      </c>
      <c r="L755" s="185"/>
      <c r="M755" s="188">
        <v>43922</v>
      </c>
      <c r="N755" s="71"/>
      <c r="Q755" s="71"/>
      <c r="R755" s="71"/>
      <c r="S755" t="s">
        <v>992</v>
      </c>
      <c r="T755" s="71"/>
    </row>
    <row r="756" spans="1:20" x14ac:dyDescent="0.3">
      <c r="A756" s="72">
        <f>IFERROR(VLOOKUP($G756,Conf!$B:$C,2,0),E756)</f>
        <v>30</v>
      </c>
      <c r="B756" s="72" t="str">
        <f ca="1">IF(D756="Inativo","Inativo",IFERROR(VLOOKUP($G756,Conf!$O:$Q,2,0),VLOOKUP($S756,Conf!$K:$M,2,0)))</f>
        <v>ADMINISTRATIVO</v>
      </c>
      <c r="C756" s="72" t="str">
        <f ca="1">IF(D756="Inativo","Inativo",IFERROR(VLOOKUP($G756,Conf!$O:$Q,3,0),IFERROR(VLOOKUP($G756,Conf!$E:$F,2,0),VLOOKUP($S756,Conf!$K:$M,3,0))))</f>
        <v>APRENDIZ</v>
      </c>
      <c r="D756" s="72" t="str">
        <f ca="1">IFERROR(IF(TODAY()-K756&gt;365,"Inativo",IF(J756=2,"Férias",IF(J756=7,"Demitido","Afastamento"))),VLOOKUP(J756,Conf!$H:$I,2,0))</f>
        <v>Ativos</v>
      </c>
      <c r="E756" s="187">
        <v>30</v>
      </c>
      <c r="F756" s="187">
        <v>388</v>
      </c>
      <c r="G756" t="s">
        <v>1131</v>
      </c>
      <c r="H756" s="71"/>
      <c r="I756" t="s">
        <v>568</v>
      </c>
      <c r="J756" s="187">
        <v>1</v>
      </c>
      <c r="K756" t="s">
        <v>1385</v>
      </c>
      <c r="L756" s="185"/>
      <c r="M756" s="188">
        <v>46077</v>
      </c>
      <c r="N756" s="71"/>
      <c r="Q756" s="71"/>
      <c r="R756" s="71"/>
      <c r="S756" t="s">
        <v>1132</v>
      </c>
      <c r="T756" s="71"/>
    </row>
    <row r="757" spans="1:20" x14ac:dyDescent="0.3">
      <c r="A757" s="72">
        <f>IFERROR(VLOOKUP($G757,Conf!$B:$C,2,0),E757)</f>
        <v>30</v>
      </c>
      <c r="B757" s="72" t="str">
        <f ca="1">IF(D757="Inativo","Inativo",IFERROR(VLOOKUP($G757,Conf!$O:$Q,2,0),VLOOKUP($S757,Conf!$K:$M,2,0)))</f>
        <v>ADMINISTRATIVO</v>
      </c>
      <c r="C757" s="72" t="str">
        <f ca="1">IF(D757="Inativo","Inativo",IFERROR(VLOOKUP($G757,Conf!$O:$Q,3,0),IFERROR(VLOOKUP($G757,Conf!$E:$F,2,0),VLOOKUP($S757,Conf!$K:$M,3,0))))</f>
        <v>APRENDIZ</v>
      </c>
      <c r="D757" s="72" t="str">
        <f ca="1">IFERROR(IF(TODAY()-K757&gt;365,"Inativo",IF(J757=2,"Férias",IF(J757=7,"Demitido","Afastamento"))),VLOOKUP(J757,Conf!$H:$I,2,0))</f>
        <v>Ativos</v>
      </c>
      <c r="E757" s="187">
        <v>30</v>
      </c>
      <c r="F757" s="187">
        <v>390</v>
      </c>
      <c r="G757" t="s">
        <v>1133</v>
      </c>
      <c r="H757" s="71"/>
      <c r="I757" t="s">
        <v>568</v>
      </c>
      <c r="J757" s="187">
        <v>1</v>
      </c>
      <c r="K757" t="s">
        <v>1385</v>
      </c>
      <c r="L757" s="185"/>
      <c r="M757" s="188">
        <v>46077</v>
      </c>
      <c r="N757" s="71"/>
      <c r="Q757" s="71"/>
      <c r="R757" s="71"/>
      <c r="S757" t="s">
        <v>1132</v>
      </c>
      <c r="T757" s="71"/>
    </row>
    <row r="758" spans="1:20" x14ac:dyDescent="0.3">
      <c r="A758" s="72">
        <f>IFERROR(VLOOKUP($G758,Conf!$B:$C,2,0),E758)</f>
        <v>30</v>
      </c>
      <c r="B758" s="72" t="str">
        <f ca="1">IF(D758="Inativo","Inativo",IFERROR(VLOOKUP($G758,Conf!$O:$Q,2,0),VLOOKUP($S758,Conf!$K:$M,2,0)))</f>
        <v>ADMINISTRATIVO</v>
      </c>
      <c r="C758" s="72" t="str">
        <f ca="1">IF(D758="Inativo","Inativo",IFERROR(VLOOKUP($G758,Conf!$O:$Q,3,0),IFERROR(VLOOKUP($G758,Conf!$E:$F,2,0),VLOOKUP($S758,Conf!$K:$M,3,0))))</f>
        <v>APRENDIZ</v>
      </c>
      <c r="D758" s="72" t="str">
        <f ca="1">IFERROR(IF(TODAY()-K758&gt;365,"Inativo",IF(J758=2,"Férias",IF(J758=7,"Demitido","Afastamento"))),VLOOKUP(J758,Conf!$H:$I,2,0))</f>
        <v>Ativos</v>
      </c>
      <c r="E758" s="187">
        <v>30</v>
      </c>
      <c r="F758" s="187">
        <v>389</v>
      </c>
      <c r="G758" t="s">
        <v>1134</v>
      </c>
      <c r="H758" s="71"/>
      <c r="I758" t="s">
        <v>568</v>
      </c>
      <c r="J758" s="187">
        <v>1</v>
      </c>
      <c r="K758" t="s">
        <v>1385</v>
      </c>
      <c r="L758" s="185"/>
      <c r="M758" s="188">
        <v>46077</v>
      </c>
      <c r="N758" s="71"/>
      <c r="O758" s="71"/>
      <c r="P758" s="71"/>
      <c r="Q758" s="71"/>
      <c r="R758" s="71"/>
      <c r="S758" t="s">
        <v>1132</v>
      </c>
      <c r="T758" s="71"/>
    </row>
    <row r="759" spans="1:20" x14ac:dyDescent="0.3">
      <c r="A759" s="72">
        <f>IFERROR(VLOOKUP($G759,Conf!$B:$C,2,0),E759)</f>
        <v>30</v>
      </c>
      <c r="B759" s="72" t="str">
        <f ca="1">IF(D759="Inativo","Inativo",IFERROR(VLOOKUP($G759,Conf!$O:$Q,2,0),VLOOKUP($S759,Conf!$K:$M,2,0)))</f>
        <v>ADMINISTRATIVO</v>
      </c>
      <c r="C759" s="72" t="str">
        <f ca="1">IF(D759="Inativo","Inativo",IFERROR(VLOOKUP($G759,Conf!$O:$Q,3,0),IFERROR(VLOOKUP($G759,Conf!$E:$F,2,0),VLOOKUP($S759,Conf!$K:$M,3,0))))</f>
        <v>ASSISTENTE</v>
      </c>
      <c r="D759" s="72" t="str">
        <f ca="1">IFERROR(IF(TODAY()-K759&gt;365,"Inativo",IF(J759=2,"Férias",IF(J759=7,"Demitido","Afastamento"))),VLOOKUP(J759,Conf!$H:$I,2,0))</f>
        <v>Afastamento</v>
      </c>
      <c r="E759" s="187">
        <v>30</v>
      </c>
      <c r="F759" s="187">
        <v>60</v>
      </c>
      <c r="G759" t="s">
        <v>996</v>
      </c>
      <c r="H759" s="71"/>
      <c r="I759" t="s">
        <v>239</v>
      </c>
      <c r="J759" s="187">
        <v>6</v>
      </c>
      <c r="K759" t="s">
        <v>1326</v>
      </c>
      <c r="L759" s="185"/>
      <c r="M759" s="188">
        <v>45194</v>
      </c>
      <c r="N759" s="71"/>
      <c r="O759" s="71"/>
      <c r="P759" s="71"/>
      <c r="Q759" s="71"/>
      <c r="R759" s="71"/>
      <c r="S759" t="s">
        <v>997</v>
      </c>
      <c r="T759" s="71"/>
    </row>
    <row r="760" spans="1:20" x14ac:dyDescent="0.3">
      <c r="A760" s="72">
        <f>IFERROR(VLOOKUP($G760,Conf!$B:$C,2,0),E760)</f>
        <v>30</v>
      </c>
      <c r="B760" s="72" t="str">
        <f ca="1">IF(D760="Inativo","Inativo",IFERROR(VLOOKUP($G760,Conf!$O:$Q,2,0),VLOOKUP($S760,Conf!$K:$M,2,0)))</f>
        <v>ADMINISTRATIVO</v>
      </c>
      <c r="C760" s="72" t="str">
        <f ca="1">IF(D760="Inativo","Inativo",IFERROR(VLOOKUP($G760,Conf!$O:$Q,3,0),IFERROR(VLOOKUP($G760,Conf!$E:$F,2,0),VLOOKUP($S760,Conf!$K:$M,3,0))))</f>
        <v>ASSISTENTE</v>
      </c>
      <c r="D760" s="72" t="str">
        <f ca="1">IFERROR(IF(TODAY()-K760&gt;365,"Inativo",IF(J760=2,"Férias",IF(J760=7,"Demitido","Afastamento"))),VLOOKUP(J760,Conf!$H:$I,2,0))</f>
        <v>Ativos</v>
      </c>
      <c r="E760" s="187">
        <v>30</v>
      </c>
      <c r="F760" s="187">
        <v>341</v>
      </c>
      <c r="G760" t="s">
        <v>1000</v>
      </c>
      <c r="H760" s="71"/>
      <c r="I760" t="s">
        <v>606</v>
      </c>
      <c r="J760" s="187">
        <v>1</v>
      </c>
      <c r="K760" t="s">
        <v>1385</v>
      </c>
      <c r="L760" s="185"/>
      <c r="M760" s="188">
        <v>45588</v>
      </c>
      <c r="N760" s="71"/>
      <c r="Q760" s="71"/>
      <c r="R760" s="71"/>
      <c r="S760" t="s">
        <v>1001</v>
      </c>
      <c r="T760" s="71"/>
    </row>
    <row r="761" spans="1:20" x14ac:dyDescent="0.3">
      <c r="A761" s="72">
        <f>IFERROR(VLOOKUP($G761,Conf!$B:$C,2,0),E761)</f>
        <v>30</v>
      </c>
      <c r="B761" s="72" t="str">
        <f ca="1">IF(D761="Inativo","Inativo",IFERROR(VLOOKUP($G761,Conf!$O:$Q,2,0),VLOOKUP($S761,Conf!$K:$M,2,0)))</f>
        <v>ADMINISTRATIVO</v>
      </c>
      <c r="C761" s="72" t="str">
        <f ca="1">IF(D761="Inativo","Inativo",IFERROR(VLOOKUP($G761,Conf!$O:$Q,3,0),IFERROR(VLOOKUP($G761,Conf!$E:$F,2,0),VLOOKUP($S761,Conf!$K:$M,3,0))))</f>
        <v>ASSISTENTE</v>
      </c>
      <c r="D761" s="72" t="str">
        <f ca="1">IFERROR(IF(TODAY()-K761&gt;365,"Inativo",IF(J761=2,"Férias",IF(J761=7,"Demitido","Afastamento"))),VLOOKUP(J761,Conf!$H:$I,2,0))</f>
        <v>Ativos</v>
      </c>
      <c r="E761" s="187">
        <v>30</v>
      </c>
      <c r="F761" s="187">
        <v>277</v>
      </c>
      <c r="G761" t="s">
        <v>1002</v>
      </c>
      <c r="H761" s="71"/>
      <c r="I761" t="s">
        <v>239</v>
      </c>
      <c r="J761" s="187">
        <v>1</v>
      </c>
      <c r="K761" t="s">
        <v>1385</v>
      </c>
      <c r="L761" s="185"/>
      <c r="M761" s="188">
        <v>46042</v>
      </c>
      <c r="N761" s="71"/>
      <c r="Q761" s="71"/>
      <c r="R761" s="71"/>
      <c r="S761" t="s">
        <v>997</v>
      </c>
      <c r="T761" s="71"/>
    </row>
    <row r="762" spans="1:20" x14ac:dyDescent="0.3">
      <c r="A762" s="72">
        <f>IFERROR(VLOOKUP($G762,Conf!$B:$C,2,0),E762)</f>
        <v>30</v>
      </c>
      <c r="B762" s="72" t="str">
        <f ca="1">IF(D762="Inativo","Inativo",IFERROR(VLOOKUP($G762,Conf!$O:$Q,2,0),VLOOKUP($S762,Conf!$K:$M,2,0)))</f>
        <v>ADMINISTRATIVO</v>
      </c>
      <c r="C762" s="72" t="str">
        <f ca="1">IF(D762="Inativo","Inativo",IFERROR(VLOOKUP($G762,Conf!$O:$Q,3,0),IFERROR(VLOOKUP($G762,Conf!$E:$F,2,0),VLOOKUP($S762,Conf!$K:$M,3,0))))</f>
        <v>ASSISTENTE</v>
      </c>
      <c r="D762" s="72" t="str">
        <f ca="1">IFERROR(IF(TODAY()-K762&gt;365,"Inativo",IF(J762=2,"Férias",IF(J762=7,"Demitido","Afastamento"))),VLOOKUP(J762,Conf!$H:$I,2,0))</f>
        <v>Ativos</v>
      </c>
      <c r="E762" s="187">
        <v>30</v>
      </c>
      <c r="F762" s="187">
        <v>46</v>
      </c>
      <c r="G762" t="s">
        <v>1003</v>
      </c>
      <c r="H762" s="71"/>
      <c r="I762" t="s">
        <v>606</v>
      </c>
      <c r="J762" s="187">
        <v>1</v>
      </c>
      <c r="K762" t="s">
        <v>1385</v>
      </c>
      <c r="L762" s="185"/>
      <c r="M762" s="188">
        <v>45139</v>
      </c>
      <c r="N762" s="71"/>
      <c r="Q762" s="71"/>
      <c r="R762" s="71"/>
      <c r="S762" t="s">
        <v>1004</v>
      </c>
      <c r="T762" s="71"/>
    </row>
    <row r="763" spans="1:20" x14ac:dyDescent="0.3">
      <c r="A763" s="72">
        <f>IFERROR(VLOOKUP($G763,Conf!$B:$C,2,0),E763)</f>
        <v>30</v>
      </c>
      <c r="B763" s="72" t="str">
        <f ca="1">IF(D763="Inativo","Inativo",IFERROR(VLOOKUP($G763,Conf!$O:$Q,2,0),VLOOKUP($S763,Conf!$K:$M,2,0)))</f>
        <v>ADMINISTRATIVO</v>
      </c>
      <c r="C763" s="72" t="str">
        <f ca="1">IF(D763="Inativo","Inativo",IFERROR(VLOOKUP($G763,Conf!$O:$Q,3,0),IFERROR(VLOOKUP($G763,Conf!$E:$F,2,0),VLOOKUP($S763,Conf!$K:$M,3,0))))</f>
        <v>ASSISTENTE</v>
      </c>
      <c r="D763" s="72" t="str">
        <f ca="1">IFERROR(IF(TODAY()-K763&gt;365,"Inativo",IF(J763=2,"Férias",IF(J763=7,"Demitido","Afastamento"))),VLOOKUP(J763,Conf!$H:$I,2,0))</f>
        <v>Ativos</v>
      </c>
      <c r="E763" s="187">
        <v>30</v>
      </c>
      <c r="F763" s="187">
        <v>300</v>
      </c>
      <c r="G763" t="s">
        <v>254</v>
      </c>
      <c r="H763" s="71"/>
      <c r="I763" t="s">
        <v>998</v>
      </c>
      <c r="J763" s="187">
        <v>1</v>
      </c>
      <c r="K763" t="s">
        <v>1385</v>
      </c>
      <c r="L763" s="185"/>
      <c r="M763" s="188">
        <v>46146</v>
      </c>
      <c r="N763" s="71"/>
      <c r="O763" s="71"/>
      <c r="P763" s="71"/>
      <c r="Q763" s="71"/>
      <c r="R763" s="71"/>
      <c r="S763" t="s">
        <v>1005</v>
      </c>
      <c r="T763" s="71"/>
    </row>
    <row r="764" spans="1:20" x14ac:dyDescent="0.3">
      <c r="A764" s="72">
        <f>IFERROR(VLOOKUP($G764,Conf!$B:$C,2,0),E764)</f>
        <v>30</v>
      </c>
      <c r="B764" s="72" t="str">
        <f ca="1">IF(D764="Inativo","Inativo",IFERROR(VLOOKUP($G764,Conf!$O:$Q,2,0),VLOOKUP($S764,Conf!$K:$M,2,0)))</f>
        <v>ADMINISTRATIVO</v>
      </c>
      <c r="C764" s="72" t="str">
        <f ca="1">IF(D764="Inativo","Inativo",IFERROR(VLOOKUP($G764,Conf!$O:$Q,3,0),IFERROR(VLOOKUP($G764,Conf!$E:$F,2,0),VLOOKUP($S764,Conf!$K:$M,3,0))))</f>
        <v>ASSISTENTE</v>
      </c>
      <c r="D764" s="72" t="str">
        <f ca="1">IFERROR(IF(TODAY()-K764&gt;365,"Inativo",IF(J764=2,"Férias",IF(J764=7,"Demitido","Afastamento"))),VLOOKUP(J764,Conf!$H:$I,2,0))</f>
        <v>Ativos</v>
      </c>
      <c r="E764" s="187">
        <v>30</v>
      </c>
      <c r="F764" s="187">
        <v>122</v>
      </c>
      <c r="G764" t="s">
        <v>1007</v>
      </c>
      <c r="H764" s="71"/>
      <c r="I764" t="s">
        <v>1008</v>
      </c>
      <c r="J764" s="187">
        <v>1</v>
      </c>
      <c r="K764" t="s">
        <v>1385</v>
      </c>
      <c r="L764" s="185"/>
      <c r="M764" s="188">
        <v>44816</v>
      </c>
      <c r="N764" s="71"/>
      <c r="Q764" s="71"/>
      <c r="R764" s="71"/>
      <c r="S764" t="s">
        <v>1307</v>
      </c>
      <c r="T764" s="71"/>
    </row>
    <row r="765" spans="1:20" x14ac:dyDescent="0.3">
      <c r="A765" s="72">
        <f>IFERROR(VLOOKUP($G765,Conf!$B:$C,2,0),E765)</f>
        <v>30</v>
      </c>
      <c r="B765" s="72" t="str">
        <f ca="1">IF(D765="Inativo","Inativo",IFERROR(VLOOKUP($G765,Conf!$O:$Q,2,0),VLOOKUP($S765,Conf!$K:$M,2,0)))</f>
        <v>ADMINISTRATIVO</v>
      </c>
      <c r="C765" s="72" t="str">
        <f ca="1">IF(D765="Inativo","Inativo",IFERROR(VLOOKUP($G765,Conf!$O:$Q,3,0),IFERROR(VLOOKUP($G765,Conf!$E:$F,2,0),VLOOKUP($S765,Conf!$K:$M,3,0))))</f>
        <v>ASSISTENTE</v>
      </c>
      <c r="D765" s="72" t="str">
        <f ca="1">IFERROR(IF(TODAY()-K765&gt;365,"Inativo",IF(J765=2,"Férias",IF(J765=7,"Demitido","Afastamento"))),VLOOKUP(J765,Conf!$H:$I,2,0))</f>
        <v>Ativos</v>
      </c>
      <c r="E765" s="187">
        <v>30</v>
      </c>
      <c r="F765" s="187">
        <v>62</v>
      </c>
      <c r="G765" t="s">
        <v>1010</v>
      </c>
      <c r="H765" s="71"/>
      <c r="I765" t="s">
        <v>435</v>
      </c>
      <c r="J765" s="187">
        <v>1</v>
      </c>
      <c r="K765" t="s">
        <v>1385</v>
      </c>
      <c r="L765" s="185"/>
      <c r="M765" s="188">
        <v>45201</v>
      </c>
      <c r="N765" s="71"/>
      <c r="Q765" s="71"/>
      <c r="R765" s="71"/>
      <c r="S765" t="s">
        <v>1004</v>
      </c>
      <c r="T765" s="71"/>
    </row>
    <row r="766" spans="1:20" x14ac:dyDescent="0.3">
      <c r="A766" s="72">
        <f>IFERROR(VLOOKUP($G766,Conf!$B:$C,2,0),E766)</f>
        <v>30</v>
      </c>
      <c r="B766" s="72" t="str">
        <f ca="1">IF(D766="Inativo","Inativo",IFERROR(VLOOKUP($G766,Conf!$O:$Q,2,0),VLOOKUP($S766,Conf!$K:$M,2,0)))</f>
        <v>ADMINISTRATIVO</v>
      </c>
      <c r="C766" s="72" t="str">
        <f ca="1">IF(D766="Inativo","Inativo",IFERROR(VLOOKUP($G766,Conf!$O:$Q,3,0),IFERROR(VLOOKUP($G766,Conf!$E:$F,2,0),VLOOKUP($S766,Conf!$K:$M,3,0))))</f>
        <v>ASSISTENTE</v>
      </c>
      <c r="D766" s="72" t="str">
        <f ca="1">IFERROR(IF(TODAY()-K766&gt;365,"Inativo",IF(J766=2,"Férias",IF(J766=7,"Demitido","Afastamento"))),VLOOKUP(J766,Conf!$H:$I,2,0))</f>
        <v>Ativos</v>
      </c>
      <c r="E766" s="187">
        <v>30</v>
      </c>
      <c r="F766" s="187">
        <v>289</v>
      </c>
      <c r="G766" t="s">
        <v>1011</v>
      </c>
      <c r="H766" s="71"/>
      <c r="I766" t="s">
        <v>998</v>
      </c>
      <c r="J766" s="187">
        <v>1</v>
      </c>
      <c r="K766" t="s">
        <v>1385</v>
      </c>
      <c r="L766" s="185"/>
      <c r="M766" s="188">
        <v>46072</v>
      </c>
      <c r="N766" s="71"/>
      <c r="O766" s="71"/>
      <c r="P766" s="71"/>
      <c r="Q766" s="71"/>
      <c r="R766" s="71"/>
      <c r="S766" t="s">
        <v>1006</v>
      </c>
    </row>
    <row r="767" spans="1:20" x14ac:dyDescent="0.3">
      <c r="A767" s="72">
        <f>IFERROR(VLOOKUP($G767,Conf!$B:$C,2,0),E767)</f>
        <v>30</v>
      </c>
      <c r="B767" s="72" t="str">
        <f ca="1">IF(D767="Inativo","Inativo",IFERROR(VLOOKUP($G767,Conf!$O:$Q,2,0),VLOOKUP($S767,Conf!$K:$M,2,0)))</f>
        <v>ADMINISTRATIVO</v>
      </c>
      <c r="C767" s="72" t="str">
        <f ca="1">IF(D767="Inativo","Inativo",IFERROR(VLOOKUP($G767,Conf!$O:$Q,3,0),IFERROR(VLOOKUP($G767,Conf!$E:$F,2,0),VLOOKUP($S767,Conf!$K:$M,3,0))))</f>
        <v>ASSISTENTE</v>
      </c>
      <c r="D767" s="72" t="str">
        <f ca="1">IFERROR(IF(TODAY()-K767&gt;365,"Inativo",IF(J767=2,"Férias",IF(J767=7,"Demitido","Afastamento"))),VLOOKUP(J767,Conf!$H:$I,2,0))</f>
        <v>Ativos</v>
      </c>
      <c r="E767" s="187">
        <v>30</v>
      </c>
      <c r="F767" s="187">
        <v>218</v>
      </c>
      <c r="G767" t="s">
        <v>1012</v>
      </c>
      <c r="H767" s="71"/>
      <c r="I767" t="s">
        <v>239</v>
      </c>
      <c r="J767" s="187">
        <v>1</v>
      </c>
      <c r="K767" t="s">
        <v>1385</v>
      </c>
      <c r="L767" s="185"/>
      <c r="M767" s="188">
        <v>45839</v>
      </c>
      <c r="N767" s="71"/>
      <c r="Q767" s="71"/>
      <c r="R767" s="71"/>
      <c r="S767" t="s">
        <v>997</v>
      </c>
    </row>
    <row r="768" spans="1:20" x14ac:dyDescent="0.3">
      <c r="A768" s="72">
        <f>IFERROR(VLOOKUP($G768,Conf!$B:$C,2,0),E768)</f>
        <v>30</v>
      </c>
      <c r="B768" s="72" t="str">
        <f ca="1">IF(D768="Inativo","Inativo",IFERROR(VLOOKUP($G768,Conf!$O:$Q,2,0),VLOOKUP($S768,Conf!$K:$M,2,0)))</f>
        <v>ADMINISTRATIVO</v>
      </c>
      <c r="C768" s="72" t="str">
        <f ca="1">IF(D768="Inativo","Inativo",IFERROR(VLOOKUP($G768,Conf!$O:$Q,3,0),IFERROR(VLOOKUP($G768,Conf!$E:$F,2,0),VLOOKUP($S768,Conf!$K:$M,3,0))))</f>
        <v>ASSISTENTE</v>
      </c>
      <c r="D768" s="72" t="str">
        <f ca="1">IFERROR(IF(TODAY()-K768&gt;365,"Inativo",IF(J768=2,"Férias",IF(J768=7,"Demitido","Afastamento"))),VLOOKUP(J768,Conf!$H:$I,2,0))</f>
        <v>Ativos</v>
      </c>
      <c r="E768" s="187">
        <v>30</v>
      </c>
      <c r="F768" s="187">
        <v>18</v>
      </c>
      <c r="G768" t="s">
        <v>1015</v>
      </c>
      <c r="H768" s="71"/>
      <c r="I768" t="s">
        <v>1016</v>
      </c>
      <c r="J768" s="187">
        <v>1</v>
      </c>
      <c r="K768" t="s">
        <v>1385</v>
      </c>
      <c r="L768" s="185"/>
      <c r="M768" s="188">
        <v>43116</v>
      </c>
      <c r="N768" s="71"/>
      <c r="Q768" s="71"/>
      <c r="R768" s="71"/>
      <c r="S768" t="s">
        <v>1017</v>
      </c>
      <c r="T768" s="71"/>
    </row>
    <row r="769" spans="1:20" x14ac:dyDescent="0.3">
      <c r="A769" s="72">
        <f>IFERROR(VLOOKUP($G769,Conf!$B:$C,2,0),E769)</f>
        <v>30</v>
      </c>
      <c r="B769" s="72" t="str">
        <f ca="1">IF(D769="Inativo","Inativo",IFERROR(VLOOKUP($G769,Conf!$O:$Q,2,0),VLOOKUP($S769,Conf!$K:$M,2,0)))</f>
        <v>ADMINISTRATIVO</v>
      </c>
      <c r="C769" s="72" t="str">
        <f ca="1">IF(D769="Inativo","Inativo",IFERROR(VLOOKUP($G769,Conf!$O:$Q,3,0),IFERROR(VLOOKUP($G769,Conf!$E:$F,2,0),VLOOKUP($S769,Conf!$K:$M,3,0))))</f>
        <v>ASSISTENTE</v>
      </c>
      <c r="D769" s="72" t="str">
        <f ca="1">IFERROR(IF(TODAY()-K769&gt;365,"Inativo",IF(J769=2,"Férias",IF(J769=7,"Demitido","Afastamento"))),VLOOKUP(J769,Conf!$H:$I,2,0))</f>
        <v>Ativos</v>
      </c>
      <c r="E769" s="187">
        <v>30</v>
      </c>
      <c r="F769" s="187">
        <v>162</v>
      </c>
      <c r="G769" t="s">
        <v>1018</v>
      </c>
      <c r="H769" s="71"/>
      <c r="I769" t="s">
        <v>994</v>
      </c>
      <c r="J769" s="187">
        <v>1</v>
      </c>
      <c r="K769" t="s">
        <v>1385</v>
      </c>
      <c r="L769" s="185"/>
      <c r="M769" s="188">
        <v>43528</v>
      </c>
      <c r="N769" s="71"/>
      <c r="Q769" s="71"/>
      <c r="R769" s="71"/>
      <c r="S769" t="s">
        <v>1001</v>
      </c>
      <c r="T769" s="71"/>
    </row>
    <row r="770" spans="1:20" x14ac:dyDescent="0.3">
      <c r="A770" s="72">
        <f>IFERROR(VLOOKUP($G770,Conf!$B:$C,2,0),E770)</f>
        <v>30</v>
      </c>
      <c r="B770" s="72" t="str">
        <f ca="1">IF(D770="Inativo","Inativo",IFERROR(VLOOKUP($G770,Conf!$O:$Q,2,0),VLOOKUP($S770,Conf!$K:$M,2,0)))</f>
        <v>ADMINISTRATIVO</v>
      </c>
      <c r="C770" s="72" t="str">
        <f ca="1">IF(D770="Inativo","Inativo",IFERROR(VLOOKUP($G770,Conf!$O:$Q,3,0),IFERROR(VLOOKUP($G770,Conf!$E:$F,2,0),VLOOKUP($S770,Conf!$K:$M,3,0))))</f>
        <v>ASSISTENTE</v>
      </c>
      <c r="D770" s="72" t="str">
        <f ca="1">IFERROR(IF(TODAY()-K770&gt;365,"Inativo",IF(J770=2,"Férias",IF(J770=7,"Demitido","Afastamento"))),VLOOKUP(J770,Conf!$H:$I,2,0))</f>
        <v>Ativos</v>
      </c>
      <c r="E770" s="187">
        <v>30</v>
      </c>
      <c r="F770" s="187">
        <v>79</v>
      </c>
      <c r="G770" t="s">
        <v>1019</v>
      </c>
      <c r="H770" s="71"/>
      <c r="I770" t="s">
        <v>606</v>
      </c>
      <c r="J770" s="187">
        <v>1</v>
      </c>
      <c r="K770" t="s">
        <v>1385</v>
      </c>
      <c r="L770" s="185"/>
      <c r="M770" s="188">
        <v>45323</v>
      </c>
      <c r="N770" s="71"/>
      <c r="Q770" s="71"/>
      <c r="R770" s="71"/>
      <c r="S770" t="s">
        <v>1004</v>
      </c>
    </row>
    <row r="771" spans="1:20" x14ac:dyDescent="0.3">
      <c r="A771" s="72">
        <f>IFERROR(VLOOKUP($G771,Conf!$B:$C,2,0),E771)</f>
        <v>30</v>
      </c>
      <c r="B771" s="72" t="str">
        <f ca="1">IF(D771="Inativo","Inativo",IFERROR(VLOOKUP($G771,Conf!$O:$Q,2,0),VLOOKUP($S771,Conf!$K:$M,2,0)))</f>
        <v>ADMINISTRATIVO</v>
      </c>
      <c r="C771" s="72" t="str">
        <f ca="1">IF(D771="Inativo","Inativo",IFERROR(VLOOKUP($G771,Conf!$O:$Q,3,0),IFERROR(VLOOKUP($G771,Conf!$E:$F,2,0),VLOOKUP($S771,Conf!$K:$M,3,0))))</f>
        <v>ASSISTENTE</v>
      </c>
      <c r="D771" s="72" t="str">
        <f ca="1">IFERROR(IF(TODAY()-K771&gt;365,"Inativo",IF(J771=2,"Férias",IF(J771=7,"Demitido","Afastamento"))),VLOOKUP(J771,Conf!$H:$I,2,0))</f>
        <v>Ativos</v>
      </c>
      <c r="E771" s="187">
        <v>30</v>
      </c>
      <c r="F771" s="187">
        <v>20</v>
      </c>
      <c r="G771" t="s">
        <v>1020</v>
      </c>
      <c r="H771" s="71"/>
      <c r="I771" t="s">
        <v>604</v>
      </c>
      <c r="J771" s="187">
        <v>1</v>
      </c>
      <c r="K771" t="s">
        <v>1385</v>
      </c>
      <c r="L771" s="185"/>
      <c r="M771" s="188">
        <v>45019</v>
      </c>
      <c r="N771" s="71"/>
      <c r="O771" s="71"/>
      <c r="P771" s="71"/>
      <c r="Q771" s="71"/>
      <c r="R771" s="71"/>
      <c r="S771" t="s">
        <v>1004</v>
      </c>
      <c r="T771" s="71"/>
    </row>
    <row r="772" spans="1:20" x14ac:dyDescent="0.3">
      <c r="A772" s="72">
        <f>IFERROR(VLOOKUP($G772,Conf!$B:$C,2,0),E772)</f>
        <v>30</v>
      </c>
      <c r="B772" s="72" t="str">
        <f ca="1">IF(D772="Inativo","Inativo",IFERROR(VLOOKUP($G772,Conf!$O:$Q,2,0),VLOOKUP($S772,Conf!$K:$M,2,0)))</f>
        <v>ADMINISTRATIVO</v>
      </c>
      <c r="C772" s="72" t="str">
        <f ca="1">IF(D772="Inativo","Inativo",IFERROR(VLOOKUP($G772,Conf!$O:$Q,3,0),IFERROR(VLOOKUP($G772,Conf!$E:$F,2,0),VLOOKUP($S772,Conf!$K:$M,3,0))))</f>
        <v>ASSISTENTE</v>
      </c>
      <c r="D772" s="72" t="str">
        <f ca="1">IFERROR(IF(TODAY()-K772&gt;365,"Inativo",IF(J772=2,"Férias",IF(J772=7,"Demitido","Afastamento"))),VLOOKUP(J772,Conf!$H:$I,2,0))</f>
        <v>Ativos</v>
      </c>
      <c r="E772" s="187">
        <v>30</v>
      </c>
      <c r="F772" s="187">
        <v>301</v>
      </c>
      <c r="G772" t="s">
        <v>1021</v>
      </c>
      <c r="H772" s="71"/>
      <c r="I772" t="s">
        <v>255</v>
      </c>
      <c r="J772" s="187">
        <v>1</v>
      </c>
      <c r="K772" t="s">
        <v>1385</v>
      </c>
      <c r="L772" s="185"/>
      <c r="M772" s="188">
        <v>46153</v>
      </c>
      <c r="N772" s="71"/>
      <c r="Q772" s="71"/>
      <c r="R772" s="71"/>
      <c r="S772" t="s">
        <v>1416</v>
      </c>
      <c r="T772" s="71"/>
    </row>
    <row r="773" spans="1:20" x14ac:dyDescent="0.3">
      <c r="A773" s="72">
        <f>IFERROR(VLOOKUP($G773,Conf!$B:$C,2,0),E773)</f>
        <v>30</v>
      </c>
      <c r="B773" s="72" t="str">
        <f ca="1">IF(D773="Inativo","Inativo",IFERROR(VLOOKUP($G773,Conf!$O:$Q,2,0),VLOOKUP($S773,Conf!$K:$M,2,0)))</f>
        <v>ADMINISTRATIVO</v>
      </c>
      <c r="C773" s="72" t="str">
        <f ca="1">IF(D773="Inativo","Inativo",IFERROR(VLOOKUP($G773,Conf!$O:$Q,3,0),IFERROR(VLOOKUP($G773,Conf!$E:$F,2,0),VLOOKUP($S773,Conf!$K:$M,3,0))))</f>
        <v>ASSISTENTE</v>
      </c>
      <c r="D773" s="72" t="str">
        <f ca="1">IFERROR(IF(TODAY()-K773&gt;365,"Inativo",IF(J773=2,"Férias",IF(J773=7,"Demitido","Afastamento"))),VLOOKUP(J773,Conf!$H:$I,2,0))</f>
        <v>Ativos</v>
      </c>
      <c r="E773" s="187">
        <v>30</v>
      </c>
      <c r="F773" s="187">
        <v>294</v>
      </c>
      <c r="G773" t="s">
        <v>1023</v>
      </c>
      <c r="H773" s="71"/>
      <c r="I773" t="s">
        <v>998</v>
      </c>
      <c r="J773" s="187">
        <v>1</v>
      </c>
      <c r="K773" t="s">
        <v>1385</v>
      </c>
      <c r="L773" s="185"/>
      <c r="M773" s="188">
        <v>46076</v>
      </c>
      <c r="N773" s="71"/>
      <c r="Q773" s="71"/>
      <c r="R773" s="71"/>
      <c r="S773" t="s">
        <v>1416</v>
      </c>
      <c r="T773" s="71"/>
    </row>
    <row r="774" spans="1:20" x14ac:dyDescent="0.3">
      <c r="A774" s="72">
        <f>IFERROR(VLOOKUP($G774,Conf!$B:$C,2,0),E774)</f>
        <v>30</v>
      </c>
      <c r="B774" s="72" t="str">
        <f ca="1">IF(D774="Inativo","Inativo",IFERROR(VLOOKUP($G774,Conf!$O:$Q,2,0),VLOOKUP($S774,Conf!$K:$M,2,0)))</f>
        <v>ADMINISTRATIVO</v>
      </c>
      <c r="C774" s="72" t="str">
        <f ca="1">IF(D774="Inativo","Inativo",IFERROR(VLOOKUP($G774,Conf!$O:$Q,3,0),IFERROR(VLOOKUP($G774,Conf!$E:$F,2,0),VLOOKUP($S774,Conf!$K:$M,3,0))))</f>
        <v>ASSISTENTE</v>
      </c>
      <c r="D774" s="72" t="str">
        <f ca="1">IFERROR(IF(TODAY()-K774&gt;365,"Inativo",IF(J774=2,"Férias",IF(J774=7,"Demitido","Afastamento"))),VLOOKUP(J774,Conf!$H:$I,2,0))</f>
        <v>Ativos</v>
      </c>
      <c r="E774" s="187">
        <v>30</v>
      </c>
      <c r="F774" s="187">
        <v>249</v>
      </c>
      <c r="G774" t="s">
        <v>1024</v>
      </c>
      <c r="H774" s="71"/>
      <c r="I774" t="s">
        <v>998</v>
      </c>
      <c r="J774" s="187">
        <v>1</v>
      </c>
      <c r="K774" t="s">
        <v>1385</v>
      </c>
      <c r="L774" s="185"/>
      <c r="M774" s="188">
        <v>45943</v>
      </c>
      <c r="N774" s="71"/>
      <c r="Q774" s="71"/>
      <c r="R774" s="71"/>
      <c r="S774" t="s">
        <v>1025</v>
      </c>
      <c r="T774" s="71"/>
    </row>
    <row r="775" spans="1:20" x14ac:dyDescent="0.3">
      <c r="A775" s="72">
        <f>IFERROR(VLOOKUP($G775,Conf!$B:$C,2,0),E775)</f>
        <v>30</v>
      </c>
      <c r="B775" s="72" t="str">
        <f ca="1">IF(D775="Inativo","Inativo",IFERROR(VLOOKUP($G775,Conf!$O:$Q,2,0),VLOOKUP($S775,Conf!$K:$M,2,0)))</f>
        <v>ADMINISTRATIVO</v>
      </c>
      <c r="C775" s="72" t="str">
        <f ca="1">IF(D775="Inativo","Inativo",IFERROR(VLOOKUP($G775,Conf!$O:$Q,3,0),IFERROR(VLOOKUP($G775,Conf!$E:$F,2,0),VLOOKUP($S775,Conf!$K:$M,3,0))))</f>
        <v>AUXILIAR</v>
      </c>
      <c r="D775" s="72" t="str">
        <f ca="1">IFERROR(IF(TODAY()-K775&gt;365,"Inativo",IF(J775=2,"Férias",IF(J775=7,"Demitido","Afastamento"))),VLOOKUP(J775,Conf!$H:$I,2,0))</f>
        <v>Ativos</v>
      </c>
      <c r="E775" s="187">
        <v>30</v>
      </c>
      <c r="F775" s="187">
        <v>80</v>
      </c>
      <c r="G775" t="s">
        <v>1026</v>
      </c>
      <c r="H775" s="71"/>
      <c r="I775" t="s">
        <v>604</v>
      </c>
      <c r="J775" s="187">
        <v>1</v>
      </c>
      <c r="K775" t="s">
        <v>1385</v>
      </c>
      <c r="L775" s="185"/>
      <c r="M775" s="188">
        <v>44440</v>
      </c>
      <c r="N775" s="71"/>
      <c r="Q775" s="71"/>
      <c r="R775" s="71"/>
      <c r="S775" t="s">
        <v>1027</v>
      </c>
      <c r="T775" s="71"/>
    </row>
    <row r="776" spans="1:20" x14ac:dyDescent="0.3">
      <c r="A776" s="72">
        <f>IFERROR(VLOOKUP($G776,Conf!$B:$C,2,0),E776)</f>
        <v>30</v>
      </c>
      <c r="B776" s="72" t="str">
        <f ca="1">IF(D776="Inativo","Inativo",IFERROR(VLOOKUP($G776,Conf!$O:$Q,2,0),VLOOKUP($S776,Conf!$K:$M,2,0)))</f>
        <v>ADMINISTRATIVO</v>
      </c>
      <c r="C776" s="72" t="str">
        <f ca="1">IF(D776="Inativo","Inativo",IFERROR(VLOOKUP($G776,Conf!$O:$Q,3,0),IFERROR(VLOOKUP($G776,Conf!$E:$F,2,0),VLOOKUP($S776,Conf!$K:$M,3,0))))</f>
        <v>AUXILIAR</v>
      </c>
      <c r="D776" s="72" t="str">
        <f ca="1">IFERROR(IF(TODAY()-K776&gt;365,"Inativo",IF(J776=2,"Férias",IF(J776=7,"Demitido","Afastamento"))),VLOOKUP(J776,Conf!$H:$I,2,0))</f>
        <v>Ativos</v>
      </c>
      <c r="E776" s="187">
        <v>30</v>
      </c>
      <c r="F776" s="187">
        <v>113</v>
      </c>
      <c r="G776" t="s">
        <v>1028</v>
      </c>
      <c r="H776" s="71"/>
      <c r="I776" t="s">
        <v>604</v>
      </c>
      <c r="J776" s="187">
        <v>1</v>
      </c>
      <c r="K776" t="s">
        <v>1385</v>
      </c>
      <c r="L776" s="185"/>
      <c r="M776" s="188">
        <v>44744</v>
      </c>
      <c r="N776" s="71"/>
      <c r="Q776" s="71"/>
      <c r="R776" s="71"/>
      <c r="S776" t="s">
        <v>1027</v>
      </c>
      <c r="T776" s="71"/>
    </row>
    <row r="777" spans="1:20" x14ac:dyDescent="0.3">
      <c r="A777" s="72">
        <f>IFERROR(VLOOKUP($G777,Conf!$B:$C,2,0),E777)</f>
        <v>30</v>
      </c>
      <c r="B777" s="72" t="str">
        <f ca="1">IF(D777="Inativo","Inativo",IFERROR(VLOOKUP($G777,Conf!$O:$Q,2,0),VLOOKUP($S777,Conf!$K:$M,2,0)))</f>
        <v>ADMINISTRATIVO</v>
      </c>
      <c r="C777" s="72" t="str">
        <f ca="1">IF(D777="Inativo","Inativo",IFERROR(VLOOKUP($G777,Conf!$O:$Q,3,0),IFERROR(VLOOKUP($G777,Conf!$E:$F,2,0),VLOOKUP($S777,Conf!$K:$M,3,0))))</f>
        <v>AUXILIAR</v>
      </c>
      <c r="D777" s="72" t="str">
        <f ca="1">IFERROR(IF(TODAY()-K777&gt;365,"Inativo",IF(J777=2,"Férias",IF(J777=7,"Demitido","Afastamento"))),VLOOKUP(J777,Conf!$H:$I,2,0))</f>
        <v>Ativos</v>
      </c>
      <c r="E777" s="187">
        <v>30</v>
      </c>
      <c r="F777" s="187">
        <v>216</v>
      </c>
      <c r="G777" t="s">
        <v>1040</v>
      </c>
      <c r="H777" s="71"/>
      <c r="I777" t="s">
        <v>480</v>
      </c>
      <c r="J777" s="187">
        <v>1</v>
      </c>
      <c r="K777" t="s">
        <v>1385</v>
      </c>
      <c r="L777" s="185"/>
      <c r="M777" s="188">
        <v>44214</v>
      </c>
      <c r="N777" s="71"/>
      <c r="Q777" s="71"/>
      <c r="R777" s="71"/>
      <c r="S777" t="s">
        <v>1041</v>
      </c>
      <c r="T777" s="71"/>
    </row>
    <row r="778" spans="1:20" x14ac:dyDescent="0.3">
      <c r="A778" s="72">
        <f>IFERROR(VLOOKUP($G778,Conf!$B:$C,2,0),E778)</f>
        <v>30</v>
      </c>
      <c r="B778" s="72" t="str">
        <f ca="1">IF(D778="Inativo","Inativo",IFERROR(VLOOKUP($G778,Conf!$O:$Q,2,0),VLOOKUP($S778,Conf!$K:$M,2,0)))</f>
        <v>ADMINISTRATIVO</v>
      </c>
      <c r="C778" s="72" t="str">
        <f ca="1">IF(D778="Inativo","Inativo",IFERROR(VLOOKUP($G778,Conf!$O:$Q,3,0),IFERROR(VLOOKUP($G778,Conf!$E:$F,2,0),VLOOKUP($S778,Conf!$K:$M,3,0))))</f>
        <v>AUXILIAR</v>
      </c>
      <c r="D778" s="72" t="str">
        <f ca="1">IFERROR(IF(TODAY()-K778&gt;365,"Inativo",IF(J778=2,"Férias",IF(J778=7,"Demitido","Afastamento"))),VLOOKUP(J778,Conf!$H:$I,2,0))</f>
        <v>Ativos</v>
      </c>
      <c r="E778" s="187">
        <v>30</v>
      </c>
      <c r="F778" s="187">
        <v>361</v>
      </c>
      <c r="G778" t="s">
        <v>1029</v>
      </c>
      <c r="H778" s="71"/>
      <c r="I778" t="s">
        <v>239</v>
      </c>
      <c r="J778" s="187">
        <v>1</v>
      </c>
      <c r="K778" t="s">
        <v>1385</v>
      </c>
      <c r="L778" s="185"/>
      <c r="M778" s="188">
        <v>45839</v>
      </c>
      <c r="N778" s="71"/>
      <c r="Q778" s="71"/>
      <c r="R778" s="71"/>
      <c r="S778" t="s">
        <v>1030</v>
      </c>
      <c r="T778" s="71"/>
    </row>
    <row r="779" spans="1:20" x14ac:dyDescent="0.3">
      <c r="A779" s="72">
        <f>IFERROR(VLOOKUP($G779,Conf!$B:$C,2,0),E779)</f>
        <v>30</v>
      </c>
      <c r="B779" s="72" t="str">
        <f ca="1">IF(D779="Inativo","Inativo",IFERROR(VLOOKUP($G779,Conf!$O:$Q,2,0),VLOOKUP($S779,Conf!$K:$M,2,0)))</f>
        <v>ADMINISTRATIVO</v>
      </c>
      <c r="C779" s="72" t="str">
        <f ca="1">IF(D779="Inativo","Inativo",IFERROR(VLOOKUP($G779,Conf!$O:$Q,3,0),IFERROR(VLOOKUP($G779,Conf!$E:$F,2,0),VLOOKUP($S779,Conf!$K:$M,3,0))))</f>
        <v>AUXILIAR</v>
      </c>
      <c r="D779" s="72" t="str">
        <f ca="1">IFERROR(IF(TODAY()-K779&gt;365,"Inativo",IF(J779=2,"Férias",IF(J779=7,"Demitido","Afastamento"))),VLOOKUP(J779,Conf!$H:$I,2,0))</f>
        <v>Ativos</v>
      </c>
      <c r="E779" s="187">
        <v>30</v>
      </c>
      <c r="F779" s="187">
        <v>265</v>
      </c>
      <c r="G779" t="s">
        <v>1031</v>
      </c>
      <c r="H779" s="71"/>
      <c r="I779" t="s">
        <v>435</v>
      </c>
      <c r="J779" s="187">
        <v>1</v>
      </c>
      <c r="K779" t="s">
        <v>1385</v>
      </c>
      <c r="L779" s="185"/>
      <c r="M779" s="188">
        <v>44671</v>
      </c>
      <c r="N779" s="71"/>
      <c r="Q779" s="71"/>
      <c r="R779" s="71"/>
      <c r="S779" t="s">
        <v>1030</v>
      </c>
      <c r="T779" s="71"/>
    </row>
    <row r="780" spans="1:20" x14ac:dyDescent="0.3">
      <c r="A780" s="72">
        <f>IFERROR(VLOOKUP($G780,Conf!$B:$C,2,0),E780)</f>
        <v>30</v>
      </c>
      <c r="B780" s="72" t="str">
        <f ca="1">IF(D780="Inativo","Inativo",IFERROR(VLOOKUP($G780,Conf!$O:$Q,2,0),VLOOKUP($S780,Conf!$K:$M,2,0)))</f>
        <v>ADMINISTRATIVO</v>
      </c>
      <c r="C780" s="72" t="str">
        <f ca="1">IF(D780="Inativo","Inativo",IFERROR(VLOOKUP($G780,Conf!$O:$Q,3,0),IFERROR(VLOOKUP($G780,Conf!$E:$F,2,0),VLOOKUP($S780,Conf!$K:$M,3,0))))</f>
        <v>ENCARREGADO</v>
      </c>
      <c r="D780" s="72" t="str">
        <f ca="1">IFERROR(IF(TODAY()-K780&gt;365,"Inativo",IF(J780=2,"Férias",IF(J780=7,"Demitido","Afastamento"))),VLOOKUP(J780,Conf!$H:$I,2,0))</f>
        <v>Ativos</v>
      </c>
      <c r="E780" s="187">
        <v>30</v>
      </c>
      <c r="F780" s="187">
        <v>48</v>
      </c>
      <c r="G780" t="s">
        <v>1032</v>
      </c>
      <c r="H780" s="71"/>
      <c r="I780" t="s">
        <v>435</v>
      </c>
      <c r="J780" s="187">
        <v>1</v>
      </c>
      <c r="K780" t="s">
        <v>1385</v>
      </c>
      <c r="L780" s="185"/>
      <c r="M780" s="188">
        <v>41276</v>
      </c>
      <c r="N780" s="71"/>
      <c r="Q780" s="71"/>
      <c r="R780" s="71"/>
      <c r="S780" t="s">
        <v>1033</v>
      </c>
      <c r="T780" s="71"/>
    </row>
    <row r="781" spans="1:20" x14ac:dyDescent="0.3">
      <c r="A781" s="72">
        <f>IFERROR(VLOOKUP($G781,Conf!$B:$C,2,0),E781)</f>
        <v>30</v>
      </c>
      <c r="B781" s="72" t="str">
        <f ca="1">IF(D781="Inativo","Inativo",IFERROR(VLOOKUP($G781,Conf!$O:$Q,2,0),VLOOKUP($S781,Conf!$K:$M,2,0)))</f>
        <v>ADMINISTRATIVO</v>
      </c>
      <c r="C781" s="72" t="str">
        <f ca="1">IF(D781="Inativo","Inativo",IFERROR(VLOOKUP($G781,Conf!$O:$Q,3,0),IFERROR(VLOOKUP($G781,Conf!$E:$F,2,0),VLOOKUP($S781,Conf!$K:$M,3,0))))</f>
        <v>ENCARREGADO</v>
      </c>
      <c r="D781" s="72" t="str">
        <f ca="1">IFERROR(IF(TODAY()-K781&gt;365,"Inativo",IF(J781=2,"Férias",IF(J781=7,"Demitido","Afastamento"))),VLOOKUP(J781,Conf!$H:$I,2,0))</f>
        <v>Ativos</v>
      </c>
      <c r="E781" s="187">
        <v>30</v>
      </c>
      <c r="F781" s="187">
        <v>195</v>
      </c>
      <c r="G781" t="s">
        <v>1034</v>
      </c>
      <c r="H781" s="71"/>
      <c r="I781" t="s">
        <v>350</v>
      </c>
      <c r="J781" s="187">
        <v>1</v>
      </c>
      <c r="K781" t="s">
        <v>1385</v>
      </c>
      <c r="L781" s="185"/>
      <c r="M781" s="188">
        <v>45748</v>
      </c>
      <c r="N781" s="71"/>
      <c r="Q781" s="71"/>
      <c r="R781" s="71"/>
      <c r="S781" t="s">
        <v>1035</v>
      </c>
      <c r="T781" s="71"/>
    </row>
    <row r="782" spans="1:20" x14ac:dyDescent="0.3">
      <c r="A782" s="72">
        <f>IFERROR(VLOOKUP($G782,Conf!$B:$C,2,0),E782)</f>
        <v>30</v>
      </c>
      <c r="B782" s="72" t="str">
        <f ca="1">IF(D782="Inativo","Inativo",IFERROR(VLOOKUP($G782,Conf!$O:$Q,2,0),VLOOKUP($S782,Conf!$K:$M,2,0)))</f>
        <v>ADMINISTRATIVO</v>
      </c>
      <c r="C782" s="72" t="str">
        <f ca="1">IF(D782="Inativo","Inativo",IFERROR(VLOOKUP($G782,Conf!$O:$Q,3,0),IFERROR(VLOOKUP($G782,Conf!$E:$F,2,0),VLOOKUP($S782,Conf!$K:$M,3,0))))</f>
        <v>ENCARREGADO</v>
      </c>
      <c r="D782" s="72" t="str">
        <f ca="1">IFERROR(IF(TODAY()-K782&gt;365,"Inativo",IF(J782=2,"Férias",IF(J782=7,"Demitido","Afastamento"))),VLOOKUP(J782,Conf!$H:$I,2,0))</f>
        <v>Ativos</v>
      </c>
      <c r="E782" s="187">
        <v>30</v>
      </c>
      <c r="F782" s="187">
        <v>72</v>
      </c>
      <c r="G782" t="s">
        <v>1628</v>
      </c>
      <c r="H782" s="71"/>
      <c r="I782" t="s">
        <v>488</v>
      </c>
      <c r="J782" s="187">
        <v>1</v>
      </c>
      <c r="K782" t="s">
        <v>1385</v>
      </c>
      <c r="L782" s="185"/>
      <c r="M782" s="188">
        <v>46296</v>
      </c>
      <c r="N782" s="71"/>
      <c r="Q782" s="71"/>
      <c r="R782" s="71"/>
      <c r="S782" t="s">
        <v>1632</v>
      </c>
      <c r="T782" s="71"/>
    </row>
    <row r="783" spans="1:20" x14ac:dyDescent="0.3">
      <c r="A783" s="72">
        <f>IFERROR(VLOOKUP($G783,Conf!$B:$C,2,0),E783)</f>
        <v>30</v>
      </c>
      <c r="B783" s="72" t="str">
        <f ca="1">IF(D783="Inativo","Inativo",IFERROR(VLOOKUP($G783,Conf!$O:$Q,2,0),VLOOKUP($S783,Conf!$K:$M,2,0)))</f>
        <v>ADMINISTRATIVO</v>
      </c>
      <c r="C783" s="72" t="str">
        <f ca="1">IF(D783="Inativo","Inativo",IFERROR(VLOOKUP($G783,Conf!$O:$Q,3,0),IFERROR(VLOOKUP($G783,Conf!$E:$F,2,0),VLOOKUP($S783,Conf!$K:$M,3,0))))</f>
        <v>ENCARREGADO</v>
      </c>
      <c r="D783" s="72" t="str">
        <f ca="1">IFERROR(IF(TODAY()-K783&gt;365,"Inativo",IF(J783=2,"Férias",IF(J783=7,"Demitido","Afastamento"))),VLOOKUP(J783,Conf!$H:$I,2,0))</f>
        <v>Ativos</v>
      </c>
      <c r="E783" s="187">
        <v>30</v>
      </c>
      <c r="F783" s="187">
        <v>298</v>
      </c>
      <c r="G783" t="s">
        <v>1036</v>
      </c>
      <c r="H783" s="71"/>
      <c r="I783" t="s">
        <v>998</v>
      </c>
      <c r="J783" s="187">
        <v>1</v>
      </c>
      <c r="K783" t="s">
        <v>1385</v>
      </c>
      <c r="L783" s="185"/>
      <c r="M783" s="188">
        <v>46082</v>
      </c>
      <c r="N783" s="71"/>
      <c r="Q783" s="71"/>
      <c r="R783" s="71"/>
      <c r="S783" t="s">
        <v>1037</v>
      </c>
      <c r="T783" s="71"/>
    </row>
    <row r="784" spans="1:20" x14ac:dyDescent="0.3">
      <c r="A784" s="72">
        <f>IFERROR(VLOOKUP($G784,Conf!$B:$C,2,0),E784)</f>
        <v>30</v>
      </c>
      <c r="B784" s="72" t="str">
        <f ca="1">IF(D784="Inativo","Inativo",IFERROR(VLOOKUP($G784,Conf!$O:$Q,2,0),VLOOKUP($S784,Conf!$K:$M,2,0)))</f>
        <v>ADMINISTRATIVO</v>
      </c>
      <c r="C784" s="72" t="str">
        <f ca="1">IF(D784="Inativo","Inativo",IFERROR(VLOOKUP($G784,Conf!$O:$Q,3,0),IFERROR(VLOOKUP($G784,Conf!$E:$F,2,0),VLOOKUP($S784,Conf!$K:$M,3,0))))</f>
        <v>ENCARREGADO</v>
      </c>
      <c r="D784" s="72" t="str">
        <f ca="1">IFERROR(IF(TODAY()-K784&gt;365,"Inativo",IF(J784=2,"Férias",IF(J784=7,"Demitido","Afastamento"))),VLOOKUP(J784,Conf!$H:$I,2,0))</f>
        <v>Ativos</v>
      </c>
      <c r="E784" s="187">
        <v>30</v>
      </c>
      <c r="F784" s="187">
        <v>297</v>
      </c>
      <c r="G784" t="s">
        <v>1038</v>
      </c>
      <c r="H784" s="71"/>
      <c r="I784" t="s">
        <v>998</v>
      </c>
      <c r="J784" s="187">
        <v>1</v>
      </c>
      <c r="K784" t="s">
        <v>1385</v>
      </c>
      <c r="L784" s="185"/>
      <c r="M784" s="188">
        <v>46083</v>
      </c>
      <c r="N784" s="71"/>
      <c r="Q784" s="71"/>
      <c r="R784" s="71"/>
      <c r="S784" t="s">
        <v>1039</v>
      </c>
      <c r="T784" s="71"/>
    </row>
    <row r="785" spans="1:20" x14ac:dyDescent="0.3">
      <c r="A785" s="72">
        <f>IFERROR(VLOOKUP($G785,Conf!$B:$C,2,0),E785)</f>
        <v>30</v>
      </c>
      <c r="B785" s="72" t="str">
        <f ca="1">IF(D785="Inativo","Inativo",IFERROR(VLOOKUP($G785,Conf!$O:$Q,2,0),VLOOKUP($S785,Conf!$K:$M,2,0)))</f>
        <v>ADMINISTRATIVO</v>
      </c>
      <c r="C785" s="72" t="str">
        <f ca="1">IF(D785="Inativo","Inativo",IFERROR(VLOOKUP($G785,Conf!$O:$Q,3,0),IFERROR(VLOOKUP($G785,Conf!$E:$F,2,0),VLOOKUP($S785,Conf!$K:$M,3,0))))</f>
        <v>FATURISTA</v>
      </c>
      <c r="D785" s="72" t="str">
        <f ca="1">IFERROR(IF(TODAY()-K785&gt;365,"Inativo",IF(J785=2,"Férias",IF(J785=7,"Demitido","Afastamento"))),VLOOKUP(J785,Conf!$H:$I,2,0))</f>
        <v>Ativos</v>
      </c>
      <c r="E785" s="187">
        <v>30</v>
      </c>
      <c r="F785" s="187">
        <v>23</v>
      </c>
      <c r="G785" t="s">
        <v>993</v>
      </c>
      <c r="H785" s="71"/>
      <c r="I785" t="s">
        <v>994</v>
      </c>
      <c r="J785" s="187">
        <v>1</v>
      </c>
      <c r="K785" t="s">
        <v>1385</v>
      </c>
      <c r="L785" s="185"/>
      <c r="M785" s="188">
        <v>45035</v>
      </c>
      <c r="N785" s="71"/>
      <c r="Q785" s="71"/>
      <c r="R785" s="71"/>
      <c r="S785" t="s">
        <v>995</v>
      </c>
      <c r="T785" s="71"/>
    </row>
    <row r="786" spans="1:20" x14ac:dyDescent="0.3">
      <c r="A786" s="72">
        <f>IFERROR(VLOOKUP($G786,Conf!$B:$C,2,0),E786)</f>
        <v>30</v>
      </c>
      <c r="B786" s="72" t="str">
        <f ca="1">IF(D786="Inativo","Inativo",IFERROR(VLOOKUP($G786,Conf!$O:$Q,2,0),VLOOKUP($S786,Conf!$K:$M,2,0)))</f>
        <v>ADMINISTRATIVO</v>
      </c>
      <c r="C786" s="72" t="str">
        <f ca="1">IF(D786="Inativo","Inativo",IFERROR(VLOOKUP($G786,Conf!$O:$Q,3,0),IFERROR(VLOOKUP($G786,Conf!$E:$F,2,0),VLOOKUP($S786,Conf!$K:$M,3,0))))</f>
        <v>FATURISTA</v>
      </c>
      <c r="D786" s="72" t="str">
        <f ca="1">IFERROR(IF(TODAY()-K786&gt;365,"Inativo",IF(J786=2,"Férias",IF(J786=7,"Demitido","Afastamento"))),VLOOKUP(J786,Conf!$H:$I,2,0))</f>
        <v>Férias</v>
      </c>
      <c r="E786" s="187">
        <v>30</v>
      </c>
      <c r="F786" s="187">
        <v>241</v>
      </c>
      <c r="G786" t="s">
        <v>1013</v>
      </c>
      <c r="H786" s="71"/>
      <c r="I786" t="s">
        <v>1014</v>
      </c>
      <c r="J786" s="187">
        <v>2</v>
      </c>
      <c r="K786" t="s">
        <v>1640</v>
      </c>
      <c r="L786" s="185"/>
      <c r="M786" s="188">
        <v>44384</v>
      </c>
      <c r="N786" s="71"/>
      <c r="Q786" s="71"/>
      <c r="R786" s="71"/>
      <c r="S786" t="s">
        <v>1001</v>
      </c>
      <c r="T786" s="71"/>
    </row>
    <row r="787" spans="1:20" x14ac:dyDescent="0.3">
      <c r="A787" s="72">
        <f>IFERROR(VLOOKUP($G787,Conf!$B:$C,2,0),E787)</f>
        <v>30</v>
      </c>
      <c r="B787" s="72" t="str">
        <f ca="1">IF(D787="Inativo","Inativo",IFERROR(VLOOKUP($G787,Conf!$O:$Q,2,0),VLOOKUP($S787,Conf!$K:$M,2,0)))</f>
        <v>ADMINISTRATIVO</v>
      </c>
      <c r="C787" s="72" t="str">
        <f ca="1">IF(D787="Inativo","Inativo",IFERROR(VLOOKUP($G787,Conf!$O:$Q,3,0),IFERROR(VLOOKUP($G787,Conf!$E:$F,2,0),VLOOKUP($S787,Conf!$K:$M,3,0))))</f>
        <v>LIMPEZA</v>
      </c>
      <c r="D787" s="72" t="str">
        <f ca="1">IFERROR(IF(TODAY()-K787&gt;365,"Inativo",IF(J787=2,"Férias",IF(J787=7,"Demitido","Afastamento"))),VLOOKUP(J787,Conf!$H:$I,2,0))</f>
        <v>Ativos</v>
      </c>
      <c r="E787" s="187">
        <v>30</v>
      </c>
      <c r="F787" s="187">
        <v>272</v>
      </c>
      <c r="G787" t="s">
        <v>1149</v>
      </c>
      <c r="H787" s="71"/>
      <c r="I787" t="s">
        <v>239</v>
      </c>
      <c r="J787" s="187">
        <v>1</v>
      </c>
      <c r="K787" t="s">
        <v>1385</v>
      </c>
      <c r="L787" s="185"/>
      <c r="M787" s="188">
        <v>46031</v>
      </c>
      <c r="N787" s="71"/>
      <c r="Q787" s="71"/>
      <c r="R787" s="71"/>
      <c r="S787" t="s">
        <v>1150</v>
      </c>
      <c r="T787" s="71"/>
    </row>
    <row r="788" spans="1:20" x14ac:dyDescent="0.3">
      <c r="A788" s="72">
        <f>IFERROR(VLOOKUP($G788,Conf!$B:$C,2,0),E788)</f>
        <v>30</v>
      </c>
      <c r="B788" s="72" t="str">
        <f ca="1">IF(D788="Inativo","Inativo",IFERROR(VLOOKUP($G788,Conf!$O:$Q,2,0),VLOOKUP($S788,Conf!$K:$M,2,0)))</f>
        <v>ADMINISTRATIVO</v>
      </c>
      <c r="C788" s="72" t="str">
        <f ca="1">IF(D788="Inativo","Inativo",IFERROR(VLOOKUP($G788,Conf!$O:$Q,3,0),IFERROR(VLOOKUP($G788,Conf!$E:$F,2,0),VLOOKUP($S788,Conf!$K:$M,3,0))))</f>
        <v>LIMPEZA</v>
      </c>
      <c r="D788" s="72" t="str">
        <f ca="1">IFERROR(IF(TODAY()-K788&gt;365,"Inativo",IF(J788=2,"Férias",IF(J788=7,"Demitido","Afastamento"))),VLOOKUP(J788,Conf!$H:$I,2,0))</f>
        <v>Ativos</v>
      </c>
      <c r="E788" s="187">
        <v>30</v>
      </c>
      <c r="F788" s="187">
        <v>57</v>
      </c>
      <c r="G788" t="s">
        <v>1151</v>
      </c>
      <c r="H788" s="71"/>
      <c r="I788" t="s">
        <v>380</v>
      </c>
      <c r="J788" s="187">
        <v>1</v>
      </c>
      <c r="K788" t="s">
        <v>1385</v>
      </c>
      <c r="L788" s="185"/>
      <c r="M788" s="188">
        <v>45041</v>
      </c>
      <c r="N788" s="71"/>
      <c r="Q788" s="71"/>
      <c r="R788" s="71"/>
      <c r="S788" t="s">
        <v>1147</v>
      </c>
      <c r="T788" s="71"/>
    </row>
    <row r="789" spans="1:20" x14ac:dyDescent="0.3">
      <c r="A789" s="72">
        <f>IFERROR(VLOOKUP($G789,Conf!$B:$C,2,0),E789)</f>
        <v>30</v>
      </c>
      <c r="B789" s="72" t="str">
        <f ca="1">IF(D789="Inativo","Inativo",IFERROR(VLOOKUP($G789,Conf!$O:$Q,2,0),VLOOKUP($S789,Conf!$K:$M,2,0)))</f>
        <v>ADMINISTRATIVO</v>
      </c>
      <c r="C789" s="72" t="str">
        <f ca="1">IF(D789="Inativo","Inativo",IFERROR(VLOOKUP($G789,Conf!$O:$Q,3,0),IFERROR(VLOOKUP($G789,Conf!$E:$F,2,0),VLOOKUP($S789,Conf!$K:$M,3,0))))</f>
        <v>LIMPEZA</v>
      </c>
      <c r="D789" s="72" t="str">
        <f ca="1">IFERROR(IF(TODAY()-K789&gt;365,"Inativo",IF(J789=2,"Férias",IF(J789=7,"Demitido","Afastamento"))),VLOOKUP(J789,Conf!$H:$I,2,0))</f>
        <v>Ativos</v>
      </c>
      <c r="E789" s="187">
        <v>30</v>
      </c>
      <c r="F789" s="187">
        <v>153</v>
      </c>
      <c r="G789" t="s">
        <v>1152</v>
      </c>
      <c r="H789" s="71"/>
      <c r="I789" t="s">
        <v>435</v>
      </c>
      <c r="J789" s="187">
        <v>1</v>
      </c>
      <c r="K789" t="s">
        <v>1385</v>
      </c>
      <c r="L789" s="185"/>
      <c r="M789" s="188">
        <v>45604</v>
      </c>
      <c r="N789" s="71"/>
      <c r="Q789" s="71"/>
      <c r="R789" s="71"/>
      <c r="S789" t="s">
        <v>1150</v>
      </c>
      <c r="T789" s="71"/>
    </row>
    <row r="790" spans="1:20" x14ac:dyDescent="0.3">
      <c r="A790" s="72">
        <f>IFERROR(VLOOKUP($G790,Conf!$B:$C,2,0),E790)</f>
        <v>30</v>
      </c>
      <c r="B790" s="72" t="str">
        <f ca="1">IF(D790="Inativo","Inativo",IFERROR(VLOOKUP($G790,Conf!$O:$Q,2,0),VLOOKUP($S790,Conf!$K:$M,2,0)))</f>
        <v>ADMINISTRATIVO</v>
      </c>
      <c r="C790" s="72" t="str">
        <f ca="1">IF(D790="Inativo","Inativo",IFERROR(VLOOKUP($G790,Conf!$O:$Q,3,0),IFERROR(VLOOKUP($G790,Conf!$E:$F,2,0),VLOOKUP($S790,Conf!$K:$M,3,0))))</f>
        <v>SUPERVISOR</v>
      </c>
      <c r="D790" s="72" t="str">
        <f ca="1">IFERROR(IF(TODAY()-K790&gt;365,"Inativo",IF(J790=2,"Férias",IF(J790=7,"Demitido","Afastamento"))),VLOOKUP(J790,Conf!$H:$I,2,0))</f>
        <v>Férias</v>
      </c>
      <c r="E790" s="187">
        <v>30</v>
      </c>
      <c r="F790" s="187">
        <v>89</v>
      </c>
      <c r="G790" t="s">
        <v>1171</v>
      </c>
      <c r="H790" s="71"/>
      <c r="I790" t="s">
        <v>409</v>
      </c>
      <c r="J790" s="187">
        <v>2</v>
      </c>
      <c r="K790" t="s">
        <v>1629</v>
      </c>
      <c r="L790" s="185"/>
      <c r="M790" s="188">
        <v>44509</v>
      </c>
      <c r="N790" s="71"/>
      <c r="Q790" s="71"/>
      <c r="R790" s="71"/>
      <c r="S790" t="s">
        <v>1172</v>
      </c>
    </row>
    <row r="791" spans="1:20" x14ac:dyDescent="0.3">
      <c r="A791" s="72">
        <f>IFERROR(VLOOKUP($G791,Conf!$B:$C,2,0),E791)</f>
        <v>30</v>
      </c>
      <c r="B791" s="72" t="str">
        <f ca="1">IF(D791="Inativo","Inativo",IFERROR(VLOOKUP($G791,Conf!$O:$Q,2,0),VLOOKUP($S791,Conf!$K:$M,2,0)))</f>
        <v>ADMINISTRATIVO</v>
      </c>
      <c r="C791" s="72" t="str">
        <f ca="1">IF(D791="Inativo","Inativo",IFERROR(VLOOKUP($G791,Conf!$O:$Q,3,0),IFERROR(VLOOKUP($G791,Conf!$E:$F,2,0),VLOOKUP($S791,Conf!$K:$M,3,0))))</f>
        <v>SUPERVISOR</v>
      </c>
      <c r="D791" s="72" t="str">
        <f ca="1">IFERROR(IF(TODAY()-K791&gt;365,"Inativo",IF(J791=2,"Férias",IF(J791=7,"Demitido","Afastamento"))),VLOOKUP(J791,Conf!$H:$I,2,0))</f>
        <v>Ativos</v>
      </c>
      <c r="E791" s="187">
        <v>30</v>
      </c>
      <c r="F791" s="187">
        <v>288</v>
      </c>
      <c r="G791" t="s">
        <v>1042</v>
      </c>
      <c r="I791" t="s">
        <v>350</v>
      </c>
      <c r="J791" s="187">
        <v>1</v>
      </c>
      <c r="K791" t="s">
        <v>1385</v>
      </c>
      <c r="M791" s="188">
        <v>46063</v>
      </c>
      <c r="S791" t="s">
        <v>1043</v>
      </c>
    </row>
    <row r="792" spans="1:20" x14ac:dyDescent="0.3">
      <c r="A792" s="72">
        <f>IFERROR(VLOOKUP($G792,Conf!$B:$C,2,0),E792)</f>
        <v>30</v>
      </c>
      <c r="B792" s="72" t="str">
        <f ca="1">IF(D792="Inativo","Inativo",IFERROR(VLOOKUP($G792,Conf!$O:$Q,2,0),VLOOKUP($S792,Conf!$K:$M,2,0)))</f>
        <v>ADMINISTRATIVO</v>
      </c>
      <c r="C792" s="72" t="str">
        <f ca="1">IF(D792="Inativo","Inativo",IFERROR(VLOOKUP($G792,Conf!$O:$Q,3,0),IFERROR(VLOOKUP($G792,Conf!$E:$F,2,0),VLOOKUP($S792,Conf!$K:$M,3,0))))</f>
        <v>SUPERVISOR</v>
      </c>
      <c r="D792" s="72" t="str">
        <f ca="1">IFERROR(IF(TODAY()-K792&gt;365,"Inativo",IF(J792=2,"Férias",IF(J792=7,"Demitido","Afastamento"))),VLOOKUP(J792,Conf!$H:$I,2,0))</f>
        <v>Ativos</v>
      </c>
      <c r="E792" s="187">
        <v>30</v>
      </c>
      <c r="F792" s="187">
        <v>95</v>
      </c>
      <c r="G792" t="s">
        <v>989</v>
      </c>
      <c r="H792" s="71"/>
      <c r="I792" t="s">
        <v>247</v>
      </c>
      <c r="J792" s="187">
        <v>1</v>
      </c>
      <c r="K792" t="s">
        <v>1385</v>
      </c>
      <c r="L792" s="185"/>
      <c r="M792" s="188">
        <v>44569</v>
      </c>
      <c r="N792" s="71"/>
      <c r="Q792" s="71"/>
      <c r="R792" s="71"/>
      <c r="S792" t="s">
        <v>990</v>
      </c>
      <c r="T792" s="71"/>
    </row>
    <row r="793" spans="1:20" x14ac:dyDescent="0.3">
      <c r="A793" s="72">
        <f>IFERROR(VLOOKUP($G793,Conf!$B:$C,2,0),E793)</f>
        <v>30</v>
      </c>
      <c r="B793" s="72" t="str">
        <f ca="1">IF(D793="Inativo","Inativo",IFERROR(VLOOKUP($G793,Conf!$O:$Q,2,0),VLOOKUP($S793,Conf!$K:$M,2,0)))</f>
        <v>ADMINISTRATIVO</v>
      </c>
      <c r="C793" s="72" t="str">
        <f ca="1">IF(D793="Inativo","Inativo",IFERROR(VLOOKUP($G793,Conf!$O:$Q,3,0),IFERROR(VLOOKUP($G793,Conf!$E:$F,2,0),VLOOKUP($S793,Conf!$K:$M,3,0))))</f>
        <v>TECNICO</v>
      </c>
      <c r="D793" s="72" t="str">
        <f ca="1">IFERROR(IF(TODAY()-K793&gt;365,"Inativo",IF(J793=2,"Férias",IF(J793=7,"Demitido","Afastamento"))),VLOOKUP(J793,Conf!$H:$I,2,0))</f>
        <v>Demitido</v>
      </c>
      <c r="E793" s="187">
        <v>30</v>
      </c>
      <c r="F793" s="187">
        <v>71</v>
      </c>
      <c r="G793" t="s">
        <v>1608</v>
      </c>
      <c r="H793" s="71"/>
      <c r="I793" t="s">
        <v>1637</v>
      </c>
      <c r="J793" s="187">
        <v>7</v>
      </c>
      <c r="K793" t="s">
        <v>1629</v>
      </c>
      <c r="L793" s="185"/>
      <c r="M793" s="188">
        <v>46290</v>
      </c>
      <c r="N793" s="71"/>
      <c r="Q793" s="71"/>
      <c r="R793" s="71"/>
      <c r="S793" t="s">
        <v>1611</v>
      </c>
      <c r="T793" s="71"/>
    </row>
    <row r="794" spans="1:20" x14ac:dyDescent="0.3">
      <c r="A794" s="72">
        <f>IFERROR(VLOOKUP($G794,Conf!$B:$C,2,0),E794)</f>
        <v>30</v>
      </c>
      <c r="B794" s="72" t="str">
        <f ca="1">IF(D794="Inativo","Inativo",IFERROR(VLOOKUP($G794,Conf!$O:$Q,2,0),VLOOKUP($S794,Conf!$K:$M,2,0)))</f>
        <v>COMPRADOR</v>
      </c>
      <c r="C794" s="72" t="str">
        <f ca="1">IF(D794="Inativo","Inativo",IFERROR(VLOOKUP($G794,Conf!$O:$Q,3,0),IFERROR(VLOOKUP($G794,Conf!$E:$F,2,0),VLOOKUP($S794,Conf!$K:$M,3,0))))</f>
        <v>COMPRADOR</v>
      </c>
      <c r="D794" s="72" t="str">
        <f ca="1">IFERROR(IF(TODAY()-K794&gt;365,"Inativo",IF(J794=2,"Férias",IF(J794=7,"Demitido","Afastamento"))),VLOOKUP(J794,Conf!$H:$I,2,0))</f>
        <v>Ativos</v>
      </c>
      <c r="E794" s="71">
        <v>30</v>
      </c>
      <c r="F794" s="71">
        <v>902</v>
      </c>
      <c r="G794" s="71" t="s">
        <v>1417</v>
      </c>
      <c r="H794" s="71"/>
      <c r="I794" s="71" t="s">
        <v>604</v>
      </c>
      <c r="J794" s="71">
        <v>1</v>
      </c>
      <c r="K794" s="185" t="s">
        <v>1385</v>
      </c>
      <c r="L794" s="185"/>
      <c r="M794" s="185">
        <v>43983</v>
      </c>
      <c r="N794" s="71"/>
      <c r="Q794" s="71"/>
      <c r="R794" s="71"/>
      <c r="S794" s="71" t="s">
        <v>1044</v>
      </c>
    </row>
    <row r="795" spans="1:20" x14ac:dyDescent="0.3">
      <c r="A795" s="72">
        <f>IFERROR(VLOOKUP($G795,Conf!$B:$C,2,0),E795)</f>
        <v>30</v>
      </c>
      <c r="B795" s="72" t="str">
        <f ca="1">IF(D795="Inativo","Inativo",IFERROR(VLOOKUP($G795,Conf!$O:$Q,2,0),VLOOKUP($S795,Conf!$K:$M,2,0)))</f>
        <v>COMPRADOR</v>
      </c>
      <c r="C795" s="72" t="str">
        <f ca="1">IF(D795="Inativo","Inativo",IFERROR(VLOOKUP($G795,Conf!$O:$Q,3,0),IFERROR(VLOOKUP($G795,Conf!$E:$F,2,0),VLOOKUP($S795,Conf!$K:$M,3,0))))</f>
        <v>COMPRADOR</v>
      </c>
      <c r="D795" s="72" t="str">
        <f ca="1">IFERROR(IF(TODAY()-K795&gt;365,"Inativo",IF(J795=2,"Férias",IF(J795=7,"Demitido","Afastamento"))),VLOOKUP(J795,Conf!$H:$I,2,0))</f>
        <v>Ativos</v>
      </c>
      <c r="E795" s="187">
        <v>30</v>
      </c>
      <c r="F795" s="187">
        <v>94</v>
      </c>
      <c r="G795" t="s">
        <v>1045</v>
      </c>
      <c r="H795" s="71"/>
      <c r="I795" t="s">
        <v>435</v>
      </c>
      <c r="J795" s="187">
        <v>1</v>
      </c>
      <c r="K795" t="s">
        <v>1385</v>
      </c>
      <c r="L795" s="185"/>
      <c r="M795" s="188">
        <v>44568</v>
      </c>
      <c r="N795" s="71"/>
      <c r="Q795" s="71"/>
      <c r="R795" s="71"/>
      <c r="S795" t="s">
        <v>1046</v>
      </c>
      <c r="T795" s="71"/>
    </row>
    <row r="796" spans="1:20" x14ac:dyDescent="0.3">
      <c r="A796" s="72">
        <f>IFERROR(VLOOKUP($G796,Conf!$B:$C,2,0),E796)</f>
        <v>30</v>
      </c>
      <c r="B796" s="72" t="str">
        <f ca="1">IF(D796="Inativo","Inativo",IFERROR(VLOOKUP($G796,Conf!$O:$Q,2,0),VLOOKUP($S796,Conf!$K:$M,2,0)))</f>
        <v>COMPRADOR</v>
      </c>
      <c r="C796" s="72" t="str">
        <f ca="1">IF(D796="Inativo","Inativo",IFERROR(VLOOKUP($G796,Conf!$O:$Q,3,0),IFERROR(VLOOKUP($G796,Conf!$E:$F,2,0),VLOOKUP($S796,Conf!$K:$M,3,0))))</f>
        <v>COMPRADOR</v>
      </c>
      <c r="D796" s="72" t="str">
        <f ca="1">IFERROR(IF(TODAY()-K796&gt;365,"Inativo",IF(J796=2,"Férias",IF(J796=7,"Demitido","Afastamento"))),VLOOKUP(J796,Conf!$H:$I,2,0))</f>
        <v>Ativos</v>
      </c>
      <c r="E796" s="71">
        <v>30</v>
      </c>
      <c r="F796" s="71">
        <v>903</v>
      </c>
      <c r="G796" s="71" t="s">
        <v>1418</v>
      </c>
      <c r="H796" s="71"/>
      <c r="I796" s="71" t="s">
        <v>604</v>
      </c>
      <c r="J796" s="71">
        <v>1</v>
      </c>
      <c r="K796" s="185" t="s">
        <v>1385</v>
      </c>
      <c r="L796" s="185"/>
      <c r="M796" s="185">
        <v>43983</v>
      </c>
      <c r="N796" s="71"/>
      <c r="Q796" s="71"/>
      <c r="R796" s="71"/>
      <c r="S796" s="71" t="s">
        <v>1044</v>
      </c>
    </row>
    <row r="797" spans="1:20" x14ac:dyDescent="0.3">
      <c r="A797" s="72">
        <f>IFERROR(VLOOKUP($G797,Conf!$B:$C,2,0),E797)</f>
        <v>30</v>
      </c>
      <c r="B797" s="72" t="str">
        <f ca="1">IF(D797="Inativo","Inativo",IFERROR(VLOOKUP($G797,Conf!$O:$Q,2,0),VLOOKUP($S797,Conf!$K:$M,2,0)))</f>
        <v>COMPRADOR</v>
      </c>
      <c r="C797" s="72" t="str">
        <f ca="1">IF(D797="Inativo","Inativo",IFERROR(VLOOKUP($G797,Conf!$O:$Q,3,0),IFERROR(VLOOKUP($G797,Conf!$E:$F,2,0),VLOOKUP($S797,Conf!$K:$M,3,0))))</f>
        <v>COMPRADOR</v>
      </c>
      <c r="D797" s="72" t="str">
        <f ca="1">IFERROR(IF(TODAY()-K797&gt;365,"Inativo",IF(J797=2,"Férias",IF(J797=7,"Demitido","Afastamento"))),VLOOKUP(J797,Conf!$H:$I,2,0))</f>
        <v>Ativos</v>
      </c>
      <c r="E797" s="187">
        <v>30</v>
      </c>
      <c r="F797" s="187">
        <v>146</v>
      </c>
      <c r="G797" t="s">
        <v>1047</v>
      </c>
      <c r="H797" s="71"/>
      <c r="I797" t="s">
        <v>604</v>
      </c>
      <c r="J797" s="187">
        <v>1</v>
      </c>
      <c r="K797" t="s">
        <v>1385</v>
      </c>
      <c r="L797" s="185"/>
      <c r="M797" s="188">
        <v>43314</v>
      </c>
      <c r="N797" s="71"/>
      <c r="Q797" s="71"/>
      <c r="R797" s="71"/>
      <c r="S797" t="s">
        <v>1044</v>
      </c>
      <c r="T797" s="71"/>
    </row>
    <row r="798" spans="1:20" x14ac:dyDescent="0.3">
      <c r="A798" s="72">
        <f>IFERROR(VLOOKUP($G798,Conf!$B:$C,2,0),E798)</f>
        <v>30</v>
      </c>
      <c r="B798" s="72" t="str">
        <f ca="1">IF(D798="Inativo","Inativo",IFERROR(VLOOKUP($G798,Conf!$O:$Q,2,0),VLOOKUP($S798,Conf!$K:$M,2,0)))</f>
        <v>COMPRADOR</v>
      </c>
      <c r="C798" s="72" t="str">
        <f ca="1">IF(D798="Inativo","Inativo",IFERROR(VLOOKUP($G798,Conf!$O:$Q,3,0),IFERROR(VLOOKUP($G798,Conf!$E:$F,2,0),VLOOKUP($S798,Conf!$K:$M,3,0))))</f>
        <v>COMPRADOR</v>
      </c>
      <c r="D798" s="72" t="str">
        <f ca="1">IFERROR(IF(TODAY()-K798&gt;365,"Inativo",IF(J798=2,"Férias",IF(J798=7,"Demitido","Afastamento"))),VLOOKUP(J798,Conf!$H:$I,2,0))</f>
        <v>Ativos</v>
      </c>
      <c r="E798" s="187">
        <v>30</v>
      </c>
      <c r="F798" s="187">
        <v>131</v>
      </c>
      <c r="G798" t="s">
        <v>1048</v>
      </c>
      <c r="H798" s="71"/>
      <c r="I798" t="s">
        <v>604</v>
      </c>
      <c r="J798" s="187">
        <v>1</v>
      </c>
      <c r="K798" t="s">
        <v>1385</v>
      </c>
      <c r="L798" s="185"/>
      <c r="M798" s="188">
        <v>45537</v>
      </c>
      <c r="N798" s="71"/>
      <c r="O798" s="71"/>
      <c r="P798" s="71"/>
      <c r="Q798" s="71"/>
      <c r="R798" s="71"/>
      <c r="S798" t="s">
        <v>1049</v>
      </c>
    </row>
    <row r="799" spans="1:20" x14ac:dyDescent="0.3">
      <c r="A799" s="72">
        <f>IFERROR(VLOOKUP($G799,Conf!$B:$C,2,0),E799)</f>
        <v>30</v>
      </c>
      <c r="B799" s="72" t="str">
        <f ca="1">IF(D799="Inativo","Inativo",IFERROR(VLOOKUP($G799,Conf!$O:$Q,2,0),VLOOKUP($S799,Conf!$K:$M,2,0)))</f>
        <v>COMPRADOR</v>
      </c>
      <c r="C799" s="72" t="str">
        <f ca="1">IF(D799="Inativo","Inativo",IFERROR(VLOOKUP($G799,Conf!$O:$Q,3,0),IFERROR(VLOOKUP($G799,Conf!$E:$F,2,0),VLOOKUP($S799,Conf!$K:$M,3,0))))</f>
        <v>COMPRADOR</v>
      </c>
      <c r="D799" s="72" t="str">
        <f ca="1">IFERROR(IF(TODAY()-K799&gt;365,"Inativo",IF(J799=2,"Férias",IF(J799=7,"Demitido","Afastamento"))),VLOOKUP(J799,Conf!$H:$I,2,0))</f>
        <v>Ativos</v>
      </c>
      <c r="E799" s="187">
        <v>30</v>
      </c>
      <c r="F799" s="187">
        <v>108</v>
      </c>
      <c r="G799" t="s">
        <v>1050</v>
      </c>
      <c r="H799" s="71"/>
      <c r="I799" t="s">
        <v>296</v>
      </c>
      <c r="J799" s="187">
        <v>1</v>
      </c>
      <c r="K799" t="s">
        <v>1385</v>
      </c>
      <c r="L799" s="185"/>
      <c r="M799" s="188">
        <v>44730</v>
      </c>
      <c r="N799" s="71"/>
      <c r="Q799" s="71"/>
      <c r="R799" s="71"/>
      <c r="S799" t="s">
        <v>1051</v>
      </c>
      <c r="T799" s="71"/>
    </row>
    <row r="800" spans="1:20" x14ac:dyDescent="0.3">
      <c r="A800" s="72">
        <f>IFERROR(VLOOKUP($G800,Conf!$B:$C,2,0),E800)</f>
        <v>30</v>
      </c>
      <c r="B800" s="72" t="str">
        <f ca="1">IF(D800="Inativo","Inativo",IFERROR(VLOOKUP($G800,Conf!$O:$Q,2,0),VLOOKUP($S800,Conf!$K:$M,2,0)))</f>
        <v>COMPRADOR</v>
      </c>
      <c r="C800" s="72" t="str">
        <f ca="1">IF(D800="Inativo","Inativo",IFERROR(VLOOKUP($G800,Conf!$O:$Q,3,0),IFERROR(VLOOKUP($G800,Conf!$E:$F,2,0),VLOOKUP($S800,Conf!$K:$M,3,0))))</f>
        <v>COMPRADOR</v>
      </c>
      <c r="D800" s="72" t="str">
        <f ca="1">IFERROR(IF(TODAY()-K800&gt;365,"Inativo",IF(J800=2,"Férias",IF(J800=7,"Demitido","Afastamento"))),VLOOKUP(J800,Conf!$H:$I,2,0))</f>
        <v>Ativos</v>
      </c>
      <c r="E800" s="71">
        <v>30</v>
      </c>
      <c r="F800" s="71">
        <v>901</v>
      </c>
      <c r="G800" s="71" t="s">
        <v>1420</v>
      </c>
      <c r="H800" s="71"/>
      <c r="I800" s="71" t="s">
        <v>604</v>
      </c>
      <c r="J800" s="71">
        <v>1</v>
      </c>
      <c r="K800" s="185" t="s">
        <v>1385</v>
      </c>
      <c r="L800" s="185"/>
      <c r="M800" s="185">
        <v>46174</v>
      </c>
      <c r="N800" s="71"/>
      <c r="Q800" s="71"/>
      <c r="R800" s="71"/>
      <c r="S800" s="71" t="s">
        <v>1044</v>
      </c>
      <c r="T800" s="71"/>
    </row>
    <row r="801" spans="1:20" x14ac:dyDescent="0.3">
      <c r="A801" s="72">
        <f>IFERROR(VLOOKUP($G801,Conf!$B:$C,2,0),E801)</f>
        <v>30</v>
      </c>
      <c r="B801" s="72" t="str">
        <f ca="1">IF(D801="Inativo","Inativo",IFERROR(VLOOKUP($G801,Conf!$O:$Q,2,0),VLOOKUP($S801,Conf!$K:$M,2,0)))</f>
        <v>DEPOSITO</v>
      </c>
      <c r="C801" s="72" t="str">
        <f ca="1">IF(D801="Inativo","Inativo",IFERROR(VLOOKUP($G801,Conf!$O:$Q,3,0),IFERROR(VLOOKUP($G801,Conf!$E:$F,2,0),VLOOKUP($S801,Conf!$K:$M,3,0))))</f>
        <v>AUXILIAR</v>
      </c>
      <c r="D801" s="72" t="str">
        <f ca="1">IFERROR(IF(TODAY()-K801&gt;365,"Inativo",IF(J801=2,"Férias",IF(J801=7,"Demitido","Afastamento"))),VLOOKUP(J801,Conf!$H:$I,2,0))</f>
        <v>Demitido</v>
      </c>
      <c r="E801" s="187">
        <v>30</v>
      </c>
      <c r="F801" s="187">
        <v>411</v>
      </c>
      <c r="G801" t="s">
        <v>1407</v>
      </c>
      <c r="H801" s="71"/>
      <c r="I801" t="s">
        <v>435</v>
      </c>
      <c r="J801" s="187">
        <v>7</v>
      </c>
      <c r="K801" t="s">
        <v>1610</v>
      </c>
      <c r="L801" s="185"/>
      <c r="M801" s="188">
        <v>46216</v>
      </c>
      <c r="N801" s="71"/>
      <c r="Q801" s="71"/>
      <c r="R801" s="71"/>
      <c r="S801" t="s">
        <v>1052</v>
      </c>
    </row>
    <row r="802" spans="1:20" x14ac:dyDescent="0.3">
      <c r="A802" s="72">
        <f>IFERROR(VLOOKUP($G802,Conf!$B:$C,2,0),E802)</f>
        <v>30</v>
      </c>
      <c r="B802" s="72" t="str">
        <f ca="1">IF(D802="Inativo","Inativo",IFERROR(VLOOKUP($G802,Conf!$O:$Q,2,0),VLOOKUP($S802,Conf!$K:$M,2,0)))</f>
        <v>DEPOSITO</v>
      </c>
      <c r="C802" s="72" t="str">
        <f ca="1">IF(D802="Inativo","Inativo",IFERROR(VLOOKUP($G802,Conf!$O:$Q,3,0),IFERROR(VLOOKUP($G802,Conf!$E:$F,2,0),VLOOKUP($S802,Conf!$K:$M,3,0))))</f>
        <v>AUXILIAR</v>
      </c>
      <c r="D802" s="72" t="str">
        <f ca="1">IFERROR(IF(TODAY()-K802&gt;365,"Inativo",IF(J802=2,"Férias",IF(J802=7,"Demitido","Afastamento"))),VLOOKUP(J802,Conf!$H:$I,2,0))</f>
        <v>Ativos</v>
      </c>
      <c r="E802" s="187">
        <v>30</v>
      </c>
      <c r="F802" s="187">
        <v>418</v>
      </c>
      <c r="G802" t="s">
        <v>1524</v>
      </c>
      <c r="H802" s="71"/>
      <c r="I802" t="s">
        <v>604</v>
      </c>
      <c r="J802" s="187">
        <v>1</v>
      </c>
      <c r="K802" t="s">
        <v>1385</v>
      </c>
      <c r="L802" s="185"/>
      <c r="M802" s="188">
        <v>46266</v>
      </c>
      <c r="N802" s="71"/>
      <c r="O802" s="71"/>
      <c r="P802" s="71"/>
      <c r="Q802" s="71"/>
      <c r="R802" s="71"/>
      <c r="S802" t="s">
        <v>1056</v>
      </c>
      <c r="T802" s="71"/>
    </row>
    <row r="803" spans="1:20" x14ac:dyDescent="0.3">
      <c r="A803" s="72">
        <f>IFERROR(VLOOKUP($G803,Conf!$B:$C,2,0),E803)</f>
        <v>30</v>
      </c>
      <c r="B803" s="72" t="str">
        <f ca="1">IF(D803="Inativo","Inativo",IFERROR(VLOOKUP($G803,Conf!$O:$Q,2,0),VLOOKUP($S803,Conf!$K:$M,2,0)))</f>
        <v>DEPOSITO</v>
      </c>
      <c r="C803" s="72" t="str">
        <f ca="1">IF(D803="Inativo","Inativo",IFERROR(VLOOKUP($G803,Conf!$O:$Q,3,0),IFERROR(VLOOKUP($G803,Conf!$E:$F,2,0),VLOOKUP($S803,Conf!$K:$M,3,0))))</f>
        <v>AUXILIAR</v>
      </c>
      <c r="D803" s="72" t="str">
        <f ca="1">IFERROR(IF(TODAY()-K803&gt;365,"Inativo",IF(J803=2,"Férias",IF(J803=7,"Demitido","Afastamento"))),VLOOKUP(J803,Conf!$H:$I,2,0))</f>
        <v>Ativos</v>
      </c>
      <c r="E803" s="187">
        <v>30</v>
      </c>
      <c r="F803" s="187">
        <v>319</v>
      </c>
      <c r="G803" t="s">
        <v>1059</v>
      </c>
      <c r="H803" s="71"/>
      <c r="I803" t="s">
        <v>606</v>
      </c>
      <c r="J803" s="187">
        <v>1</v>
      </c>
      <c r="K803" t="s">
        <v>1385</v>
      </c>
      <c r="L803" s="185"/>
      <c r="M803" s="188">
        <v>45364</v>
      </c>
      <c r="N803" s="71"/>
      <c r="Q803" s="71"/>
      <c r="R803" s="71"/>
      <c r="S803" t="s">
        <v>1060</v>
      </c>
      <c r="T803" s="71"/>
    </row>
    <row r="804" spans="1:20" x14ac:dyDescent="0.3">
      <c r="A804" s="72">
        <f>IFERROR(VLOOKUP($G804,Conf!$B:$C,2,0),E804)</f>
        <v>30</v>
      </c>
      <c r="B804" s="72" t="str">
        <f ca="1">IF(D804="Inativo","Inativo",IFERROR(VLOOKUP($G804,Conf!$O:$Q,2,0),VLOOKUP($S804,Conf!$K:$M,2,0)))</f>
        <v>DEPOSITO</v>
      </c>
      <c r="C804" s="72" t="str">
        <f ca="1">IF(D804="Inativo","Inativo",IFERROR(VLOOKUP($G804,Conf!$O:$Q,3,0),IFERROR(VLOOKUP($G804,Conf!$E:$F,2,0),VLOOKUP($S804,Conf!$K:$M,3,0))))</f>
        <v>AUXILIAR</v>
      </c>
      <c r="D804" s="72" t="str">
        <f ca="1">IFERROR(IF(TODAY()-K804&gt;365,"Inativo",IF(J804=2,"Férias",IF(J804=7,"Demitido","Afastamento"))),VLOOKUP(J804,Conf!$H:$I,2,0))</f>
        <v>Ativos</v>
      </c>
      <c r="E804" s="187">
        <v>30</v>
      </c>
      <c r="F804" s="187">
        <v>419</v>
      </c>
      <c r="G804" t="s">
        <v>1525</v>
      </c>
      <c r="H804" s="71"/>
      <c r="I804" t="s">
        <v>604</v>
      </c>
      <c r="J804" s="187">
        <v>1</v>
      </c>
      <c r="K804" t="s">
        <v>1385</v>
      </c>
      <c r="L804" s="185"/>
      <c r="M804" s="188">
        <v>46266</v>
      </c>
      <c r="N804" s="71"/>
      <c r="Q804" s="71"/>
      <c r="R804" s="71"/>
      <c r="S804" t="s">
        <v>1056</v>
      </c>
      <c r="T804" s="71"/>
    </row>
    <row r="805" spans="1:20" x14ac:dyDescent="0.3">
      <c r="A805" s="72">
        <f>IFERROR(VLOOKUP($G805,Conf!$B:$C,2,0),E805)</f>
        <v>30</v>
      </c>
      <c r="B805" s="72" t="str">
        <f ca="1">IF(D805="Inativo","Inativo",IFERROR(VLOOKUP($G805,Conf!$O:$Q,2,0),VLOOKUP($S805,Conf!$K:$M,2,0)))</f>
        <v>DEPOSITO</v>
      </c>
      <c r="C805" s="72" t="str">
        <f ca="1">IF(D805="Inativo","Inativo",IFERROR(VLOOKUP($G805,Conf!$O:$Q,3,0),IFERROR(VLOOKUP($G805,Conf!$E:$F,2,0),VLOOKUP($S805,Conf!$K:$M,3,0))))</f>
        <v>AUXILIAR</v>
      </c>
      <c r="D805" s="72" t="str">
        <f ca="1">IFERROR(IF(TODAY()-K805&gt;365,"Inativo",IF(J805=2,"Férias",IF(J805=7,"Demitido","Afastamento"))),VLOOKUP(J805,Conf!$H:$I,2,0))</f>
        <v>Demitido</v>
      </c>
      <c r="E805" s="187">
        <v>30</v>
      </c>
      <c r="F805" s="187">
        <v>404</v>
      </c>
      <c r="G805" t="s">
        <v>1297</v>
      </c>
      <c r="H805" s="71"/>
      <c r="I805" t="s">
        <v>604</v>
      </c>
      <c r="J805" s="187">
        <v>7</v>
      </c>
      <c r="K805" t="s">
        <v>1656</v>
      </c>
      <c r="L805" s="185"/>
      <c r="M805" s="188">
        <v>46176</v>
      </c>
      <c r="N805" s="71"/>
      <c r="O805" s="71"/>
      <c r="P805" s="71"/>
      <c r="Q805" s="71"/>
      <c r="R805" s="71"/>
      <c r="S805" t="s">
        <v>1056</v>
      </c>
      <c r="T805" s="71"/>
    </row>
    <row r="806" spans="1:20" x14ac:dyDescent="0.3">
      <c r="A806" s="72">
        <f>IFERROR(VLOOKUP($G806,Conf!$B:$C,2,0),E806)</f>
        <v>30</v>
      </c>
      <c r="B806" s="72" t="str">
        <f ca="1">IF(D806="Inativo","Inativo",IFERROR(VLOOKUP($G806,Conf!$O:$Q,2,0),VLOOKUP($S806,Conf!$K:$M,2,0)))</f>
        <v>DEPOSITO</v>
      </c>
      <c r="C806" s="72" t="str">
        <f ca="1">IF(D806="Inativo","Inativo",IFERROR(VLOOKUP($G806,Conf!$O:$Q,3,0),IFERROR(VLOOKUP($G806,Conf!$E:$F,2,0),VLOOKUP($S806,Conf!$K:$M,3,0))))</f>
        <v>AUXILIAR</v>
      </c>
      <c r="D806" s="72" t="str">
        <f ca="1">IFERROR(IF(TODAY()-K806&gt;365,"Inativo",IF(J806=2,"Férias",IF(J806=7,"Demitido","Afastamento"))),VLOOKUP(J806,Conf!$H:$I,2,0))</f>
        <v>Ativos</v>
      </c>
      <c r="E806" s="187">
        <v>30</v>
      </c>
      <c r="F806" s="187">
        <v>374</v>
      </c>
      <c r="G806" t="s">
        <v>1062</v>
      </c>
      <c r="H806" s="71"/>
      <c r="I806" t="s">
        <v>604</v>
      </c>
      <c r="J806" s="187">
        <v>1</v>
      </c>
      <c r="K806" t="s">
        <v>1385</v>
      </c>
      <c r="L806" s="185"/>
      <c r="M806" s="188">
        <v>46009</v>
      </c>
      <c r="N806" s="71"/>
      <c r="Q806" s="71"/>
      <c r="R806" s="71"/>
      <c r="S806" t="s">
        <v>1052</v>
      </c>
      <c r="T806" s="71"/>
    </row>
    <row r="807" spans="1:20" x14ac:dyDescent="0.3">
      <c r="A807" s="72">
        <f>IFERROR(VLOOKUP($G807,Conf!$B:$C,2,0),E807)</f>
        <v>30</v>
      </c>
      <c r="B807" s="72" t="str">
        <f ca="1">IF(D807="Inativo","Inativo",IFERROR(VLOOKUP($G807,Conf!$O:$Q,2,0),VLOOKUP($S807,Conf!$K:$M,2,0)))</f>
        <v>DEPOSITO</v>
      </c>
      <c r="C807" s="72" t="str">
        <f ca="1">IF(D807="Inativo","Inativo",IFERROR(VLOOKUP($G807,Conf!$O:$Q,3,0),IFERROR(VLOOKUP($G807,Conf!$E:$F,2,0),VLOOKUP($S807,Conf!$K:$M,3,0))))</f>
        <v>AUXILIAR</v>
      </c>
      <c r="D807" s="72" t="str">
        <f ca="1">IFERROR(IF(TODAY()-K807&gt;365,"Inativo",IF(J807=2,"Férias",IF(J807=7,"Demitido","Afastamento"))),VLOOKUP(J807,Conf!$H:$I,2,0))</f>
        <v>Ativos</v>
      </c>
      <c r="E807" s="187">
        <v>30</v>
      </c>
      <c r="F807" s="187">
        <v>401</v>
      </c>
      <c r="G807" t="s">
        <v>1064</v>
      </c>
      <c r="H807" s="71"/>
      <c r="I807" t="s">
        <v>604</v>
      </c>
      <c r="J807" s="187">
        <v>1</v>
      </c>
      <c r="K807" t="s">
        <v>1385</v>
      </c>
      <c r="L807" s="185"/>
      <c r="M807" s="188">
        <v>46174</v>
      </c>
      <c r="N807" s="71"/>
      <c r="O807" s="71"/>
      <c r="P807" s="71"/>
      <c r="Q807" s="71"/>
      <c r="R807" s="71"/>
      <c r="S807" t="s">
        <v>1056</v>
      </c>
      <c r="T807" s="71"/>
    </row>
    <row r="808" spans="1:20" x14ac:dyDescent="0.3">
      <c r="A808" s="72">
        <f>IFERROR(VLOOKUP($G808,Conf!$B:$C,2,0),E808)</f>
        <v>30</v>
      </c>
      <c r="B808" s="72" t="str">
        <f ca="1">IF(D808="Inativo","Inativo",IFERROR(VLOOKUP($G808,Conf!$O:$Q,2,0),VLOOKUP($S808,Conf!$K:$M,2,0)))</f>
        <v>DEPOSITO</v>
      </c>
      <c r="C808" s="72" t="str">
        <f ca="1">IF(D808="Inativo","Inativo",IFERROR(VLOOKUP($G808,Conf!$O:$Q,3,0),IFERROR(VLOOKUP($G808,Conf!$E:$F,2,0),VLOOKUP($S808,Conf!$K:$M,3,0))))</f>
        <v>AUXILIAR</v>
      </c>
      <c r="D808" s="72" t="str">
        <f ca="1">IFERROR(IF(TODAY()-K808&gt;365,"Inativo",IF(J808=2,"Férias",IF(J808=7,"Demitido","Afastamento"))),VLOOKUP(J808,Conf!$H:$I,2,0))</f>
        <v>Ativos</v>
      </c>
      <c r="E808" s="187">
        <v>30</v>
      </c>
      <c r="F808" s="187">
        <v>405</v>
      </c>
      <c r="G808" t="s">
        <v>1329</v>
      </c>
      <c r="I808" t="s">
        <v>604</v>
      </c>
      <c r="J808" s="187">
        <v>1</v>
      </c>
      <c r="K808" t="s">
        <v>1385</v>
      </c>
      <c r="M808" s="188">
        <v>46189</v>
      </c>
      <c r="S808" t="s">
        <v>1056</v>
      </c>
      <c r="T808" s="71"/>
    </row>
    <row r="809" spans="1:20" x14ac:dyDescent="0.3">
      <c r="A809" s="72">
        <f>IFERROR(VLOOKUP($G809,Conf!$B:$C,2,0),E809)</f>
        <v>30</v>
      </c>
      <c r="B809" s="72" t="str">
        <f ca="1">IF(D809="Inativo","Inativo",IFERROR(VLOOKUP($G809,Conf!$O:$Q,2,0),VLOOKUP($S809,Conf!$K:$M,2,0)))</f>
        <v>DEPOSITO</v>
      </c>
      <c r="C809" s="72" t="str">
        <f ca="1">IF(D809="Inativo","Inativo",IFERROR(VLOOKUP($G809,Conf!$O:$Q,3,0),IFERROR(VLOOKUP($G809,Conf!$E:$F,2,0),VLOOKUP($S809,Conf!$K:$M,3,0))))</f>
        <v>AUXILIAR</v>
      </c>
      <c r="D809" s="72" t="str">
        <f ca="1">IFERROR(IF(TODAY()-K809&gt;365,"Inativo",IF(J809=2,"Férias",IF(J809=7,"Demitido","Afastamento"))),VLOOKUP(J809,Conf!$H:$I,2,0))</f>
        <v>Ativos</v>
      </c>
      <c r="E809" s="187">
        <v>30</v>
      </c>
      <c r="F809" s="187">
        <v>330</v>
      </c>
      <c r="G809" t="s">
        <v>1069</v>
      </c>
      <c r="H809" s="71"/>
      <c r="I809" t="s">
        <v>435</v>
      </c>
      <c r="J809" s="187">
        <v>1</v>
      </c>
      <c r="K809" t="s">
        <v>1385</v>
      </c>
      <c r="L809" s="185"/>
      <c r="M809" s="188">
        <v>45509</v>
      </c>
      <c r="N809" s="71"/>
      <c r="Q809" s="71"/>
      <c r="R809" s="71"/>
      <c r="S809" t="s">
        <v>1052</v>
      </c>
      <c r="T809" s="71"/>
    </row>
    <row r="810" spans="1:20" x14ac:dyDescent="0.3">
      <c r="A810" s="72">
        <f>IFERROR(VLOOKUP($G810,Conf!$B:$C,2,0),E810)</f>
        <v>30</v>
      </c>
      <c r="B810" s="72" t="str">
        <f ca="1">IF(D810="Inativo","Inativo",IFERROR(VLOOKUP($G810,Conf!$O:$Q,2,0),VLOOKUP($S810,Conf!$K:$M,2,0)))</f>
        <v>DEPOSITO</v>
      </c>
      <c r="C810" s="72" t="str">
        <f ca="1">IF(D810="Inativo","Inativo",IFERROR(VLOOKUP($G810,Conf!$O:$Q,3,0),IFERROR(VLOOKUP($G810,Conf!$E:$F,2,0),VLOOKUP($S810,Conf!$K:$M,3,0))))</f>
        <v>AUXILIAR</v>
      </c>
      <c r="D810" s="72" t="str">
        <f ca="1">IFERROR(IF(TODAY()-K810&gt;365,"Inativo",IF(J810=2,"Férias",IF(J810=7,"Demitido","Afastamento"))),VLOOKUP(J810,Conf!$H:$I,2,0))</f>
        <v>Ativos</v>
      </c>
      <c r="E810" s="187">
        <v>30</v>
      </c>
      <c r="F810" s="187">
        <v>417</v>
      </c>
      <c r="G810" t="s">
        <v>1523</v>
      </c>
      <c r="H810" s="71"/>
      <c r="I810" t="s">
        <v>606</v>
      </c>
      <c r="J810" s="187">
        <v>1</v>
      </c>
      <c r="K810" t="s">
        <v>1385</v>
      </c>
      <c r="L810" s="185"/>
      <c r="M810" s="188">
        <v>46266</v>
      </c>
      <c r="N810" s="71"/>
      <c r="Q810" s="71"/>
      <c r="R810" s="71"/>
      <c r="S810" t="s">
        <v>1052</v>
      </c>
      <c r="T810" s="71"/>
    </row>
    <row r="811" spans="1:20" x14ac:dyDescent="0.3">
      <c r="A811" s="72">
        <f>IFERROR(VLOOKUP($G811,Conf!$B:$C,2,0),E811)</f>
        <v>30</v>
      </c>
      <c r="B811" s="72" t="str">
        <f ca="1">IF(D811="Inativo","Inativo",IFERROR(VLOOKUP($G811,Conf!$O:$Q,2,0),VLOOKUP($S811,Conf!$K:$M,2,0)))</f>
        <v>DEPOSITO</v>
      </c>
      <c r="C811" s="72" t="str">
        <f ca="1">IF(D811="Inativo","Inativo",IFERROR(VLOOKUP($G811,Conf!$O:$Q,3,0),IFERROR(VLOOKUP($G811,Conf!$E:$F,2,0),VLOOKUP($S811,Conf!$K:$M,3,0))))</f>
        <v>AUXILIAR</v>
      </c>
      <c r="D811" s="72" t="str">
        <f ca="1">IFERROR(IF(TODAY()-K811&gt;365,"Inativo",IF(J811=2,"Férias",IF(J811=7,"Demitido","Afastamento"))),VLOOKUP(J811,Conf!$H:$I,2,0))</f>
        <v>Ativos</v>
      </c>
      <c r="E811" s="187">
        <v>30</v>
      </c>
      <c r="F811" s="187">
        <v>420</v>
      </c>
      <c r="G811" t="s">
        <v>1536</v>
      </c>
      <c r="H811" s="71"/>
      <c r="I811" t="s">
        <v>606</v>
      </c>
      <c r="J811" s="187">
        <v>1</v>
      </c>
      <c r="K811" t="s">
        <v>1385</v>
      </c>
      <c r="L811" s="185"/>
      <c r="M811" s="188">
        <v>46267</v>
      </c>
      <c r="N811" s="71"/>
      <c r="Q811" s="71"/>
      <c r="R811" s="71"/>
      <c r="S811" t="s">
        <v>1052</v>
      </c>
      <c r="T811" s="71"/>
    </row>
    <row r="812" spans="1:20" x14ac:dyDescent="0.3">
      <c r="A812" s="72">
        <f>IFERROR(VLOOKUP($G812,Conf!$B:$C,2,0),E812)</f>
        <v>30</v>
      </c>
      <c r="B812" s="72" t="str">
        <f ca="1">IF(D812="Inativo","Inativo",IFERROR(VLOOKUP($G812,Conf!$O:$Q,2,0),VLOOKUP($S812,Conf!$K:$M,2,0)))</f>
        <v>DEPOSITO</v>
      </c>
      <c r="C812" s="72" t="str">
        <f ca="1">IF(D812="Inativo","Inativo",IFERROR(VLOOKUP($G812,Conf!$O:$Q,3,0),IFERROR(VLOOKUP($G812,Conf!$E:$F,2,0),VLOOKUP($S812,Conf!$K:$M,3,0))))</f>
        <v>AUXILIAR</v>
      </c>
      <c r="D812" s="72" t="str">
        <f ca="1">IFERROR(IF(TODAY()-K812&gt;365,"Inativo",IF(J812=2,"Férias",IF(J812=7,"Demitido","Afastamento"))),VLOOKUP(J812,Conf!$H:$I,2,0))</f>
        <v>Ativos</v>
      </c>
      <c r="E812" s="187">
        <v>30</v>
      </c>
      <c r="F812" s="187">
        <v>386</v>
      </c>
      <c r="G812" t="s">
        <v>1071</v>
      </c>
      <c r="H812" s="71"/>
      <c r="I812" t="s">
        <v>604</v>
      </c>
      <c r="J812" s="187">
        <v>1</v>
      </c>
      <c r="K812" t="s">
        <v>1385</v>
      </c>
      <c r="L812" s="185"/>
      <c r="M812" s="188">
        <v>46069</v>
      </c>
      <c r="N812" s="71"/>
      <c r="Q812" s="71"/>
      <c r="R812" s="71"/>
      <c r="S812" t="s">
        <v>1052</v>
      </c>
      <c r="T812" s="71"/>
    </row>
    <row r="813" spans="1:20" x14ac:dyDescent="0.3">
      <c r="A813" s="72">
        <f>IFERROR(VLOOKUP($G813,Conf!$B:$C,2,0),E813)</f>
        <v>30</v>
      </c>
      <c r="B813" s="72" t="str">
        <f ca="1">IF(D813="Inativo","Inativo",IFERROR(VLOOKUP($G813,Conf!$O:$Q,2,0),VLOOKUP($S813,Conf!$K:$M,2,0)))</f>
        <v>DEPOSITO</v>
      </c>
      <c r="C813" s="72" t="str">
        <f ca="1">IF(D813="Inativo","Inativo",IFERROR(VLOOKUP($G813,Conf!$O:$Q,3,0),IFERROR(VLOOKUP($G813,Conf!$E:$F,2,0),VLOOKUP($S813,Conf!$K:$M,3,0))))</f>
        <v>AUXILIAR</v>
      </c>
      <c r="D813" s="72" t="str">
        <f ca="1">IFERROR(IF(TODAY()-K813&gt;365,"Inativo",IF(J813=2,"Férias",IF(J813=7,"Demitido","Afastamento"))),VLOOKUP(J813,Conf!$H:$I,2,0))</f>
        <v>Ativos</v>
      </c>
      <c r="E813" s="187">
        <v>30</v>
      </c>
      <c r="F813" s="187">
        <v>378</v>
      </c>
      <c r="G813" t="s">
        <v>1072</v>
      </c>
      <c r="H813" s="71"/>
      <c r="I813" t="s">
        <v>606</v>
      </c>
      <c r="J813" s="187">
        <v>1</v>
      </c>
      <c r="K813" t="s">
        <v>1385</v>
      </c>
      <c r="L813" s="185"/>
      <c r="M813" s="188">
        <v>46042</v>
      </c>
      <c r="N813" s="71"/>
      <c r="Q813" s="71"/>
      <c r="R813" s="71"/>
      <c r="S813" t="s">
        <v>1056</v>
      </c>
      <c r="T813" s="71"/>
    </row>
    <row r="814" spans="1:20" x14ac:dyDescent="0.3">
      <c r="A814" s="72">
        <f>IFERROR(VLOOKUP($G814,Conf!$B:$C,2,0),E814)</f>
        <v>30</v>
      </c>
      <c r="B814" s="72" t="str">
        <f ca="1">IF(D814="Inativo","Inativo",IFERROR(VLOOKUP($G814,Conf!$O:$Q,2,0),VLOOKUP($S814,Conf!$K:$M,2,0)))</f>
        <v>DEPOSITO</v>
      </c>
      <c r="C814" s="72" t="str">
        <f ca="1">IF(D814="Inativo","Inativo",IFERROR(VLOOKUP($G814,Conf!$O:$Q,3,0),IFERROR(VLOOKUP($G814,Conf!$E:$F,2,0),VLOOKUP($S814,Conf!$K:$M,3,0))))</f>
        <v>AUXILIAR</v>
      </c>
      <c r="D814" s="72" t="str">
        <f ca="1">IFERROR(IF(TODAY()-K814&gt;365,"Inativo",IF(J814=2,"Férias",IF(J814=7,"Demitido","Afastamento"))),VLOOKUP(J814,Conf!$H:$I,2,0))</f>
        <v>Ativos</v>
      </c>
      <c r="E814" s="187">
        <v>30</v>
      </c>
      <c r="F814" s="187">
        <v>415</v>
      </c>
      <c r="G814" t="s">
        <v>1501</v>
      </c>
      <c r="H814" s="71"/>
      <c r="I814" t="s">
        <v>606</v>
      </c>
      <c r="J814" s="187">
        <v>1</v>
      </c>
      <c r="K814" t="s">
        <v>1385</v>
      </c>
      <c r="L814" s="185"/>
      <c r="M814" s="188">
        <v>46258</v>
      </c>
      <c r="N814" s="71"/>
      <c r="Q814" s="71"/>
      <c r="R814" s="71"/>
      <c r="S814" t="s">
        <v>1052</v>
      </c>
      <c r="T814" s="71"/>
    </row>
    <row r="815" spans="1:20" x14ac:dyDescent="0.3">
      <c r="A815" s="72">
        <f>IFERROR(VLOOKUP($G815,Conf!$B:$C,2,0),E815)</f>
        <v>30</v>
      </c>
      <c r="B815" s="72" t="str">
        <f ca="1">IF(D815="Inativo","Inativo",IFERROR(VLOOKUP($G815,Conf!$O:$Q,2,0),VLOOKUP($S815,Conf!$K:$M,2,0)))</f>
        <v>DEPOSITO</v>
      </c>
      <c r="C815" s="72" t="str">
        <f ca="1">IF(D815="Inativo","Inativo",IFERROR(VLOOKUP($G815,Conf!$O:$Q,3,0),IFERROR(VLOOKUP($G815,Conf!$E:$F,2,0),VLOOKUP($S815,Conf!$K:$M,3,0))))</f>
        <v>AUXILIAR</v>
      </c>
      <c r="D815" s="72" t="str">
        <f ca="1">IFERROR(IF(TODAY()-K815&gt;365,"Inativo",IF(J815=2,"Férias",IF(J815=7,"Demitido","Afastamento"))),VLOOKUP(J815,Conf!$H:$I,2,0))</f>
        <v>Ativos</v>
      </c>
      <c r="E815" s="187">
        <v>30</v>
      </c>
      <c r="F815" s="187">
        <v>305</v>
      </c>
      <c r="G815" t="s">
        <v>1073</v>
      </c>
      <c r="H815" s="71"/>
      <c r="I815" t="s">
        <v>606</v>
      </c>
      <c r="J815" s="187">
        <v>1</v>
      </c>
      <c r="K815" t="s">
        <v>1385</v>
      </c>
      <c r="L815" s="185"/>
      <c r="M815" s="188">
        <v>45267</v>
      </c>
      <c r="N815" s="71"/>
      <c r="O815" s="71"/>
      <c r="P815" s="71"/>
      <c r="Q815" s="71"/>
      <c r="R815" s="71"/>
      <c r="S815" t="s">
        <v>1060</v>
      </c>
      <c r="T815" s="71"/>
    </row>
    <row r="816" spans="1:20" x14ac:dyDescent="0.3">
      <c r="A816" s="72">
        <f>IFERROR(VLOOKUP($G816,Conf!$B:$C,2,0),E816)</f>
        <v>30</v>
      </c>
      <c r="B816" s="72" t="str">
        <f ca="1">IF(D816="Inativo","Inativo",IFERROR(VLOOKUP($G816,Conf!$O:$Q,2,0),VLOOKUP($S816,Conf!$K:$M,2,0)))</f>
        <v>DEPOSITO</v>
      </c>
      <c r="C816" s="72" t="str">
        <f ca="1">IF(D816="Inativo","Inativo",IFERROR(VLOOKUP($G816,Conf!$O:$Q,3,0),IFERROR(VLOOKUP($G816,Conf!$E:$F,2,0),VLOOKUP($S816,Conf!$K:$M,3,0))))</f>
        <v>AUXILIAR</v>
      </c>
      <c r="D816" s="72" t="str">
        <f ca="1">IFERROR(IF(TODAY()-K816&gt;365,"Inativo",IF(J816=2,"Férias",IF(J816=7,"Demitido","Afastamento"))),VLOOKUP(J816,Conf!$H:$I,2,0))</f>
        <v>Ativos</v>
      </c>
      <c r="E816" s="187">
        <v>30</v>
      </c>
      <c r="F816" s="187">
        <v>410</v>
      </c>
      <c r="G816" t="s">
        <v>1406</v>
      </c>
      <c r="H816" s="71"/>
      <c r="I816" t="s">
        <v>435</v>
      </c>
      <c r="J816" s="187">
        <v>1</v>
      </c>
      <c r="K816" t="s">
        <v>1385</v>
      </c>
      <c r="L816" s="185"/>
      <c r="M816" s="188">
        <v>46212</v>
      </c>
      <c r="N816" s="71"/>
      <c r="Q816" s="71"/>
      <c r="R816" s="71"/>
      <c r="S816" t="s">
        <v>1052</v>
      </c>
      <c r="T816" s="71"/>
    </row>
    <row r="817" spans="1:20" x14ac:dyDescent="0.3">
      <c r="A817" s="72">
        <f>IFERROR(VLOOKUP($G817,Conf!$B:$C,2,0),E817)</f>
        <v>30</v>
      </c>
      <c r="B817" s="72" t="str">
        <f ca="1">IF(D817="Inativo","Inativo",IFERROR(VLOOKUP($G817,Conf!$O:$Q,2,0),VLOOKUP($S817,Conf!$K:$M,2,0)))</f>
        <v>DEPOSITO</v>
      </c>
      <c r="C817" s="72" t="str">
        <f ca="1">IF(D817="Inativo","Inativo",IFERROR(VLOOKUP($G817,Conf!$O:$Q,3,0),IFERROR(VLOOKUP($G817,Conf!$E:$F,2,0),VLOOKUP($S817,Conf!$K:$M,3,0))))</f>
        <v>AUXILIAR</v>
      </c>
      <c r="D817" s="72" t="str">
        <f ca="1">IFERROR(IF(TODAY()-K817&gt;365,"Inativo",IF(J817=2,"Férias",IF(J817=7,"Demitido","Afastamento"))),VLOOKUP(J817,Conf!$H:$I,2,0))</f>
        <v>Ativos</v>
      </c>
      <c r="E817" s="187">
        <v>30</v>
      </c>
      <c r="F817" s="187">
        <v>406</v>
      </c>
      <c r="G817" t="s">
        <v>1330</v>
      </c>
      <c r="H817" s="71"/>
      <c r="I817" t="s">
        <v>604</v>
      </c>
      <c r="J817" s="187">
        <v>1</v>
      </c>
      <c r="K817" t="s">
        <v>1385</v>
      </c>
      <c r="L817" s="185"/>
      <c r="M817" s="188">
        <v>46189</v>
      </c>
      <c r="N817" s="71"/>
      <c r="Q817" s="71"/>
      <c r="R817" s="71"/>
      <c r="S817" t="s">
        <v>1052</v>
      </c>
      <c r="T817" s="71"/>
    </row>
    <row r="818" spans="1:20" x14ac:dyDescent="0.3">
      <c r="A818" s="72">
        <f>IFERROR(VLOOKUP($G818,Conf!$B:$C,2,0),E818)</f>
        <v>30</v>
      </c>
      <c r="B818" s="72" t="str">
        <f ca="1">IF(D818="Inativo","Inativo",IFERROR(VLOOKUP($G818,Conf!$O:$Q,2,0),VLOOKUP($S818,Conf!$K:$M,2,0)))</f>
        <v>DEPOSITO</v>
      </c>
      <c r="C818" s="72" t="str">
        <f ca="1">IF(D818="Inativo","Inativo",IFERROR(VLOOKUP($G818,Conf!$O:$Q,3,0),IFERROR(VLOOKUP($G818,Conf!$E:$F,2,0),VLOOKUP($S818,Conf!$K:$M,3,0))))</f>
        <v>AUXILIAR</v>
      </c>
      <c r="D818" s="72" t="str">
        <f ca="1">IFERROR(IF(TODAY()-K818&gt;365,"Inativo",IF(J818=2,"Férias",IF(J818=7,"Demitido","Afastamento"))),VLOOKUP(J818,Conf!$H:$I,2,0))</f>
        <v>Ativos</v>
      </c>
      <c r="E818" s="187">
        <v>30</v>
      </c>
      <c r="F818" s="187">
        <v>377</v>
      </c>
      <c r="G818" t="s">
        <v>1075</v>
      </c>
      <c r="H818" s="71"/>
      <c r="I818" t="s">
        <v>604</v>
      </c>
      <c r="J818" s="187">
        <v>1</v>
      </c>
      <c r="K818" t="s">
        <v>1385</v>
      </c>
      <c r="L818" s="185"/>
      <c r="M818" s="188">
        <v>46036</v>
      </c>
      <c r="N818" s="71"/>
      <c r="Q818" s="71"/>
      <c r="R818" s="71"/>
      <c r="S818" t="s">
        <v>1052</v>
      </c>
      <c r="T818" s="71"/>
    </row>
    <row r="819" spans="1:20" x14ac:dyDescent="0.3">
      <c r="A819" s="72">
        <f>IFERROR(VLOOKUP($G819,Conf!$B:$C,2,0),E819)</f>
        <v>30</v>
      </c>
      <c r="B819" s="72" t="str">
        <f ca="1">IF(D819="Inativo","Inativo",IFERROR(VLOOKUP($G819,Conf!$O:$Q,2,0),VLOOKUP($S819,Conf!$K:$M,2,0)))</f>
        <v>DEPOSITO</v>
      </c>
      <c r="C819" s="72" t="str">
        <f ca="1">IF(D819="Inativo","Inativo",IFERROR(VLOOKUP($G819,Conf!$O:$Q,3,0),IFERROR(VLOOKUP($G819,Conf!$E:$F,2,0),VLOOKUP($S819,Conf!$K:$M,3,0))))</f>
        <v>AUXILIAR</v>
      </c>
      <c r="D819" s="72" t="str">
        <f ca="1">IFERROR(IF(TODAY()-K819&gt;365,"Inativo",IF(J819=2,"Férias",IF(J819=7,"Demitido","Afastamento"))),VLOOKUP(J819,Conf!$H:$I,2,0))</f>
        <v>Ativos</v>
      </c>
      <c r="E819" s="187">
        <v>30</v>
      </c>
      <c r="F819" s="187">
        <v>387</v>
      </c>
      <c r="G819" t="s">
        <v>1080</v>
      </c>
      <c r="H819" s="71"/>
      <c r="I819" t="s">
        <v>435</v>
      </c>
      <c r="J819" s="187">
        <v>1</v>
      </c>
      <c r="K819" t="s">
        <v>1385</v>
      </c>
      <c r="L819" s="185"/>
      <c r="M819" s="188">
        <v>46071</v>
      </c>
      <c r="N819" s="71"/>
      <c r="Q819" s="71"/>
      <c r="R819" s="71"/>
      <c r="S819" t="s">
        <v>1052</v>
      </c>
      <c r="T819" s="71"/>
    </row>
    <row r="820" spans="1:20" x14ac:dyDescent="0.3">
      <c r="A820" s="72">
        <f>IFERROR(VLOOKUP($G820,Conf!$B:$C,2,0),E820)</f>
        <v>30</v>
      </c>
      <c r="B820" s="72" t="str">
        <f ca="1">IF(D820="Inativo","Inativo",IFERROR(VLOOKUP($G820,Conf!$O:$Q,2,0),VLOOKUP($S820,Conf!$K:$M,2,0)))</f>
        <v>DEPOSITO</v>
      </c>
      <c r="C820" s="72" t="str">
        <f ca="1">IF(D820="Inativo","Inativo",IFERROR(VLOOKUP($G820,Conf!$O:$Q,3,0),IFERROR(VLOOKUP($G820,Conf!$E:$F,2,0),VLOOKUP($S820,Conf!$K:$M,3,0))))</f>
        <v>AUXILIAR</v>
      </c>
      <c r="D820" s="72" t="str">
        <f ca="1">IFERROR(IF(TODAY()-K820&gt;365,"Inativo",IF(J820=2,"Férias",IF(J820=7,"Demitido","Afastamento"))),VLOOKUP(J820,Conf!$H:$I,2,0))</f>
        <v>Ativos</v>
      </c>
      <c r="E820" s="187">
        <v>30</v>
      </c>
      <c r="F820" s="187">
        <v>385</v>
      </c>
      <c r="G820" t="s">
        <v>1083</v>
      </c>
      <c r="H820" s="71"/>
      <c r="I820" t="s">
        <v>435</v>
      </c>
      <c r="J820" s="187">
        <v>1</v>
      </c>
      <c r="K820" t="s">
        <v>1385</v>
      </c>
      <c r="L820" s="185"/>
      <c r="M820" s="188">
        <v>46066</v>
      </c>
      <c r="N820" s="71"/>
      <c r="Q820" s="71"/>
      <c r="R820" s="71"/>
      <c r="S820" t="s">
        <v>1052</v>
      </c>
      <c r="T820" s="71"/>
    </row>
    <row r="821" spans="1:20" x14ac:dyDescent="0.3">
      <c r="A821" s="72">
        <f>IFERROR(VLOOKUP($G821,Conf!$B:$C,2,0),E821)</f>
        <v>30</v>
      </c>
      <c r="B821" s="72" t="str">
        <f ca="1">IF(D821="Inativo","Inativo",IFERROR(VLOOKUP($G821,Conf!$O:$Q,2,0),VLOOKUP($S821,Conf!$K:$M,2,0)))</f>
        <v>DEPOSITO</v>
      </c>
      <c r="C821" s="72" t="str">
        <f ca="1">IF(D821="Inativo","Inativo",IFERROR(VLOOKUP($G821,Conf!$O:$Q,3,0),IFERROR(VLOOKUP($G821,Conf!$E:$F,2,0),VLOOKUP($S821,Conf!$K:$M,3,0))))</f>
        <v>AUXILIAR</v>
      </c>
      <c r="D821" s="72" t="str">
        <f ca="1">IFERROR(IF(TODAY()-K821&gt;365,"Inativo",IF(J821=2,"Férias",IF(J821=7,"Demitido","Afastamento"))),VLOOKUP(J821,Conf!$H:$I,2,0))</f>
        <v>Ativos</v>
      </c>
      <c r="E821" s="187">
        <v>30</v>
      </c>
      <c r="F821" s="187">
        <v>310</v>
      </c>
      <c r="G821" t="s">
        <v>1084</v>
      </c>
      <c r="H821" s="71"/>
      <c r="I821" t="s">
        <v>1008</v>
      </c>
      <c r="J821" s="187">
        <v>1</v>
      </c>
      <c r="K821" t="s">
        <v>1385</v>
      </c>
      <c r="L821" s="185"/>
      <c r="M821" s="188">
        <v>45308</v>
      </c>
      <c r="N821" s="71"/>
      <c r="Q821" s="71"/>
      <c r="R821" s="71"/>
      <c r="S821" t="s">
        <v>1060</v>
      </c>
      <c r="T821" s="71"/>
    </row>
    <row r="822" spans="1:20" x14ac:dyDescent="0.3">
      <c r="A822" s="72">
        <f>IFERROR(VLOOKUP($G822,Conf!$B:$C,2,0),E822)</f>
        <v>30</v>
      </c>
      <c r="B822" s="72" t="str">
        <f ca="1">IF(D822="Inativo","Inativo",IFERROR(VLOOKUP($G822,Conf!$O:$Q,2,0),VLOOKUP($S822,Conf!$K:$M,2,0)))</f>
        <v>DEPOSITO</v>
      </c>
      <c r="C822" s="72" t="str">
        <f ca="1">IF(D822="Inativo","Inativo",IFERROR(VLOOKUP($G822,Conf!$O:$Q,3,0),IFERROR(VLOOKUP($G822,Conf!$E:$F,2,0),VLOOKUP($S822,Conf!$K:$M,3,0))))</f>
        <v>AUXILIAR</v>
      </c>
      <c r="D822" s="72" t="str">
        <f ca="1">IFERROR(IF(TODAY()-K822&gt;365,"Inativo",IF(J822=2,"Férias",IF(J822=7,"Demitido","Afastamento"))),VLOOKUP(J822,Conf!$H:$I,2,0))</f>
        <v>Ativos</v>
      </c>
      <c r="E822" s="187">
        <v>30</v>
      </c>
      <c r="F822" s="187">
        <v>379</v>
      </c>
      <c r="G822" t="s">
        <v>1086</v>
      </c>
      <c r="H822" s="71"/>
      <c r="I822" t="s">
        <v>435</v>
      </c>
      <c r="J822" s="187">
        <v>1</v>
      </c>
      <c r="K822" t="s">
        <v>1385</v>
      </c>
      <c r="L822" s="185"/>
      <c r="M822" s="188">
        <v>46045</v>
      </c>
      <c r="N822" s="71"/>
      <c r="Q822" s="71"/>
      <c r="R822" s="71"/>
      <c r="S822" t="s">
        <v>1052</v>
      </c>
      <c r="T822" s="71"/>
    </row>
    <row r="823" spans="1:20" x14ac:dyDescent="0.3">
      <c r="A823" s="72">
        <f>IFERROR(VLOOKUP($G823,Conf!$B:$C,2,0),E823)</f>
        <v>30</v>
      </c>
      <c r="B823" s="72" t="str">
        <f ca="1">IF(D823="Inativo","Inativo",IFERROR(VLOOKUP($G823,Conf!$O:$Q,2,0),VLOOKUP($S823,Conf!$K:$M,2,0)))</f>
        <v>DEPOSITO</v>
      </c>
      <c r="C823" s="72" t="str">
        <f ca="1">IF(D823="Inativo","Inativo",IFERROR(VLOOKUP($G823,Conf!$O:$Q,3,0),IFERROR(VLOOKUP($G823,Conf!$E:$F,2,0),VLOOKUP($S823,Conf!$K:$M,3,0))))</f>
        <v>AUXILIAR</v>
      </c>
      <c r="D823" s="72" t="str">
        <f ca="1">IFERROR(IF(TODAY()-K823&gt;365,"Inativo",IF(J823=2,"Férias",IF(J823=7,"Demitido","Afastamento"))),VLOOKUP(J823,Conf!$H:$I,2,0))</f>
        <v>Demitido</v>
      </c>
      <c r="E823" s="187">
        <v>30</v>
      </c>
      <c r="F823" s="187">
        <v>407</v>
      </c>
      <c r="G823" t="s">
        <v>1331</v>
      </c>
      <c r="H823" s="71"/>
      <c r="I823" t="s">
        <v>604</v>
      </c>
      <c r="J823" s="187">
        <v>7</v>
      </c>
      <c r="K823" t="s">
        <v>1604</v>
      </c>
      <c r="L823" s="185"/>
      <c r="M823" s="188">
        <v>46195</v>
      </c>
      <c r="N823" s="71"/>
      <c r="O823" s="71"/>
      <c r="P823" s="71"/>
      <c r="Q823" s="71"/>
      <c r="R823" s="71"/>
      <c r="S823" t="s">
        <v>1052</v>
      </c>
    </row>
    <row r="824" spans="1:20" x14ac:dyDescent="0.3">
      <c r="A824" s="72">
        <f>IFERROR(VLOOKUP($G824,Conf!$B:$C,2,0),E824)</f>
        <v>30</v>
      </c>
      <c r="B824" s="72" t="str">
        <f ca="1">IF(D824="Inativo","Inativo",IFERROR(VLOOKUP($G824,Conf!$O:$Q,2,0),VLOOKUP($S824,Conf!$K:$M,2,0)))</f>
        <v>DEPOSITO</v>
      </c>
      <c r="C824" s="72" t="str">
        <f ca="1">IF(D824="Inativo","Inativo",IFERROR(VLOOKUP($G824,Conf!$O:$Q,3,0),IFERROR(VLOOKUP($G824,Conf!$E:$F,2,0),VLOOKUP($S824,Conf!$K:$M,3,0))))</f>
        <v>AUXILIAR</v>
      </c>
      <c r="D824" s="72" t="str">
        <f ca="1">IFERROR(IF(TODAY()-K824&gt;365,"Inativo",IF(J824=2,"Férias",IF(J824=7,"Demitido","Afastamento"))),VLOOKUP(J824,Conf!$H:$I,2,0))</f>
        <v>Ativos</v>
      </c>
      <c r="E824" s="187">
        <v>30</v>
      </c>
      <c r="F824" s="187">
        <v>394</v>
      </c>
      <c r="G824" t="s">
        <v>1087</v>
      </c>
      <c r="H824" s="71"/>
      <c r="I824" t="s">
        <v>604</v>
      </c>
      <c r="J824" s="187">
        <v>1</v>
      </c>
      <c r="K824" t="s">
        <v>1385</v>
      </c>
      <c r="L824" s="185"/>
      <c r="M824" s="188">
        <v>46100</v>
      </c>
      <c r="N824" s="71"/>
      <c r="Q824" s="71"/>
      <c r="R824" s="71"/>
      <c r="S824" t="s">
        <v>1056</v>
      </c>
      <c r="T824" s="71"/>
    </row>
    <row r="825" spans="1:20" x14ac:dyDescent="0.3">
      <c r="A825" s="72">
        <f>IFERROR(VLOOKUP($G825,Conf!$B:$C,2,0),E825)</f>
        <v>30</v>
      </c>
      <c r="B825" s="72" t="str">
        <f ca="1">IF(D825="Inativo","Inativo",IFERROR(VLOOKUP($G825,Conf!$O:$Q,2,0),VLOOKUP($S825,Conf!$K:$M,2,0)))</f>
        <v>DEPOSITO</v>
      </c>
      <c r="C825" s="72" t="str">
        <f ca="1">IF(D825="Inativo","Inativo",IFERROR(VLOOKUP($G825,Conf!$O:$Q,3,0),IFERROR(VLOOKUP($G825,Conf!$E:$F,2,0),VLOOKUP($S825,Conf!$K:$M,3,0))))</f>
        <v>AUXILIAR</v>
      </c>
      <c r="D825" s="72" t="str">
        <f ca="1">IFERROR(IF(TODAY()-K825&gt;365,"Inativo",IF(J825=2,"Férias",IF(J825=7,"Demitido","Afastamento"))),VLOOKUP(J825,Conf!$H:$I,2,0))</f>
        <v>Ativos</v>
      </c>
      <c r="E825" s="187">
        <v>30</v>
      </c>
      <c r="F825" s="187">
        <v>412</v>
      </c>
      <c r="G825" t="s">
        <v>1493</v>
      </c>
      <c r="H825" s="71"/>
      <c r="I825" t="s">
        <v>606</v>
      </c>
      <c r="J825" s="187">
        <v>1</v>
      </c>
      <c r="K825" t="s">
        <v>1385</v>
      </c>
      <c r="L825" s="185"/>
      <c r="M825" s="188">
        <v>46252</v>
      </c>
      <c r="N825" s="71"/>
      <c r="O825" s="71"/>
      <c r="P825" s="71"/>
      <c r="Q825" s="71"/>
      <c r="R825" s="71"/>
      <c r="S825" t="s">
        <v>1052</v>
      </c>
      <c r="T825" s="71"/>
    </row>
    <row r="826" spans="1:20" x14ac:dyDescent="0.3">
      <c r="A826" s="72">
        <f>IFERROR(VLOOKUP($G826,Conf!$B:$C,2,0),E826)</f>
        <v>30</v>
      </c>
      <c r="B826" s="72" t="str">
        <f ca="1">IF(D826="Inativo","Inativo",IFERROR(VLOOKUP($G826,Conf!$O:$Q,2,0),VLOOKUP($S826,Conf!$K:$M,2,0)))</f>
        <v>DEPOSITO</v>
      </c>
      <c r="C826" s="72" t="str">
        <f ca="1">IF(D826="Inativo","Inativo",IFERROR(VLOOKUP($G826,Conf!$O:$Q,3,0),IFERROR(VLOOKUP($G826,Conf!$E:$F,2,0),VLOOKUP($S826,Conf!$K:$M,3,0))))</f>
        <v>AUXILIAR</v>
      </c>
      <c r="D826" s="72" t="str">
        <f ca="1">IFERROR(IF(TODAY()-K826&gt;365,"Inativo",IF(J826=2,"Férias",IF(J826=7,"Demitido","Afastamento"))),VLOOKUP(J826,Conf!$H:$I,2,0))</f>
        <v>Demitido</v>
      </c>
      <c r="E826" s="187">
        <v>30</v>
      </c>
      <c r="F826" s="187">
        <v>422</v>
      </c>
      <c r="G826" t="s">
        <v>1556</v>
      </c>
      <c r="H826" s="71"/>
      <c r="I826" t="s">
        <v>606</v>
      </c>
      <c r="J826" s="187">
        <v>7</v>
      </c>
      <c r="K826" t="s">
        <v>1588</v>
      </c>
      <c r="L826" s="185"/>
      <c r="M826" s="188">
        <v>46279</v>
      </c>
      <c r="N826" s="71"/>
      <c r="Q826" s="71"/>
      <c r="R826" s="71"/>
      <c r="S826" t="s">
        <v>1052</v>
      </c>
    </row>
    <row r="827" spans="1:20" x14ac:dyDescent="0.3">
      <c r="A827" s="72">
        <f>IFERROR(VLOOKUP($G827,Conf!$B:$C,2,0),E827)</f>
        <v>30</v>
      </c>
      <c r="B827" s="72" t="str">
        <f ca="1">IF(D827="Inativo","Inativo",IFERROR(VLOOKUP($G827,Conf!$O:$Q,2,0),VLOOKUP($S827,Conf!$K:$M,2,0)))</f>
        <v>DEPOSITO</v>
      </c>
      <c r="C827" s="72" t="str">
        <f ca="1">IF(D827="Inativo","Inativo",IFERROR(VLOOKUP($G827,Conf!$O:$Q,3,0),IFERROR(VLOOKUP($G827,Conf!$E:$F,2,0),VLOOKUP($S827,Conf!$K:$M,3,0))))</f>
        <v>AUXILIAR</v>
      </c>
      <c r="D827" s="72" t="str">
        <f ca="1">IFERROR(IF(TODAY()-K827&gt;365,"Inativo",IF(J827=2,"Férias",IF(J827=7,"Demitido","Afastamento"))),VLOOKUP(J827,Conf!$H:$I,2,0))</f>
        <v>Ativos</v>
      </c>
      <c r="E827" s="187">
        <v>30</v>
      </c>
      <c r="F827" s="187">
        <v>111</v>
      </c>
      <c r="G827" t="s">
        <v>1088</v>
      </c>
      <c r="H827" s="71"/>
      <c r="I827" t="s">
        <v>435</v>
      </c>
      <c r="J827" s="187">
        <v>1</v>
      </c>
      <c r="K827" t="s">
        <v>1385</v>
      </c>
      <c r="L827" s="185"/>
      <c r="M827" s="188">
        <v>42156</v>
      </c>
      <c r="N827" s="71"/>
      <c r="Q827" s="71"/>
      <c r="R827" s="71"/>
      <c r="S827" t="s">
        <v>1089</v>
      </c>
      <c r="T827" s="71"/>
    </row>
    <row r="828" spans="1:20" x14ac:dyDescent="0.3">
      <c r="A828" s="72">
        <f>IFERROR(VLOOKUP($G828,Conf!$B:$C,2,0),E828)</f>
        <v>30</v>
      </c>
      <c r="B828" s="72" t="str">
        <f ca="1">IF(D828="Inativo","Inativo",IFERROR(VLOOKUP($G828,Conf!$O:$Q,2,0),VLOOKUP($S828,Conf!$K:$M,2,0)))</f>
        <v>DEPOSITO</v>
      </c>
      <c r="C828" s="72" t="str">
        <f ca="1">IF(D828="Inativo","Inativo",IFERROR(VLOOKUP($G828,Conf!$O:$Q,3,0),IFERROR(VLOOKUP($G828,Conf!$E:$F,2,0),VLOOKUP($S828,Conf!$K:$M,3,0))))</f>
        <v>CAMARA FRIA</v>
      </c>
      <c r="D828" s="72" t="str">
        <f ca="1">IFERROR(IF(TODAY()-K828&gt;365,"Inativo",IF(J828=2,"Férias",IF(J828=7,"Demitido","Afastamento"))),VLOOKUP(J828,Conf!$H:$I,2,0))</f>
        <v>Ativos</v>
      </c>
      <c r="E828" s="187">
        <v>30</v>
      </c>
      <c r="F828" s="187">
        <v>306</v>
      </c>
      <c r="G828" t="s">
        <v>1090</v>
      </c>
      <c r="H828" s="71"/>
      <c r="I828" t="s">
        <v>606</v>
      </c>
      <c r="J828" s="187">
        <v>1</v>
      </c>
      <c r="K828" t="s">
        <v>1385</v>
      </c>
      <c r="L828" s="185"/>
      <c r="M828" s="188">
        <v>45296</v>
      </c>
      <c r="N828" s="71"/>
      <c r="Q828" s="71"/>
      <c r="R828" s="71"/>
      <c r="S828" t="s">
        <v>1091</v>
      </c>
      <c r="T828" s="71"/>
    </row>
    <row r="829" spans="1:20" x14ac:dyDescent="0.3">
      <c r="A829" s="72">
        <f>IFERROR(VLOOKUP($G829,Conf!$B:$C,2,0),E829)</f>
        <v>30</v>
      </c>
      <c r="B829" s="72" t="str">
        <f ca="1">IF(D829="Inativo","Inativo",IFERROR(VLOOKUP($G829,Conf!$O:$Q,2,0),VLOOKUP($S829,Conf!$K:$M,2,0)))</f>
        <v>DEPOSITO</v>
      </c>
      <c r="C829" s="72" t="str">
        <f ca="1">IF(D829="Inativo","Inativo",IFERROR(VLOOKUP($G829,Conf!$O:$Q,3,0),IFERROR(VLOOKUP($G829,Conf!$E:$F,2,0),VLOOKUP($S829,Conf!$K:$M,3,0))))</f>
        <v>CONFERENTE</v>
      </c>
      <c r="D829" s="72" t="str">
        <f ca="1">IFERROR(IF(TODAY()-K829&gt;365,"Inativo",IF(J829=2,"Férias",IF(J829=7,"Demitido","Afastamento"))),VLOOKUP(J829,Conf!$H:$I,2,0))</f>
        <v>Ativos</v>
      </c>
      <c r="E829" s="187">
        <v>30</v>
      </c>
      <c r="F829" s="187">
        <v>352</v>
      </c>
      <c r="G829" t="s">
        <v>1053</v>
      </c>
      <c r="H829" s="71"/>
      <c r="I829" t="s">
        <v>435</v>
      </c>
      <c r="J829" s="187">
        <v>1</v>
      </c>
      <c r="K829" t="s">
        <v>1385</v>
      </c>
      <c r="L829" s="185"/>
      <c r="M829" s="188">
        <v>45726</v>
      </c>
      <c r="N829" s="71"/>
      <c r="Q829" s="71"/>
      <c r="R829" s="71"/>
      <c r="S829" t="s">
        <v>1101</v>
      </c>
      <c r="T829" s="71"/>
    </row>
    <row r="830" spans="1:20" x14ac:dyDescent="0.3">
      <c r="A830" s="72">
        <f>IFERROR(VLOOKUP($G830,Conf!$B:$C,2,0),E830)</f>
        <v>30</v>
      </c>
      <c r="B830" s="72" t="str">
        <f ca="1">IF(D830="Inativo","Inativo",IFERROR(VLOOKUP($G830,Conf!$O:$Q,2,0),VLOOKUP($S830,Conf!$K:$M,2,0)))</f>
        <v>DEPOSITO</v>
      </c>
      <c r="C830" s="72" t="str">
        <f ca="1">IF(D830="Inativo","Inativo",IFERROR(VLOOKUP($G830,Conf!$O:$Q,3,0),IFERROR(VLOOKUP($G830,Conf!$E:$F,2,0),VLOOKUP($S830,Conf!$K:$M,3,0))))</f>
        <v>CONFERENTE</v>
      </c>
      <c r="D830" s="72" t="str">
        <f ca="1">IFERROR(IF(TODAY()-K830&gt;365,"Inativo",IF(J830=2,"Férias",IF(J830=7,"Demitido","Afastamento"))),VLOOKUP(J830,Conf!$H:$I,2,0))</f>
        <v>Ativos</v>
      </c>
      <c r="E830" s="187">
        <v>30</v>
      </c>
      <c r="F830" s="187">
        <v>371</v>
      </c>
      <c r="G830" t="s">
        <v>1095</v>
      </c>
      <c r="H830" s="71"/>
      <c r="I830" t="s">
        <v>435</v>
      </c>
      <c r="J830" s="187">
        <v>1</v>
      </c>
      <c r="K830" t="s">
        <v>1385</v>
      </c>
      <c r="L830" s="185"/>
      <c r="M830" s="188">
        <v>45993</v>
      </c>
      <c r="N830" s="71"/>
      <c r="Q830" s="71"/>
      <c r="R830" s="71"/>
      <c r="S830" t="s">
        <v>1096</v>
      </c>
      <c r="T830" s="71"/>
    </row>
    <row r="831" spans="1:20" x14ac:dyDescent="0.3">
      <c r="A831" s="72">
        <f>IFERROR(VLOOKUP($G831,Conf!$B:$C,2,0),E831)</f>
        <v>30</v>
      </c>
      <c r="B831" s="72" t="str">
        <f ca="1">IF(D831="Inativo","Inativo",IFERROR(VLOOKUP($G831,Conf!$O:$Q,2,0),VLOOKUP($S831,Conf!$K:$M,2,0)))</f>
        <v>DEPOSITO</v>
      </c>
      <c r="C831" s="72" t="str">
        <f ca="1">IF(D831="Inativo","Inativo",IFERROR(VLOOKUP($G831,Conf!$O:$Q,3,0),IFERROR(VLOOKUP($G831,Conf!$E:$F,2,0),VLOOKUP($S831,Conf!$K:$M,3,0))))</f>
        <v>CONFERENTE</v>
      </c>
      <c r="D831" s="72" t="str">
        <f ca="1">IFERROR(IF(TODAY()-K831&gt;365,"Inativo",IF(J831=2,"Férias",IF(J831=7,"Demitido","Afastamento"))),VLOOKUP(J831,Conf!$H:$I,2,0))</f>
        <v>Ativos</v>
      </c>
      <c r="E831" s="187">
        <v>30</v>
      </c>
      <c r="F831" s="187">
        <v>308</v>
      </c>
      <c r="G831" t="s">
        <v>1098</v>
      </c>
      <c r="H831" s="71"/>
      <c r="I831" t="s">
        <v>435</v>
      </c>
      <c r="J831" s="187">
        <v>1</v>
      </c>
      <c r="K831" t="s">
        <v>1385</v>
      </c>
      <c r="L831" s="185"/>
      <c r="M831" s="188">
        <v>45299</v>
      </c>
      <c r="N831" s="71"/>
      <c r="Q831" s="71"/>
      <c r="R831" s="71"/>
      <c r="S831" t="s">
        <v>1096</v>
      </c>
      <c r="T831" s="71"/>
    </row>
    <row r="832" spans="1:20" x14ac:dyDescent="0.3">
      <c r="A832" s="72">
        <f>IFERROR(VLOOKUP($G832,Conf!$B:$C,2,0),E832)</f>
        <v>30</v>
      </c>
      <c r="B832" s="72" t="str">
        <f ca="1">IF(D832="Inativo","Inativo",IFERROR(VLOOKUP($G832,Conf!$O:$Q,2,0),VLOOKUP($S832,Conf!$K:$M,2,0)))</f>
        <v>DEPOSITO</v>
      </c>
      <c r="C832" s="72" t="str">
        <f ca="1">IF(D832="Inativo","Inativo",IFERROR(VLOOKUP($G832,Conf!$O:$Q,3,0),IFERROR(VLOOKUP($G832,Conf!$E:$F,2,0),VLOOKUP($S832,Conf!$K:$M,3,0))))</f>
        <v>CONFERENTE</v>
      </c>
      <c r="D832" s="72" t="str">
        <f ca="1">IFERROR(IF(TODAY()-K832&gt;365,"Inativo",IF(J832=2,"Férias",IF(J832=7,"Demitido","Afastamento"))),VLOOKUP(J832,Conf!$H:$I,2,0))</f>
        <v>Ativos</v>
      </c>
      <c r="E832" s="187">
        <v>30</v>
      </c>
      <c r="F832" s="187">
        <v>366</v>
      </c>
      <c r="G832" t="s">
        <v>1067</v>
      </c>
      <c r="H832" s="71"/>
      <c r="I832" t="s">
        <v>435</v>
      </c>
      <c r="J832" s="187">
        <v>1</v>
      </c>
      <c r="K832" t="s">
        <v>1385</v>
      </c>
      <c r="L832" s="185"/>
      <c r="M832" s="188">
        <v>45964</v>
      </c>
      <c r="N832" s="71"/>
      <c r="O832" s="71"/>
      <c r="P832" s="71"/>
      <c r="Q832" s="71"/>
      <c r="R832" s="71"/>
      <c r="S832" t="s">
        <v>1096</v>
      </c>
      <c r="T832" s="71"/>
    </row>
    <row r="833" spans="1:20" x14ac:dyDescent="0.3">
      <c r="A833" s="72">
        <f>IFERROR(VLOOKUP($G833,Conf!$B:$C,2,0),E833)</f>
        <v>30</v>
      </c>
      <c r="B833" s="72" t="str">
        <f ca="1">IF(D833="Inativo","Inativo",IFERROR(VLOOKUP($G833,Conf!$O:$Q,2,0),VLOOKUP($S833,Conf!$K:$M,2,0)))</f>
        <v>DEPOSITO</v>
      </c>
      <c r="C833" s="72" t="str">
        <f ca="1">IF(D833="Inativo","Inativo",IFERROR(VLOOKUP($G833,Conf!$O:$Q,3,0),IFERROR(VLOOKUP($G833,Conf!$E:$F,2,0),VLOOKUP($S833,Conf!$K:$M,3,0))))</f>
        <v>CONFERENTE</v>
      </c>
      <c r="D833" s="72" t="str">
        <f ca="1">IFERROR(IF(TODAY()-K833&gt;365,"Inativo",IF(J833=2,"Férias",IF(J833=7,"Demitido","Afastamento"))),VLOOKUP(J833,Conf!$H:$I,2,0))</f>
        <v>Ativos</v>
      </c>
      <c r="E833" s="187">
        <v>30</v>
      </c>
      <c r="F833" s="187">
        <v>373</v>
      </c>
      <c r="G833" t="s">
        <v>1070</v>
      </c>
      <c r="H833" s="71"/>
      <c r="I833" t="s">
        <v>435</v>
      </c>
      <c r="J833" s="187">
        <v>1</v>
      </c>
      <c r="K833" t="s">
        <v>1385</v>
      </c>
      <c r="L833" s="185"/>
      <c r="M833" s="188">
        <v>45999</v>
      </c>
      <c r="N833" s="71"/>
      <c r="Q833" s="71"/>
      <c r="R833" s="71"/>
      <c r="S833" t="s">
        <v>1096</v>
      </c>
      <c r="T833" s="71"/>
    </row>
    <row r="834" spans="1:20" x14ac:dyDescent="0.3">
      <c r="A834" s="72">
        <f>IFERROR(VLOOKUP($G834,Conf!$B:$C,2,0),E834)</f>
        <v>30</v>
      </c>
      <c r="B834" s="72" t="str">
        <f ca="1">IF(D834="Inativo","Inativo",IFERROR(VLOOKUP($G834,Conf!$O:$Q,2,0),VLOOKUP($S834,Conf!$K:$M,2,0)))</f>
        <v>DEPOSITO</v>
      </c>
      <c r="C834" s="72" t="str">
        <f ca="1">IF(D834="Inativo","Inativo",IFERROR(VLOOKUP($G834,Conf!$O:$Q,3,0),IFERROR(VLOOKUP($G834,Conf!$E:$F,2,0),VLOOKUP($S834,Conf!$K:$M,3,0))))</f>
        <v>CONFERENTE</v>
      </c>
      <c r="D834" s="72" t="str">
        <f ca="1">IFERROR(IF(TODAY()-K834&gt;365,"Inativo",IF(J834=2,"Férias",IF(J834=7,"Demitido","Afastamento"))),VLOOKUP(J834,Conf!$H:$I,2,0))</f>
        <v>Ativos</v>
      </c>
      <c r="E834" s="187">
        <v>30</v>
      </c>
      <c r="F834" s="187">
        <v>382</v>
      </c>
      <c r="G834" t="s">
        <v>1099</v>
      </c>
      <c r="H834" s="71"/>
      <c r="I834" t="s">
        <v>435</v>
      </c>
      <c r="J834" s="187">
        <v>1</v>
      </c>
      <c r="K834" t="s">
        <v>1385</v>
      </c>
      <c r="L834" s="185"/>
      <c r="M834" s="188">
        <v>46055</v>
      </c>
      <c r="N834" s="71"/>
      <c r="Q834" s="71"/>
      <c r="R834" s="71"/>
      <c r="S834" t="s">
        <v>1096</v>
      </c>
      <c r="T834" s="71"/>
    </row>
    <row r="835" spans="1:20" x14ac:dyDescent="0.3">
      <c r="A835" s="72">
        <f>IFERROR(VLOOKUP($G835,Conf!$B:$C,2,0),E835)</f>
        <v>30</v>
      </c>
      <c r="B835" s="72" t="str">
        <f ca="1">IF(D835="Inativo","Inativo",IFERROR(VLOOKUP($G835,Conf!$O:$Q,2,0),VLOOKUP($S835,Conf!$K:$M,2,0)))</f>
        <v>DEPOSITO</v>
      </c>
      <c r="C835" s="72" t="str">
        <f ca="1">IF(D835="Inativo","Inativo",IFERROR(VLOOKUP($G835,Conf!$O:$Q,3,0),IFERROR(VLOOKUP($G835,Conf!$E:$F,2,0),VLOOKUP($S835,Conf!$K:$M,3,0))))</f>
        <v>CONFERENTE</v>
      </c>
      <c r="D835" s="72" t="str">
        <f ca="1">IFERROR(IF(TODAY()-K835&gt;365,"Inativo",IF(J835=2,"Férias",IF(J835=7,"Demitido","Afastamento"))),VLOOKUP(J835,Conf!$H:$I,2,0))</f>
        <v>Ativos</v>
      </c>
      <c r="E835" s="187">
        <v>30</v>
      </c>
      <c r="F835" s="187">
        <v>357</v>
      </c>
      <c r="G835" t="s">
        <v>1100</v>
      </c>
      <c r="H835" s="71"/>
      <c r="I835" t="s">
        <v>435</v>
      </c>
      <c r="J835" s="187">
        <v>1</v>
      </c>
      <c r="K835" t="s">
        <v>1385</v>
      </c>
      <c r="L835" s="185"/>
      <c r="M835" s="188">
        <v>45761</v>
      </c>
      <c r="N835" s="71"/>
      <c r="Q835" s="71"/>
      <c r="R835" s="71"/>
      <c r="S835" t="s">
        <v>1101</v>
      </c>
      <c r="T835" s="71"/>
    </row>
    <row r="836" spans="1:20" x14ac:dyDescent="0.3">
      <c r="A836" s="72">
        <f>IFERROR(VLOOKUP($G836,Conf!$B:$C,2,0),E836)</f>
        <v>30</v>
      </c>
      <c r="B836" s="72" t="str">
        <f ca="1">IF(D836="Inativo","Inativo",IFERROR(VLOOKUP($G836,Conf!$O:$Q,2,0),VLOOKUP($S836,Conf!$K:$M,2,0)))</f>
        <v>DEPOSITO</v>
      </c>
      <c r="C836" s="72" t="str">
        <f ca="1">IF(D836="Inativo","Inativo",IFERROR(VLOOKUP($G836,Conf!$O:$Q,3,0),IFERROR(VLOOKUP($G836,Conf!$E:$F,2,0),VLOOKUP($S836,Conf!$K:$M,3,0))))</f>
        <v>CONFERENTE</v>
      </c>
      <c r="D836" s="72" t="str">
        <f ca="1">IFERROR(IF(TODAY()-K836&gt;365,"Inativo",IF(J836=2,"Férias",IF(J836=7,"Demitido","Afastamento"))),VLOOKUP(J836,Conf!$H:$I,2,0))</f>
        <v>Ativos</v>
      </c>
      <c r="E836" s="187">
        <v>30</v>
      </c>
      <c r="F836" s="187">
        <v>304</v>
      </c>
      <c r="G836" t="s">
        <v>1102</v>
      </c>
      <c r="H836" s="71"/>
      <c r="I836" t="s">
        <v>606</v>
      </c>
      <c r="J836" s="187">
        <v>1</v>
      </c>
      <c r="K836" t="s">
        <v>1385</v>
      </c>
      <c r="L836" s="185"/>
      <c r="M836" s="188">
        <v>45261</v>
      </c>
      <c r="N836" s="71"/>
      <c r="Q836" s="71"/>
      <c r="R836" s="71"/>
      <c r="S836" t="s">
        <v>1096</v>
      </c>
      <c r="T836" s="71"/>
    </row>
    <row r="837" spans="1:20" x14ac:dyDescent="0.3">
      <c r="A837" s="72">
        <f>IFERROR(VLOOKUP($G837,Conf!$B:$C,2,0),E837)</f>
        <v>30</v>
      </c>
      <c r="B837" s="72" t="str">
        <f ca="1">IF(D837="Inativo","Inativo",IFERROR(VLOOKUP($G837,Conf!$O:$Q,2,0),VLOOKUP($S837,Conf!$K:$M,2,0)))</f>
        <v>DEPOSITO</v>
      </c>
      <c r="C837" s="72" t="str">
        <f ca="1">IF(D837="Inativo","Inativo",IFERROR(VLOOKUP($G837,Conf!$O:$Q,3,0),IFERROR(VLOOKUP($G837,Conf!$E:$F,2,0),VLOOKUP($S837,Conf!$K:$M,3,0))))</f>
        <v>CONFERENTE</v>
      </c>
      <c r="D837" s="72" t="str">
        <f ca="1">IFERROR(IF(TODAY()-K837&gt;365,"Inativo",IF(J837=2,"Férias",IF(J837=7,"Demitido","Afastamento"))),VLOOKUP(J837,Conf!$H:$I,2,0))</f>
        <v>Ativos</v>
      </c>
      <c r="E837" s="187">
        <v>30</v>
      </c>
      <c r="F837" s="187">
        <v>421</v>
      </c>
      <c r="G837" t="s">
        <v>1548</v>
      </c>
      <c r="H837" s="71"/>
      <c r="I837" t="s">
        <v>606</v>
      </c>
      <c r="J837" s="187">
        <v>1</v>
      </c>
      <c r="K837" t="s">
        <v>1385</v>
      </c>
      <c r="L837" s="185"/>
      <c r="M837" s="188">
        <v>46275</v>
      </c>
      <c r="N837" s="71"/>
      <c r="Q837" s="71"/>
      <c r="R837" s="71"/>
      <c r="S837" t="s">
        <v>1096</v>
      </c>
      <c r="T837" s="71"/>
    </row>
    <row r="838" spans="1:20" x14ac:dyDescent="0.3">
      <c r="A838" s="72">
        <f>IFERROR(VLOOKUP($G838,Conf!$B:$C,2,0),E838)</f>
        <v>30</v>
      </c>
      <c r="B838" s="72" t="str">
        <f ca="1">IF(D838="Inativo","Inativo",IFERROR(VLOOKUP($G838,Conf!$O:$Q,2,0),VLOOKUP($S838,Conf!$K:$M,2,0)))</f>
        <v>DEPOSITO</v>
      </c>
      <c r="C838" s="72" t="str">
        <f ca="1">IF(D838="Inativo","Inativo",IFERROR(VLOOKUP($G838,Conf!$O:$Q,3,0),IFERROR(VLOOKUP($G838,Conf!$E:$F,2,0),VLOOKUP($S838,Conf!$K:$M,3,0))))</f>
        <v>CONFERENTE</v>
      </c>
      <c r="D838" s="72" t="str">
        <f ca="1">IFERROR(IF(TODAY()-K838&gt;365,"Inativo",IF(J838=2,"Férias",IF(J838=7,"Demitido","Afastamento"))),VLOOKUP(J838,Conf!$H:$I,2,0))</f>
        <v>Ativos</v>
      </c>
      <c r="E838" s="187">
        <v>30</v>
      </c>
      <c r="F838" s="187">
        <v>250</v>
      </c>
      <c r="G838" t="s">
        <v>1104</v>
      </c>
      <c r="H838" s="71"/>
      <c r="I838" t="s">
        <v>255</v>
      </c>
      <c r="J838" s="187">
        <v>1</v>
      </c>
      <c r="K838" t="s">
        <v>1385</v>
      </c>
      <c r="L838" s="185"/>
      <c r="M838" s="188">
        <v>44494</v>
      </c>
      <c r="N838" s="71"/>
      <c r="Q838" s="71"/>
      <c r="R838" s="71"/>
      <c r="S838" t="s">
        <v>1101</v>
      </c>
      <c r="T838" s="71"/>
    </row>
    <row r="839" spans="1:20" x14ac:dyDescent="0.3">
      <c r="A839" s="72">
        <f>IFERROR(VLOOKUP($G839,Conf!$B:$C,2,0),E839)</f>
        <v>30</v>
      </c>
      <c r="B839" s="72" t="str">
        <f ca="1">IF(D839="Inativo","Inativo",IFERROR(VLOOKUP($G839,Conf!$O:$Q,2,0),VLOOKUP($S839,Conf!$K:$M,2,0)))</f>
        <v>DEPOSITO</v>
      </c>
      <c r="C839" s="72" t="str">
        <f ca="1">IF(D839="Inativo","Inativo",IFERROR(VLOOKUP($G839,Conf!$O:$Q,3,0),IFERROR(VLOOKUP($G839,Conf!$E:$F,2,0),VLOOKUP($S839,Conf!$K:$M,3,0))))</f>
        <v>CONFERENTE</v>
      </c>
      <c r="D839" s="72" t="str">
        <f ca="1">IFERROR(IF(TODAY()-K839&gt;365,"Inativo",IF(J839=2,"Férias",IF(J839=7,"Demitido","Afastamento"))),VLOOKUP(J839,Conf!$H:$I,2,0))</f>
        <v>Ativos</v>
      </c>
      <c r="E839" s="187">
        <v>30</v>
      </c>
      <c r="F839" s="187">
        <v>328</v>
      </c>
      <c r="G839" t="s">
        <v>1105</v>
      </c>
      <c r="H839" s="71"/>
      <c r="I839" t="s">
        <v>1106</v>
      </c>
      <c r="J839" s="187">
        <v>1</v>
      </c>
      <c r="K839" t="s">
        <v>1385</v>
      </c>
      <c r="L839" s="185"/>
      <c r="M839" s="188">
        <v>45463</v>
      </c>
      <c r="N839" s="71"/>
      <c r="O839" s="71"/>
      <c r="P839" s="71"/>
      <c r="Q839" s="71"/>
      <c r="R839" s="71"/>
      <c r="S839" t="s">
        <v>1101</v>
      </c>
      <c r="T839" s="71"/>
    </row>
    <row r="840" spans="1:20" x14ac:dyDescent="0.3">
      <c r="A840" s="72">
        <f>IFERROR(VLOOKUP($G840,Conf!$B:$C,2,0),E840)</f>
        <v>30</v>
      </c>
      <c r="B840" s="72" t="str">
        <f ca="1">IF(D840="Inativo","Inativo",IFERROR(VLOOKUP($G840,Conf!$O:$Q,2,0),VLOOKUP($S840,Conf!$K:$M,2,0)))</f>
        <v>DEPOSITO</v>
      </c>
      <c r="C840" s="72" t="str">
        <f ca="1">IF(D840="Inativo","Inativo",IFERROR(VLOOKUP($G840,Conf!$O:$Q,3,0),IFERROR(VLOOKUP($G840,Conf!$E:$F,2,0),VLOOKUP($S840,Conf!$K:$M,3,0))))</f>
        <v>CONFERENTE</v>
      </c>
      <c r="D840" s="72" t="str">
        <f ca="1">IFERROR(IF(TODAY()-K840&gt;365,"Inativo",IF(J840=2,"Férias",IF(J840=7,"Demitido","Afastamento"))),VLOOKUP(J840,Conf!$H:$I,2,0))</f>
        <v>Ativos</v>
      </c>
      <c r="E840" s="187">
        <v>30</v>
      </c>
      <c r="F840" s="187">
        <v>112</v>
      </c>
      <c r="G840" t="s">
        <v>1107</v>
      </c>
      <c r="H840" s="71"/>
      <c r="I840" t="s">
        <v>604</v>
      </c>
      <c r="J840" s="187">
        <v>1</v>
      </c>
      <c r="K840" t="s">
        <v>1385</v>
      </c>
      <c r="L840" s="185"/>
      <c r="M840" s="188">
        <v>42156</v>
      </c>
      <c r="N840" s="71"/>
      <c r="O840" s="71"/>
      <c r="P840" s="71"/>
      <c r="Q840" s="71"/>
      <c r="R840" s="71"/>
      <c r="S840" t="s">
        <v>1101</v>
      </c>
      <c r="T840" s="71"/>
    </row>
    <row r="841" spans="1:20" x14ac:dyDescent="0.3">
      <c r="A841" s="72">
        <f>IFERROR(VLOOKUP($G841,Conf!$B:$C,2,0),E841)</f>
        <v>30</v>
      </c>
      <c r="B841" s="72" t="str">
        <f ca="1">IF(D841="Inativo","Inativo",IFERROR(VLOOKUP($G841,Conf!$O:$Q,2,0),VLOOKUP($S841,Conf!$K:$M,2,0)))</f>
        <v>DEPOSITO</v>
      </c>
      <c r="C841" s="72" t="str">
        <f ca="1">IF(D841="Inativo","Inativo",IFERROR(VLOOKUP($G841,Conf!$O:$Q,3,0),IFERROR(VLOOKUP($G841,Conf!$E:$F,2,0),VLOOKUP($S841,Conf!$K:$M,3,0))))</f>
        <v>CONFERENTE</v>
      </c>
      <c r="D841" s="72" t="str">
        <f ca="1">IFERROR(IF(TODAY()-K841&gt;365,"Inativo",IF(J841=2,"Férias",IF(J841=7,"Demitido","Afastamento"))),VLOOKUP(J841,Conf!$H:$I,2,0))</f>
        <v>Ativos</v>
      </c>
      <c r="E841" s="187">
        <v>30</v>
      </c>
      <c r="F841" s="187">
        <v>416</v>
      </c>
      <c r="G841" t="s">
        <v>1508</v>
      </c>
      <c r="H841" s="71"/>
      <c r="I841" t="s">
        <v>606</v>
      </c>
      <c r="J841" s="187">
        <v>1</v>
      </c>
      <c r="K841" t="s">
        <v>1385</v>
      </c>
      <c r="L841" s="185"/>
      <c r="M841" s="188">
        <v>46274</v>
      </c>
      <c r="N841" s="71"/>
      <c r="Q841" s="71"/>
      <c r="R841" s="71"/>
      <c r="S841" t="s">
        <v>1096</v>
      </c>
      <c r="T841" s="71"/>
    </row>
    <row r="842" spans="1:20" x14ac:dyDescent="0.3">
      <c r="A842" s="72">
        <f>IFERROR(VLOOKUP($G842,Conf!$B:$C,2,0),E842)</f>
        <v>30</v>
      </c>
      <c r="B842" s="72" t="str">
        <f ca="1">IF(D842="Inativo","Inativo",IFERROR(VLOOKUP($G842,Conf!$O:$Q,2,0),VLOOKUP($S842,Conf!$K:$M,2,0)))</f>
        <v>DEPOSITO</v>
      </c>
      <c r="C842" s="72" t="str">
        <f ca="1">IF(D842="Inativo","Inativo",IFERROR(VLOOKUP($G842,Conf!$O:$Q,3,0),IFERROR(VLOOKUP($G842,Conf!$E:$F,2,0),VLOOKUP($S842,Conf!$K:$M,3,0))))</f>
        <v>CONFERENTE</v>
      </c>
      <c r="D842" s="72" t="str">
        <f ca="1">IFERROR(IF(TODAY()-K842&gt;365,"Inativo",IF(J842=2,"Férias",IF(J842=7,"Demitido","Afastamento"))),VLOOKUP(J842,Conf!$H:$I,2,0))</f>
        <v>Ativos</v>
      </c>
      <c r="E842" s="187">
        <v>30</v>
      </c>
      <c r="F842" s="187">
        <v>119</v>
      </c>
      <c r="G842" t="s">
        <v>1108</v>
      </c>
      <c r="H842" s="71"/>
      <c r="I842" t="s">
        <v>1008</v>
      </c>
      <c r="J842" s="187">
        <v>1</v>
      </c>
      <c r="K842" t="s">
        <v>1385</v>
      </c>
      <c r="L842" s="185"/>
      <c r="M842" s="188">
        <v>42571</v>
      </c>
      <c r="N842" s="71"/>
      <c r="Q842" s="71"/>
      <c r="R842" s="71"/>
      <c r="S842" t="s">
        <v>1109</v>
      </c>
      <c r="T842" s="71"/>
    </row>
    <row r="843" spans="1:20" x14ac:dyDescent="0.3">
      <c r="A843" s="72">
        <f>IFERROR(VLOOKUP($G843,Conf!$B:$C,2,0),E843)</f>
        <v>30</v>
      </c>
      <c r="B843" s="72" t="str">
        <f ca="1">IF(D843="Inativo","Inativo",IFERROR(VLOOKUP($G843,Conf!$O:$Q,2,0),VLOOKUP($S843,Conf!$K:$M,2,0)))</f>
        <v>DEPOSITO</v>
      </c>
      <c r="C843" s="72" t="str">
        <f ca="1">IF(D843="Inativo","Inativo",IFERROR(VLOOKUP($G843,Conf!$O:$Q,3,0),IFERROR(VLOOKUP($G843,Conf!$E:$F,2,0),VLOOKUP($S843,Conf!$K:$M,3,0))))</f>
        <v>CONFERENTE</v>
      </c>
      <c r="D843" s="72" t="str">
        <f ca="1">IFERROR(IF(TODAY()-K843&gt;365,"Inativo",IF(J843=2,"Férias",IF(J843=7,"Demitido","Afastamento"))),VLOOKUP(J843,Conf!$H:$I,2,0))</f>
        <v>Ativos</v>
      </c>
      <c r="E843" s="187">
        <v>30</v>
      </c>
      <c r="F843" s="187">
        <v>363</v>
      </c>
      <c r="G843" t="s">
        <v>1111</v>
      </c>
      <c r="I843" t="s">
        <v>606</v>
      </c>
      <c r="J843" s="187">
        <v>1</v>
      </c>
      <c r="K843" t="s">
        <v>1385</v>
      </c>
      <c r="M843" s="188">
        <v>45932</v>
      </c>
      <c r="S843" t="s">
        <v>1101</v>
      </c>
      <c r="T843" s="71"/>
    </row>
    <row r="844" spans="1:20" x14ac:dyDescent="0.3">
      <c r="A844" s="72">
        <f>IFERROR(VLOOKUP($G844,Conf!$B:$C,2,0),E844)</f>
        <v>30</v>
      </c>
      <c r="B844" s="72" t="str">
        <f ca="1">IF(D844="Inativo","Inativo",IFERROR(VLOOKUP($G844,Conf!$O:$Q,2,0),VLOOKUP($S844,Conf!$K:$M,2,0)))</f>
        <v>DEPOSITO</v>
      </c>
      <c r="C844" s="72" t="str">
        <f ca="1">IF(D844="Inativo","Inativo",IFERROR(VLOOKUP($G844,Conf!$O:$Q,3,0),IFERROR(VLOOKUP($G844,Conf!$E:$F,2,0),VLOOKUP($S844,Conf!$K:$M,3,0))))</f>
        <v>EMPILHADEIRA</v>
      </c>
      <c r="D844" s="72" t="str">
        <f ca="1">IFERROR(IF(TODAY()-K844&gt;365,"Inativo",IF(J844=2,"Férias",IF(J844=7,"Demitido","Afastamento"))),VLOOKUP(J844,Conf!$H:$I,2,0))</f>
        <v>Ativos</v>
      </c>
      <c r="E844" s="187">
        <v>30</v>
      </c>
      <c r="F844" s="187">
        <v>399</v>
      </c>
      <c r="G844" t="s">
        <v>1114</v>
      </c>
      <c r="H844" s="71"/>
      <c r="I844" t="s">
        <v>435</v>
      </c>
      <c r="J844" s="187">
        <v>1</v>
      </c>
      <c r="K844" t="s">
        <v>1385</v>
      </c>
      <c r="L844" s="185"/>
      <c r="M844" s="188">
        <v>46156</v>
      </c>
      <c r="N844" s="71"/>
      <c r="Q844" s="71"/>
      <c r="R844" s="71"/>
      <c r="S844" t="s">
        <v>1115</v>
      </c>
      <c r="T844" s="71"/>
    </row>
    <row r="845" spans="1:20" x14ac:dyDescent="0.3">
      <c r="A845" s="72">
        <f>IFERROR(VLOOKUP($G845,Conf!$B:$C,2,0),E845)</f>
        <v>30</v>
      </c>
      <c r="B845" s="72" t="str">
        <f ca="1">IF(D845="Inativo","Inativo",IFERROR(VLOOKUP($G845,Conf!$O:$Q,2,0),VLOOKUP($S845,Conf!$K:$M,2,0)))</f>
        <v>DEPOSITO</v>
      </c>
      <c r="C845" s="72" t="str">
        <f ca="1">IF(D845="Inativo","Inativo",IFERROR(VLOOKUP($G845,Conf!$O:$Q,3,0),IFERROR(VLOOKUP($G845,Conf!$E:$F,2,0),VLOOKUP($S845,Conf!$K:$M,3,0))))</f>
        <v>EMPILHADEIRA</v>
      </c>
      <c r="D845" s="72" t="str">
        <f ca="1">IFERROR(IF(TODAY()-K845&gt;365,"Inativo",IF(J845=2,"Férias",IF(J845=7,"Demitido","Afastamento"))),VLOOKUP(J845,Conf!$H:$I,2,0))</f>
        <v>Ativos</v>
      </c>
      <c r="E845" s="187">
        <v>30</v>
      </c>
      <c r="F845" s="187">
        <v>403</v>
      </c>
      <c r="G845" t="s">
        <v>1065</v>
      </c>
      <c r="H845" s="71"/>
      <c r="I845" t="s">
        <v>604</v>
      </c>
      <c r="J845" s="187">
        <v>1</v>
      </c>
      <c r="K845" t="s">
        <v>1385</v>
      </c>
      <c r="L845" s="185"/>
      <c r="M845" s="188">
        <v>46174</v>
      </c>
      <c r="N845" s="71"/>
      <c r="O845" s="71"/>
      <c r="P845" s="71"/>
      <c r="Q845" s="71"/>
      <c r="R845" s="71"/>
      <c r="S845" t="s">
        <v>1115</v>
      </c>
      <c r="T845" s="71"/>
    </row>
    <row r="846" spans="1:20" x14ac:dyDescent="0.3">
      <c r="A846" s="72">
        <f>IFERROR(VLOOKUP($G846,Conf!$B:$C,2,0),E846)</f>
        <v>30</v>
      </c>
      <c r="B846" s="72" t="str">
        <f ca="1">IF(D846="Inativo","Inativo",IFERROR(VLOOKUP($G846,Conf!$O:$Q,2,0),VLOOKUP($S846,Conf!$K:$M,2,0)))</f>
        <v>DEPOSITO</v>
      </c>
      <c r="C846" s="72" t="str">
        <f ca="1">IF(D846="Inativo","Inativo",IFERROR(VLOOKUP($G846,Conf!$O:$Q,3,0),IFERROR(VLOOKUP($G846,Conf!$E:$F,2,0),VLOOKUP($S846,Conf!$K:$M,3,0))))</f>
        <v>EMPILHADEIRA</v>
      </c>
      <c r="D846" s="72" t="str">
        <f ca="1">IFERROR(IF(TODAY()-K846&gt;365,"Inativo",IF(J846=2,"Férias",IF(J846=7,"Demitido","Afastamento"))),VLOOKUP(J846,Conf!$H:$I,2,0))</f>
        <v>Ativos</v>
      </c>
      <c r="E846" s="187">
        <v>30</v>
      </c>
      <c r="F846" s="187">
        <v>413</v>
      </c>
      <c r="G846" t="s">
        <v>1494</v>
      </c>
      <c r="H846" s="71"/>
      <c r="I846" t="s">
        <v>606</v>
      </c>
      <c r="J846" s="187">
        <v>1</v>
      </c>
      <c r="K846" t="s">
        <v>1385</v>
      </c>
      <c r="L846" s="185"/>
      <c r="M846" s="188">
        <v>46252</v>
      </c>
      <c r="N846" s="71"/>
      <c r="Q846" s="71"/>
      <c r="R846" s="71"/>
      <c r="S846" t="s">
        <v>1115</v>
      </c>
      <c r="T846" s="71"/>
    </row>
    <row r="847" spans="1:20" x14ac:dyDescent="0.3">
      <c r="A847" s="72">
        <f>IFERROR(VLOOKUP($G847,Conf!$B:$C,2,0),E847)</f>
        <v>30</v>
      </c>
      <c r="B847" s="72" t="str">
        <f ca="1">IF(D847="Inativo","Inativo",IFERROR(VLOOKUP($G847,Conf!$O:$Q,2,0),VLOOKUP($S847,Conf!$K:$M,2,0)))</f>
        <v>DEPOSITO</v>
      </c>
      <c r="C847" s="72" t="str">
        <f ca="1">IF(D847="Inativo","Inativo",IFERROR(VLOOKUP($G847,Conf!$O:$Q,3,0),IFERROR(VLOOKUP($G847,Conf!$E:$F,2,0),VLOOKUP($S847,Conf!$K:$M,3,0))))</f>
        <v>EMPILHADEIRA</v>
      </c>
      <c r="D847" s="72" t="str">
        <f ca="1">IFERROR(IF(TODAY()-K847&gt;365,"Inativo",IF(J847=2,"Férias",IF(J847=7,"Demitido","Afastamento"))),VLOOKUP(J847,Conf!$H:$I,2,0))</f>
        <v>Ativos</v>
      </c>
      <c r="E847" s="187">
        <v>30</v>
      </c>
      <c r="F847" s="187">
        <v>264</v>
      </c>
      <c r="G847" t="s">
        <v>1116</v>
      </c>
      <c r="H847" s="71"/>
      <c r="I847" t="s">
        <v>604</v>
      </c>
      <c r="J847" s="187">
        <v>1</v>
      </c>
      <c r="K847" t="s">
        <v>1385</v>
      </c>
      <c r="L847" s="185"/>
      <c r="M847" s="188">
        <v>44655</v>
      </c>
      <c r="N847" s="71"/>
      <c r="Q847" s="71"/>
      <c r="R847" s="71"/>
      <c r="S847" t="s">
        <v>1115</v>
      </c>
      <c r="T847" s="71"/>
    </row>
    <row r="848" spans="1:20" x14ac:dyDescent="0.3">
      <c r="A848" s="72">
        <f>IFERROR(VLOOKUP($G848,Conf!$B:$C,2,0),E848)</f>
        <v>30</v>
      </c>
      <c r="B848" s="72" t="str">
        <f ca="1">IF(D848="Inativo","Inativo",IFERROR(VLOOKUP($G848,Conf!$O:$Q,2,0),VLOOKUP($S848,Conf!$K:$M,2,0)))</f>
        <v>DEPOSITO</v>
      </c>
      <c r="C848" s="72" t="str">
        <f ca="1">IF(D848="Inativo","Inativo",IFERROR(VLOOKUP($G848,Conf!$O:$Q,3,0),IFERROR(VLOOKUP($G848,Conf!$E:$F,2,0),VLOOKUP($S848,Conf!$K:$M,3,0))))</f>
        <v>EMPILHADEIRA</v>
      </c>
      <c r="D848" s="72" t="str">
        <f ca="1">IFERROR(IF(TODAY()-K848&gt;365,"Inativo",IF(J848=2,"Férias",IF(J848=7,"Demitido","Afastamento"))),VLOOKUP(J848,Conf!$H:$I,2,0))</f>
        <v>Ativos</v>
      </c>
      <c r="E848" s="187">
        <v>30</v>
      </c>
      <c r="F848" s="187">
        <v>339</v>
      </c>
      <c r="G848" t="s">
        <v>1081</v>
      </c>
      <c r="H848" s="71"/>
      <c r="I848" t="s">
        <v>435</v>
      </c>
      <c r="J848" s="187">
        <v>1</v>
      </c>
      <c r="K848" t="s">
        <v>1385</v>
      </c>
      <c r="L848" s="185"/>
      <c r="M848" s="188">
        <v>45566</v>
      </c>
      <c r="N848" s="71"/>
      <c r="Q848" s="71"/>
      <c r="R848" s="71"/>
      <c r="S848" t="s">
        <v>1115</v>
      </c>
      <c r="T848" s="71"/>
    </row>
    <row r="849" spans="1:20" x14ac:dyDescent="0.3">
      <c r="A849" s="72">
        <f>IFERROR(VLOOKUP($G849,Conf!$B:$C,2,0),E849)</f>
        <v>30</v>
      </c>
      <c r="B849" s="72" t="str">
        <f ca="1">IF(D849="Inativo","Inativo",IFERROR(VLOOKUP($G849,Conf!$O:$Q,2,0),VLOOKUP($S849,Conf!$K:$M,2,0)))</f>
        <v>DEPOSITO</v>
      </c>
      <c r="C849" s="72" t="str">
        <f ca="1">IF(D849="Inativo","Inativo",IFERROR(VLOOKUP($G849,Conf!$O:$Q,3,0),IFERROR(VLOOKUP($G849,Conf!$E:$F,2,0),VLOOKUP($S849,Conf!$K:$M,3,0))))</f>
        <v>EMPILHADEIRA</v>
      </c>
      <c r="D849" s="72" t="str">
        <f ca="1">IFERROR(IF(TODAY()-K849&gt;365,"Inativo",IF(J849=2,"Férias",IF(J849=7,"Demitido","Afastamento"))),VLOOKUP(J849,Conf!$H:$I,2,0))</f>
        <v>Ativos</v>
      </c>
      <c r="E849" s="187">
        <v>30</v>
      </c>
      <c r="F849" s="187">
        <v>117</v>
      </c>
      <c r="G849" t="s">
        <v>1118</v>
      </c>
      <c r="H849" s="71"/>
      <c r="I849" t="s">
        <v>435</v>
      </c>
      <c r="J849" s="187">
        <v>1</v>
      </c>
      <c r="K849" t="s">
        <v>1385</v>
      </c>
      <c r="L849" s="185"/>
      <c r="M849" s="188">
        <v>42558</v>
      </c>
      <c r="N849" s="71"/>
      <c r="O849" s="71"/>
      <c r="P849" s="71"/>
      <c r="Q849" s="71"/>
      <c r="R849" s="71"/>
      <c r="S849" t="s">
        <v>1115</v>
      </c>
      <c r="T849" s="71"/>
    </row>
    <row r="850" spans="1:20" x14ac:dyDescent="0.3">
      <c r="A850" s="72">
        <f>IFERROR(VLOOKUP($G850,Conf!$B:$C,2,0),E850)</f>
        <v>30</v>
      </c>
      <c r="B850" s="72" t="str">
        <f ca="1">IF(D850="Inativo","Inativo",IFERROR(VLOOKUP($G850,Conf!$O:$Q,2,0),VLOOKUP($S850,Conf!$K:$M,2,0)))</f>
        <v>DEPOSITO</v>
      </c>
      <c r="C850" s="72" t="str">
        <f ca="1">IF(D850="Inativo","Inativo",IFERROR(VLOOKUP($G850,Conf!$O:$Q,3,0),IFERROR(VLOOKUP($G850,Conf!$E:$F,2,0),VLOOKUP($S850,Conf!$K:$M,3,0))))</f>
        <v>ENCARREGADO</v>
      </c>
      <c r="D850" s="72" t="str">
        <f ca="1">IFERROR(IF(TODAY()-K850&gt;365,"Inativo",IF(J850=2,"Férias",IF(J850=7,"Demitido","Afastamento"))),VLOOKUP(J850,Conf!$H:$I,2,0))</f>
        <v>Ativos</v>
      </c>
      <c r="E850" s="187">
        <v>30</v>
      </c>
      <c r="F850" s="187">
        <v>313</v>
      </c>
      <c r="G850" t="s">
        <v>1122</v>
      </c>
      <c r="H850" s="71"/>
      <c r="I850" t="s">
        <v>606</v>
      </c>
      <c r="J850" s="187">
        <v>1</v>
      </c>
      <c r="K850" t="s">
        <v>1385</v>
      </c>
      <c r="L850" s="185"/>
      <c r="M850" s="188">
        <v>45327</v>
      </c>
      <c r="N850" s="71"/>
      <c r="Q850" s="71"/>
      <c r="R850" s="71"/>
      <c r="S850" t="s">
        <v>1123</v>
      </c>
      <c r="T850" s="71"/>
    </row>
    <row r="851" spans="1:20" x14ac:dyDescent="0.3">
      <c r="A851" s="72">
        <f>IFERROR(VLOOKUP($G851,Conf!$B:$C,2,0),E851)</f>
        <v>30</v>
      </c>
      <c r="B851" s="72" t="str">
        <f ca="1">IF(D851="Inativo","Inativo",IFERROR(VLOOKUP($G851,Conf!$O:$Q,2,0),VLOOKUP($S851,Conf!$K:$M,2,0)))</f>
        <v>DEPOSITO</v>
      </c>
      <c r="C851" s="72" t="str">
        <f ca="1">IF(D851="Inativo","Inativo",IFERROR(VLOOKUP($G851,Conf!$O:$Q,3,0),IFERROR(VLOOKUP($G851,Conf!$E:$F,2,0),VLOOKUP($S851,Conf!$K:$M,3,0))))</f>
        <v>ENCARREGADO</v>
      </c>
      <c r="D851" s="72" t="str">
        <f ca="1">IFERROR(IF(TODAY()-K851&gt;365,"Inativo",IF(J851=2,"Férias",IF(J851=7,"Demitido","Afastamento"))),VLOOKUP(J851,Conf!$H:$I,2,0))</f>
        <v>Ativos</v>
      </c>
      <c r="E851" s="187">
        <v>30</v>
      </c>
      <c r="F851" s="187">
        <v>395</v>
      </c>
      <c r="G851" t="s">
        <v>1128</v>
      </c>
      <c r="H851" s="71"/>
      <c r="I851" t="s">
        <v>350</v>
      </c>
      <c r="J851" s="187">
        <v>1</v>
      </c>
      <c r="K851" t="s">
        <v>1385</v>
      </c>
      <c r="L851" s="185"/>
      <c r="M851" s="188">
        <v>46125</v>
      </c>
      <c r="N851" s="71"/>
      <c r="Q851" s="71"/>
      <c r="R851" s="71"/>
      <c r="S851" t="s">
        <v>1129</v>
      </c>
      <c r="T851" s="71"/>
    </row>
    <row r="852" spans="1:20" x14ac:dyDescent="0.3">
      <c r="A852" s="72">
        <f>IFERROR(VLOOKUP($G852,Conf!$B:$C,2,0),E852)</f>
        <v>30</v>
      </c>
      <c r="B852" s="72" t="str">
        <f ca="1">IF(D852="Inativo","Inativo",IFERROR(VLOOKUP($G852,Conf!$O:$Q,2,0),VLOOKUP($S852,Conf!$K:$M,2,0)))</f>
        <v>DEPOSITO</v>
      </c>
      <c r="C852" s="72" t="str">
        <f ca="1">IF(D852="Inativo","Inativo",IFERROR(VLOOKUP($G852,Conf!$O:$Q,3,0),IFERROR(VLOOKUP($G852,Conf!$E:$F,2,0),VLOOKUP($S852,Conf!$K:$M,3,0))))</f>
        <v>ENCARREGADO</v>
      </c>
      <c r="D852" s="72" t="str">
        <f ca="1">IFERROR(IF(TODAY()-K852&gt;365,"Inativo",IF(J852=2,"Férias",IF(J852=7,"Demitido","Afastamento"))),VLOOKUP(J852,Conf!$H:$I,2,0))</f>
        <v>Ativos</v>
      </c>
      <c r="E852" s="187">
        <v>30</v>
      </c>
      <c r="F852" s="187">
        <v>49</v>
      </c>
      <c r="G852" t="s">
        <v>1130</v>
      </c>
      <c r="H852" s="71"/>
      <c r="I852" t="s">
        <v>350</v>
      </c>
      <c r="J852" s="187">
        <v>1</v>
      </c>
      <c r="K852" t="s">
        <v>1385</v>
      </c>
      <c r="L852" s="185"/>
      <c r="M852" s="188">
        <v>41276</v>
      </c>
      <c r="N852" s="71"/>
      <c r="Q852" s="71"/>
      <c r="R852" s="71"/>
      <c r="S852" t="s">
        <v>1129</v>
      </c>
      <c r="T852" s="71"/>
    </row>
    <row r="853" spans="1:20" x14ac:dyDescent="0.3">
      <c r="A853" s="72">
        <f>IFERROR(VLOOKUP($G853,Conf!$B:$C,2,0),E853)</f>
        <v>30</v>
      </c>
      <c r="B853" s="72" t="str">
        <f ca="1">IF(D853="Inativo","Inativo",IFERROR(VLOOKUP($G853,Conf!$O:$Q,2,0),VLOOKUP($S853,Conf!$K:$M,2,0)))</f>
        <v>DEPOSITO</v>
      </c>
      <c r="C853" s="72" t="str">
        <f ca="1">IF(D853="Inativo","Inativo",IFERROR(VLOOKUP($G853,Conf!$O:$Q,3,0),IFERROR(VLOOKUP($G853,Conf!$E:$F,2,0),VLOOKUP($S853,Conf!$K:$M,3,0))))</f>
        <v>ENCARREGADO</v>
      </c>
      <c r="D853" s="72" t="str">
        <f ca="1">IFERROR(IF(TODAY()-K853&gt;365,"Inativo",IF(J853=2,"Férias",IF(J853=7,"Demitido","Afastamento"))),VLOOKUP(J853,Conf!$H:$I,2,0))</f>
        <v>Ativos</v>
      </c>
      <c r="E853" s="187">
        <v>30</v>
      </c>
      <c r="F853" s="187">
        <v>360</v>
      </c>
      <c r="G853" t="s">
        <v>1126</v>
      </c>
      <c r="H853" s="71"/>
      <c r="I853" t="s">
        <v>435</v>
      </c>
      <c r="J853" s="187">
        <v>1</v>
      </c>
      <c r="K853" t="s">
        <v>1385</v>
      </c>
      <c r="L853" s="185"/>
      <c r="M853" s="188">
        <v>45813</v>
      </c>
      <c r="N853" s="71"/>
      <c r="Q853" s="71"/>
      <c r="R853" s="71"/>
      <c r="S853" t="s">
        <v>1127</v>
      </c>
      <c r="T853" s="71"/>
    </row>
    <row r="854" spans="1:20" x14ac:dyDescent="0.3">
      <c r="A854" s="72">
        <f>IFERROR(VLOOKUP($G854,Conf!$B:$C,2,0),E854)</f>
        <v>30</v>
      </c>
      <c r="B854" s="72" t="str">
        <f ca="1">IF(D854="Inativo","Inativo",IFERROR(VLOOKUP($G854,Conf!$O:$Q,2,0),VLOOKUP($S854,Conf!$K:$M,2,0)))</f>
        <v>FRENTE DE CAIXA</v>
      </c>
      <c r="C854" s="72" t="str">
        <f ca="1">IF(D854="Inativo","Inativo",IFERROR(VLOOKUP($G854,Conf!$O:$Q,3,0),IFERROR(VLOOKUP($G854,Conf!$E:$F,2,0),VLOOKUP($S854,Conf!$K:$M,3,0))))</f>
        <v>ENTREGADOR</v>
      </c>
      <c r="D854" s="72" t="str">
        <f ca="1">IFERROR(IF(TODAY()-K854&gt;365,"Inativo",IF(J854=2,"Férias",IF(J854=7,"Demitido","Afastamento"))),VLOOKUP(J854,Conf!$H:$I,2,0))</f>
        <v>Férias</v>
      </c>
      <c r="E854" s="187">
        <v>30</v>
      </c>
      <c r="F854" s="187">
        <v>138</v>
      </c>
      <c r="G854" t="s">
        <v>1135</v>
      </c>
      <c r="H854" s="71"/>
      <c r="I854" t="s">
        <v>604</v>
      </c>
      <c r="J854" s="187">
        <v>2</v>
      </c>
      <c r="K854" t="s">
        <v>1629</v>
      </c>
      <c r="L854" s="185"/>
      <c r="M854" s="188">
        <v>43132</v>
      </c>
      <c r="N854" s="71"/>
      <c r="O854" s="71"/>
      <c r="P854" s="71"/>
      <c r="Q854" s="71"/>
      <c r="R854" s="71"/>
      <c r="S854" t="s">
        <v>1136</v>
      </c>
      <c r="T854" s="71"/>
    </row>
    <row r="855" spans="1:20" x14ac:dyDescent="0.3">
      <c r="A855" s="72">
        <f>IFERROR(VLOOKUP($G855,Conf!$B:$C,2,0),E855)</f>
        <v>30</v>
      </c>
      <c r="B855" s="72" t="str">
        <f ca="1">IF(D855="Inativo","Inativo",IFERROR(VLOOKUP($G855,Conf!$O:$Q,2,0),VLOOKUP($S855,Conf!$K:$M,2,0)))</f>
        <v>FRENTE DE CAIXA</v>
      </c>
      <c r="C855" s="72" t="str">
        <f ca="1">IF(D855="Inativo","Inativo",IFERROR(VLOOKUP($G855,Conf!$O:$Q,3,0),IFERROR(VLOOKUP($G855,Conf!$E:$F,2,0),VLOOKUP($S855,Conf!$K:$M,3,0))))</f>
        <v>ENTREGADOR</v>
      </c>
      <c r="D855" s="72" t="str">
        <f ca="1">IFERROR(IF(TODAY()-K855&gt;365,"Inativo",IF(J855=2,"Férias",IF(J855=7,"Demitido","Afastamento"))),VLOOKUP(J855,Conf!$H:$I,2,0))</f>
        <v>Ativos</v>
      </c>
      <c r="E855" s="187">
        <v>30</v>
      </c>
      <c r="F855" s="187">
        <v>5</v>
      </c>
      <c r="G855" t="s">
        <v>1137</v>
      </c>
      <c r="H855" s="71"/>
      <c r="I855" t="s">
        <v>435</v>
      </c>
      <c r="J855" s="187">
        <v>1</v>
      </c>
      <c r="K855" t="s">
        <v>1385</v>
      </c>
      <c r="L855" s="185"/>
      <c r="M855" s="188">
        <v>43683</v>
      </c>
      <c r="N855" s="71"/>
      <c r="Q855" s="71"/>
      <c r="R855" s="71"/>
      <c r="S855" t="s">
        <v>263</v>
      </c>
      <c r="T855" s="71"/>
    </row>
    <row r="856" spans="1:20" x14ac:dyDescent="0.3">
      <c r="A856" s="72">
        <f>IFERROR(VLOOKUP($G856,Conf!$B:$C,2,0),E856)</f>
        <v>30</v>
      </c>
      <c r="B856" s="72" t="str">
        <f ca="1">IF(D856="Inativo","Inativo",IFERROR(VLOOKUP($G856,Conf!$O:$Q,2,0),VLOOKUP($S856,Conf!$K:$M,2,0)))</f>
        <v>FRENTE DE CAIXA</v>
      </c>
      <c r="C856" s="72" t="str">
        <f ca="1">IF(D856="Inativo","Inativo",IFERROR(VLOOKUP($G856,Conf!$O:$Q,3,0),IFERROR(VLOOKUP($G856,Conf!$E:$F,2,0),VLOOKUP($S856,Conf!$K:$M,3,0))))</f>
        <v>ENTREGADOR</v>
      </c>
      <c r="D856" s="72" t="str">
        <f ca="1">IFERROR(IF(TODAY()-K856&gt;365,"Inativo",IF(J856=2,"Férias",IF(J856=7,"Demitido","Afastamento"))),VLOOKUP(J856,Conf!$H:$I,2,0))</f>
        <v>Ativos</v>
      </c>
      <c r="E856" s="187">
        <v>30</v>
      </c>
      <c r="F856" s="187">
        <v>11</v>
      </c>
      <c r="G856" t="s">
        <v>1138</v>
      </c>
      <c r="H856" s="71"/>
      <c r="I856" t="s">
        <v>604</v>
      </c>
      <c r="J856" s="187">
        <v>1</v>
      </c>
      <c r="K856" t="s">
        <v>1385</v>
      </c>
      <c r="L856" s="185"/>
      <c r="M856" s="188">
        <v>40634</v>
      </c>
      <c r="N856" s="71"/>
      <c r="Q856" s="71"/>
      <c r="R856" s="71"/>
      <c r="S856" t="s">
        <v>1136</v>
      </c>
      <c r="T856" s="71"/>
    </row>
    <row r="857" spans="1:20" x14ac:dyDescent="0.3">
      <c r="A857" s="72">
        <f>IFERROR(VLOOKUP($G857,Conf!$B:$C,2,0),E857)</f>
        <v>30</v>
      </c>
      <c r="B857" s="72" t="str">
        <f ca="1">IF(D857="Inativo","Inativo",IFERROR(VLOOKUP($G857,Conf!$O:$Q,2,0),VLOOKUP($S857,Conf!$K:$M,2,0)))</f>
        <v>FRENTE DE CAIXA</v>
      </c>
      <c r="C857" s="72" t="str">
        <f ca="1">IF(D857="Inativo","Inativo",IFERROR(VLOOKUP($G857,Conf!$O:$Q,3,0),IFERROR(VLOOKUP($G857,Conf!$E:$F,2,0),VLOOKUP($S857,Conf!$K:$M,3,0))))</f>
        <v>ENTREGADOR</v>
      </c>
      <c r="D857" s="72" t="str">
        <f ca="1">IFERROR(IF(TODAY()-K857&gt;365,"Inativo",IF(J857=2,"Férias",IF(J857=7,"Demitido","Afastamento"))),VLOOKUP(J857,Conf!$H:$I,2,0))</f>
        <v>Ativos</v>
      </c>
      <c r="E857" s="187">
        <v>30</v>
      </c>
      <c r="F857" s="187">
        <v>6</v>
      </c>
      <c r="G857" t="s">
        <v>1139</v>
      </c>
      <c r="H857" s="71"/>
      <c r="I857" t="s">
        <v>998</v>
      </c>
      <c r="J857" s="187">
        <v>1</v>
      </c>
      <c r="K857" t="s">
        <v>1385</v>
      </c>
      <c r="L857" s="185"/>
      <c r="M857" s="188">
        <v>43710</v>
      </c>
      <c r="N857" s="71"/>
      <c r="Q857" s="71"/>
      <c r="R857" s="71"/>
      <c r="S857" t="s">
        <v>263</v>
      </c>
      <c r="T857" s="71"/>
    </row>
    <row r="858" spans="1:20" x14ac:dyDescent="0.3">
      <c r="A858" s="72">
        <f>IFERROR(VLOOKUP($G858,Conf!$B:$C,2,0),E858)</f>
        <v>30</v>
      </c>
      <c r="B858" s="72" t="str">
        <f ca="1">IF(D858="Inativo","Inativo",IFERROR(VLOOKUP($G858,Conf!$O:$Q,2,0),VLOOKUP($S858,Conf!$K:$M,2,0)))</f>
        <v>FRENTE DE CAIXA</v>
      </c>
      <c r="C858" s="72" t="str">
        <f ca="1">IF(D858="Inativo","Inativo",IFERROR(VLOOKUP($G858,Conf!$O:$Q,3,0),IFERROR(VLOOKUP($G858,Conf!$E:$F,2,0),VLOOKUP($S858,Conf!$K:$M,3,0))))</f>
        <v>ENTREGADOR</v>
      </c>
      <c r="D858" s="72" t="str">
        <f ca="1">IFERROR(IF(TODAY()-K858&gt;365,"Inativo",IF(J858=2,"Férias",IF(J858=7,"Demitido","Afastamento"))),VLOOKUP(J858,Conf!$H:$I,2,0))</f>
        <v>Ativos</v>
      </c>
      <c r="E858" s="187">
        <v>30</v>
      </c>
      <c r="F858" s="187">
        <v>10</v>
      </c>
      <c r="G858" t="s">
        <v>1140</v>
      </c>
      <c r="H858" s="71"/>
      <c r="I858" t="s">
        <v>1141</v>
      </c>
      <c r="J858" s="187">
        <v>1</v>
      </c>
      <c r="K858" t="s">
        <v>1385</v>
      </c>
      <c r="L858" s="185"/>
      <c r="M858" s="188">
        <v>43864</v>
      </c>
      <c r="N858" s="71"/>
      <c r="Q858" s="71"/>
      <c r="R858" s="71"/>
      <c r="S858" t="s">
        <v>404</v>
      </c>
      <c r="T858" s="71"/>
    </row>
    <row r="859" spans="1:20" x14ac:dyDescent="0.3">
      <c r="A859" s="72">
        <f>IFERROR(VLOOKUP($G859,Conf!$B:$C,2,0),E859)</f>
        <v>30</v>
      </c>
      <c r="B859" s="72" t="str">
        <f ca="1">IF(D859="Inativo","Inativo",IFERROR(VLOOKUP($G859,Conf!$O:$Q,2,0),VLOOKUP($S859,Conf!$K:$M,2,0)))</f>
        <v>FRENTE DE CAIXA</v>
      </c>
      <c r="C859" s="72" t="str">
        <f ca="1">IF(D859="Inativo","Inativo",IFERROR(VLOOKUP($G859,Conf!$O:$Q,3,0),IFERROR(VLOOKUP($G859,Conf!$E:$F,2,0),VLOOKUP($S859,Conf!$K:$M,3,0))))</f>
        <v>ENTREGADOR</v>
      </c>
      <c r="D859" s="72" t="str">
        <f ca="1">IFERROR(IF(TODAY()-K859&gt;365,"Inativo",IF(J859=2,"Férias",IF(J859=7,"Demitido","Afastamento"))),VLOOKUP(J859,Conf!$H:$I,2,0))</f>
        <v>Ativos</v>
      </c>
      <c r="E859" s="187">
        <v>30</v>
      </c>
      <c r="F859" s="187">
        <v>167</v>
      </c>
      <c r="G859" t="s">
        <v>1142</v>
      </c>
      <c r="H859" s="71"/>
      <c r="I859" t="s">
        <v>435</v>
      </c>
      <c r="J859" s="187">
        <v>1</v>
      </c>
      <c r="K859" t="s">
        <v>1385</v>
      </c>
      <c r="L859" s="185"/>
      <c r="M859" s="188">
        <v>43634</v>
      </c>
      <c r="N859" s="71"/>
      <c r="Q859" s="71"/>
      <c r="R859" s="71"/>
      <c r="S859" t="s">
        <v>1136</v>
      </c>
      <c r="T859" s="71"/>
    </row>
    <row r="860" spans="1:20" x14ac:dyDescent="0.3">
      <c r="A860" s="72">
        <f>IFERROR(VLOOKUP($G860,Conf!$B:$C,2,0),E860)</f>
        <v>30</v>
      </c>
      <c r="B860" s="72" t="str">
        <f ca="1">IF(D860="Inativo","Inativo",IFERROR(VLOOKUP($G860,Conf!$O:$Q,2,0),VLOOKUP($S860,Conf!$K:$M,2,0)))</f>
        <v>FRENTE DE CAIXA</v>
      </c>
      <c r="C860" s="72" t="str">
        <f ca="1">IF(D860="Inativo","Inativo",IFERROR(VLOOKUP($G860,Conf!$O:$Q,3,0),IFERROR(VLOOKUP($G860,Conf!$E:$F,2,0),VLOOKUP($S860,Conf!$K:$M,3,0))))</f>
        <v>ENTREGADOR</v>
      </c>
      <c r="D860" s="72" t="str">
        <f ca="1">IFERROR(IF(TODAY()-K860&gt;365,"Inativo",IF(J860=2,"Férias",IF(J860=7,"Demitido","Afastamento"))),VLOOKUP(J860,Conf!$H:$I,2,0))</f>
        <v>Ativos</v>
      </c>
      <c r="E860" s="187">
        <v>30</v>
      </c>
      <c r="F860" s="187">
        <v>1</v>
      </c>
      <c r="G860" t="s">
        <v>1143</v>
      </c>
      <c r="H860" s="71"/>
      <c r="I860" t="s">
        <v>435</v>
      </c>
      <c r="J860" s="187">
        <v>1</v>
      </c>
      <c r="K860" t="s">
        <v>1385</v>
      </c>
      <c r="L860" s="185"/>
      <c r="M860" s="188">
        <v>43467</v>
      </c>
      <c r="N860" s="71"/>
      <c r="Q860" s="71"/>
      <c r="R860" s="71"/>
      <c r="S860" t="s">
        <v>263</v>
      </c>
      <c r="T860" s="71"/>
    </row>
    <row r="861" spans="1:20" x14ac:dyDescent="0.3">
      <c r="A861" s="72">
        <f>IFERROR(VLOOKUP($G861,Conf!$B:$C,2,0),E861)</f>
        <v>30</v>
      </c>
      <c r="B861" s="72" t="str">
        <f ca="1">IF(D861="Inativo","Inativo",IFERROR(VLOOKUP($G861,Conf!$O:$Q,2,0),VLOOKUP($S861,Conf!$K:$M,2,0)))</f>
        <v>FRENTE DE CAIXA</v>
      </c>
      <c r="C861" s="72" t="str">
        <f ca="1">IF(D861="Inativo","Inativo",IFERROR(VLOOKUP($G861,Conf!$O:$Q,3,0),IFERROR(VLOOKUP($G861,Conf!$E:$F,2,0),VLOOKUP($S861,Conf!$K:$M,3,0))))</f>
        <v>ENTREGADOR</v>
      </c>
      <c r="D861" s="72" t="str">
        <f ca="1">IFERROR(IF(TODAY()-K861&gt;365,"Inativo",IF(J861=2,"Férias",IF(J861=7,"Demitido","Afastamento"))),VLOOKUP(J861,Conf!$H:$I,2,0))</f>
        <v>Ativos</v>
      </c>
      <c r="E861" s="187">
        <v>30</v>
      </c>
      <c r="F861" s="187">
        <v>17</v>
      </c>
      <c r="G861" t="s">
        <v>1144</v>
      </c>
      <c r="H861" s="71"/>
      <c r="I861" t="s">
        <v>998</v>
      </c>
      <c r="J861" s="187">
        <v>1</v>
      </c>
      <c r="K861" t="s">
        <v>1385</v>
      </c>
      <c r="L861" s="185"/>
      <c r="M861" s="188">
        <v>44623</v>
      </c>
      <c r="N861" s="71"/>
      <c r="Q861" s="71"/>
      <c r="R861" s="71"/>
      <c r="S861" t="s">
        <v>263</v>
      </c>
      <c r="T861" s="71"/>
    </row>
    <row r="862" spans="1:20" x14ac:dyDescent="0.3">
      <c r="A862" s="72">
        <f>IFERROR(VLOOKUP($G862,Conf!$B:$C,2,0),E862)</f>
        <v>30</v>
      </c>
      <c r="B862" s="72" t="str">
        <f ca="1">IF(D862="Inativo","Inativo",IFERROR(VLOOKUP($G862,Conf!$O:$Q,2,0),VLOOKUP($S862,Conf!$K:$M,2,0)))</f>
        <v>Inativo</v>
      </c>
      <c r="C862" s="72" t="str">
        <f ca="1">IF(D862="Inativo","Inativo",IFERROR(VLOOKUP($G862,Conf!$O:$Q,3,0),IFERROR(VLOOKUP($G862,Conf!$E:$F,2,0),VLOOKUP($S862,Conf!$K:$M,3,0))))</f>
        <v>Inativo</v>
      </c>
      <c r="D862" s="72" t="str">
        <f ca="1">IFERROR(IF(TODAY()-K862&gt;365,"Inativo",IF(J862=2,"Férias",IF(J862=7,"Demitido","Afastamento"))),VLOOKUP(J862,Conf!$H:$I,2,0))</f>
        <v>Inativo</v>
      </c>
      <c r="E862" s="187">
        <v>30</v>
      </c>
      <c r="F862" s="187">
        <v>50</v>
      </c>
      <c r="G862" t="s">
        <v>1145</v>
      </c>
      <c r="H862" s="71"/>
      <c r="I862" t="s">
        <v>220</v>
      </c>
      <c r="J862" s="187">
        <v>3</v>
      </c>
      <c r="K862" t="s">
        <v>1146</v>
      </c>
      <c r="L862" s="185"/>
      <c r="M862" s="188">
        <v>44809</v>
      </c>
      <c r="N862" s="71"/>
      <c r="O862" s="71"/>
      <c r="P862" s="71"/>
      <c r="Q862" s="71"/>
      <c r="R862" s="71"/>
      <c r="S862" t="s">
        <v>1147</v>
      </c>
      <c r="T862" s="71"/>
    </row>
    <row r="863" spans="1:20" x14ac:dyDescent="0.3">
      <c r="A863" s="72">
        <f>IFERROR(VLOOKUP($G863,Conf!$B:$C,2,0),E863)</f>
        <v>30</v>
      </c>
      <c r="B863" s="72" t="str">
        <f ca="1">IF(D863="Inativo","Inativo",IFERROR(VLOOKUP($G863,Conf!$O:$Q,2,0),VLOOKUP($S863,Conf!$K:$M,2,0)))</f>
        <v>OPERACIONAL</v>
      </c>
      <c r="C863" s="72" t="str">
        <f ca="1">IF(D863="Inativo","Inativo",IFERROR(VLOOKUP($G863,Conf!$O:$Q,3,0),IFERROR(VLOOKUP($G863,Conf!$E:$F,2,0),VLOOKUP($S863,Conf!$K:$M,3,0))))</f>
        <v>ELETRICISTA</v>
      </c>
      <c r="D863" s="72" t="str">
        <f ca="1">IFERROR(IF(TODAY()-K863&gt;365,"Inativo",IF(J863=2,"Férias",IF(J863=7,"Demitido","Afastamento"))),VLOOKUP(J863,Conf!$H:$I,2,0))</f>
        <v>Ativos</v>
      </c>
      <c r="E863" s="187">
        <v>30</v>
      </c>
      <c r="F863" s="187">
        <v>66</v>
      </c>
      <c r="G863" t="s">
        <v>1153</v>
      </c>
      <c r="H863" s="71"/>
      <c r="I863" t="s">
        <v>435</v>
      </c>
      <c r="J863" s="187">
        <v>1</v>
      </c>
      <c r="K863" t="s">
        <v>1385</v>
      </c>
      <c r="L863" s="185"/>
      <c r="M863" s="188">
        <v>45629</v>
      </c>
      <c r="N863" s="71"/>
      <c r="Q863" s="71"/>
      <c r="R863" s="71"/>
      <c r="S863" t="s">
        <v>1154</v>
      </c>
      <c r="T863" s="71"/>
    </row>
    <row r="864" spans="1:20" x14ac:dyDescent="0.3">
      <c r="A864" s="72">
        <f>IFERROR(VLOOKUP($G864,Conf!$B:$C,2,0),E864)</f>
        <v>30</v>
      </c>
      <c r="B864" s="72" t="str">
        <f ca="1">IF(D864="Inativo","Inativo",IFERROR(VLOOKUP($G864,Conf!$O:$Q,2,0),VLOOKUP($S864,Conf!$K:$M,2,0)))</f>
        <v>OPERACIONAL</v>
      </c>
      <c r="C864" s="72" t="str">
        <f ca="1">IF(D864="Inativo","Inativo",IFERROR(VLOOKUP($G864,Conf!$O:$Q,3,0),IFERROR(VLOOKUP($G864,Conf!$E:$F,2,0),VLOOKUP($S864,Conf!$K:$M,3,0))))</f>
        <v>ELETRICISTA</v>
      </c>
      <c r="D864" s="72" t="str">
        <f ca="1">IFERROR(IF(TODAY()-K864&gt;365,"Inativo",IF(J864=2,"Férias",IF(J864=7,"Demitido","Afastamento"))),VLOOKUP(J864,Conf!$H:$I,2,0))</f>
        <v>Ativos</v>
      </c>
      <c r="E864" s="187">
        <v>30</v>
      </c>
      <c r="F864" s="187">
        <v>21</v>
      </c>
      <c r="G864" t="s">
        <v>1155</v>
      </c>
      <c r="H864" s="71"/>
      <c r="I864" t="s">
        <v>435</v>
      </c>
      <c r="J864" s="187">
        <v>1</v>
      </c>
      <c r="K864" t="s">
        <v>1385</v>
      </c>
      <c r="L864" s="185"/>
      <c r="M864" s="188">
        <v>43525</v>
      </c>
      <c r="N864" s="71"/>
      <c r="Q864" s="71"/>
      <c r="R864" s="71"/>
      <c r="S864" t="s">
        <v>1154</v>
      </c>
      <c r="T864" s="71"/>
    </row>
    <row r="865" spans="1:20" x14ac:dyDescent="0.3">
      <c r="A865" s="72">
        <f>IFERROR(VLOOKUP($G865,Conf!$B:$C,2,0),E865)</f>
        <v>30</v>
      </c>
      <c r="B865" s="72" t="str">
        <f ca="1">IF(D865="Inativo","Inativo",IFERROR(VLOOKUP($G865,Conf!$O:$Q,2,0),VLOOKUP($S865,Conf!$K:$M,2,0)))</f>
        <v>OPERACIONAL</v>
      </c>
      <c r="C865" s="72" t="str">
        <f ca="1">IF(D865="Inativo","Inativo",IFERROR(VLOOKUP($G865,Conf!$O:$Q,3,0),IFERROR(VLOOKUP($G865,Conf!$E:$F,2,0),VLOOKUP($S865,Conf!$K:$M,3,0))))</f>
        <v>ELETRICISTA</v>
      </c>
      <c r="D865" s="72" t="str">
        <f ca="1">IFERROR(IF(TODAY()-K865&gt;365,"Inativo",IF(J865=2,"Férias",IF(J865=7,"Demitido","Afastamento"))),VLOOKUP(J865,Conf!$H:$I,2,0))</f>
        <v>Ativos</v>
      </c>
      <c r="E865" s="187">
        <v>30</v>
      </c>
      <c r="F865" s="187">
        <v>41</v>
      </c>
      <c r="G865" t="s">
        <v>1156</v>
      </c>
      <c r="H865" s="71"/>
      <c r="I865" t="s">
        <v>435</v>
      </c>
      <c r="J865" s="187">
        <v>1</v>
      </c>
      <c r="K865" t="s">
        <v>1385</v>
      </c>
      <c r="L865" s="185"/>
      <c r="M865" s="188">
        <v>44544</v>
      </c>
      <c r="N865" s="71"/>
      <c r="Q865" s="71"/>
      <c r="R865" s="71"/>
      <c r="S865" t="s">
        <v>1154</v>
      </c>
    </row>
    <row r="866" spans="1:20" x14ac:dyDescent="0.3">
      <c r="A866" s="72">
        <f>IFERROR(VLOOKUP($G866,Conf!$B:$C,2,0),E866)</f>
        <v>30</v>
      </c>
      <c r="B866" s="72" t="str">
        <f ca="1">IF(D866="Inativo","Inativo",IFERROR(VLOOKUP($G866,Conf!$O:$Q,2,0),VLOOKUP($S866,Conf!$K:$M,2,0)))</f>
        <v>OPERACIONAL</v>
      </c>
      <c r="C866" s="72" t="str">
        <f ca="1">IF(D866="Inativo","Inativo",IFERROR(VLOOKUP($G866,Conf!$O:$Q,3,0),IFERROR(VLOOKUP($G866,Conf!$E:$F,2,0),VLOOKUP($S866,Conf!$K:$M,3,0))))</f>
        <v>ELETRICISTA</v>
      </c>
      <c r="D866" s="72" t="str">
        <f ca="1">IFERROR(IF(TODAY()-K866&gt;365,"Inativo",IF(J866=2,"Férias",IF(J866=7,"Demitido","Afastamento"))),VLOOKUP(J866,Conf!$H:$I,2,0))</f>
        <v>Ativos</v>
      </c>
      <c r="E866" s="187">
        <v>30</v>
      </c>
      <c r="F866" s="187">
        <v>52</v>
      </c>
      <c r="G866" t="s">
        <v>1157</v>
      </c>
      <c r="I866" t="s">
        <v>435</v>
      </c>
      <c r="J866" s="187">
        <v>1</v>
      </c>
      <c r="K866" t="s">
        <v>1385</v>
      </c>
      <c r="M866" s="188">
        <v>44837</v>
      </c>
      <c r="S866" t="s">
        <v>1154</v>
      </c>
      <c r="T866" s="71"/>
    </row>
    <row r="867" spans="1:20" x14ac:dyDescent="0.3">
      <c r="A867" s="72">
        <f>IFERROR(VLOOKUP($G867,Conf!$B:$C,2,0),E867)</f>
        <v>30</v>
      </c>
      <c r="B867" s="72" t="str">
        <f ca="1">IF(D867="Inativo","Inativo",IFERROR(VLOOKUP($G867,Conf!$O:$Q,2,0),VLOOKUP($S867,Conf!$K:$M,2,0)))</f>
        <v>OPERACIONAL</v>
      </c>
      <c r="C867" s="72" t="str">
        <f ca="1">IF(D867="Inativo","Inativo",IFERROR(VLOOKUP($G867,Conf!$O:$Q,3,0),IFERROR(VLOOKUP($G867,Conf!$E:$F,2,0),VLOOKUP($S867,Conf!$K:$M,3,0))))</f>
        <v>ELETRICISTA</v>
      </c>
      <c r="D867" s="72" t="str">
        <f ca="1">IFERROR(IF(TODAY()-K867&gt;365,"Inativo",IF(J867=2,"Férias",IF(J867=7,"Demitido","Afastamento"))),VLOOKUP(J867,Conf!$H:$I,2,0))</f>
        <v>Ativos</v>
      </c>
      <c r="E867" s="187">
        <v>30</v>
      </c>
      <c r="F867" s="187">
        <v>60</v>
      </c>
      <c r="G867" t="s">
        <v>1158</v>
      </c>
      <c r="H867" s="71"/>
      <c r="I867" t="s">
        <v>435</v>
      </c>
      <c r="J867" s="187">
        <v>1</v>
      </c>
      <c r="K867" t="s">
        <v>1385</v>
      </c>
      <c r="L867" s="185"/>
      <c r="M867" s="188">
        <v>45223</v>
      </c>
      <c r="N867" s="71"/>
      <c r="O867" s="71"/>
      <c r="P867" s="71"/>
      <c r="Q867" s="71"/>
      <c r="R867" s="71"/>
      <c r="S867" t="s">
        <v>1159</v>
      </c>
    </row>
    <row r="868" spans="1:20" x14ac:dyDescent="0.3">
      <c r="A868" s="72">
        <f>IFERROR(VLOOKUP($G868,Conf!$B:$C,2,0),E868)</f>
        <v>30</v>
      </c>
      <c r="B868" s="72" t="str">
        <f ca="1">IF(D868="Inativo","Inativo",IFERROR(VLOOKUP($G868,Conf!$O:$Q,2,0),VLOOKUP($S868,Conf!$K:$M,2,0)))</f>
        <v>OPERACIONAL</v>
      </c>
      <c r="C868" s="72" t="str">
        <f ca="1">IF(D868="Inativo","Inativo",IFERROR(VLOOKUP($G868,Conf!$O:$Q,3,0),IFERROR(VLOOKUP($G868,Conf!$E:$F,2,0),VLOOKUP($S868,Conf!$K:$M,3,0))))</f>
        <v>ELETRICISTA</v>
      </c>
      <c r="D868" s="72" t="str">
        <f ca="1">IFERROR(IF(TODAY()-K868&gt;365,"Inativo",IF(J868=2,"Férias",IF(J868=7,"Demitido","Afastamento"))),VLOOKUP(J868,Conf!$H:$I,2,0))</f>
        <v>Ativos</v>
      </c>
      <c r="E868" s="187">
        <v>30</v>
      </c>
      <c r="F868" s="187">
        <v>73</v>
      </c>
      <c r="G868" t="s">
        <v>1654</v>
      </c>
      <c r="H868" s="71"/>
      <c r="I868" t="s">
        <v>1655</v>
      </c>
      <c r="J868" s="187">
        <v>1</v>
      </c>
      <c r="K868" t="s">
        <v>1385</v>
      </c>
      <c r="L868" s="185"/>
      <c r="M868" s="188">
        <v>46302</v>
      </c>
      <c r="N868" s="71"/>
      <c r="Q868" s="71"/>
      <c r="R868" s="71"/>
      <c r="S868" t="s">
        <v>1154</v>
      </c>
      <c r="T868" s="71"/>
    </row>
    <row r="869" spans="1:20" x14ac:dyDescent="0.3">
      <c r="A869" s="72">
        <f>IFERROR(VLOOKUP($G869,Conf!$B:$C,2,0),E869)</f>
        <v>30</v>
      </c>
      <c r="B869" s="72" t="str">
        <f ca="1">IF(D869="Inativo","Inativo",IFERROR(VLOOKUP($G869,Conf!$O:$Q,2,0),VLOOKUP($S869,Conf!$K:$M,2,0)))</f>
        <v>OPERACIONAL</v>
      </c>
      <c r="C869" s="72" t="str">
        <f ca="1">IF(D869="Inativo","Inativo",IFERROR(VLOOKUP($G869,Conf!$O:$Q,3,0),IFERROR(VLOOKUP($G869,Conf!$E:$F,2,0),VLOOKUP($S869,Conf!$K:$M,3,0))))</f>
        <v>ELETRICISTA</v>
      </c>
      <c r="D869" s="72" t="str">
        <f ca="1">IFERROR(IF(TODAY()-K869&gt;365,"Inativo",IF(J869=2,"Férias",IF(J869=7,"Demitido","Afastamento"))),VLOOKUP(J869,Conf!$H:$I,2,0))</f>
        <v>Ativos</v>
      </c>
      <c r="E869" s="187">
        <v>30</v>
      </c>
      <c r="F869" s="187">
        <v>20</v>
      </c>
      <c r="G869" t="s">
        <v>1160</v>
      </c>
      <c r="H869" s="71"/>
      <c r="I869" t="s">
        <v>1161</v>
      </c>
      <c r="J869" s="187">
        <v>1</v>
      </c>
      <c r="K869" t="s">
        <v>1385</v>
      </c>
      <c r="L869" s="185"/>
      <c r="M869" s="188">
        <v>43497</v>
      </c>
      <c r="N869" s="71"/>
      <c r="Q869" s="71"/>
      <c r="R869" s="71"/>
      <c r="S869" t="s">
        <v>1162</v>
      </c>
      <c r="T869" s="71"/>
    </row>
    <row r="870" spans="1:20" x14ac:dyDescent="0.3">
      <c r="A870" s="72">
        <f>IFERROR(VLOOKUP($G870,Conf!$B:$C,2,0),E870)</f>
        <v>30</v>
      </c>
      <c r="B870" s="72" t="str">
        <f ca="1">IF(D870="Inativo","Inativo",IFERROR(VLOOKUP($G870,Conf!$O:$Q,2,0),VLOOKUP($S870,Conf!$K:$M,2,0)))</f>
        <v>OPERACIONAL</v>
      </c>
      <c r="C870" s="72" t="str">
        <f ca="1">IF(D870="Inativo","Inativo",IFERROR(VLOOKUP($G870,Conf!$O:$Q,3,0),IFERROR(VLOOKUP($G870,Conf!$E:$F,2,0),VLOOKUP($S870,Conf!$K:$M,3,0))))</f>
        <v>ELETRICISTA</v>
      </c>
      <c r="D870" s="72" t="str">
        <f ca="1">IFERROR(IF(TODAY()-K870&gt;365,"Inativo",IF(J870=2,"Férias",IF(J870=7,"Demitido","Afastamento"))),VLOOKUP(J870,Conf!$H:$I,2,0))</f>
        <v>Ativos</v>
      </c>
      <c r="E870" s="187">
        <v>30</v>
      </c>
      <c r="F870" s="187">
        <v>17</v>
      </c>
      <c r="G870" t="s">
        <v>1163</v>
      </c>
      <c r="H870" s="71"/>
      <c r="I870" t="s">
        <v>435</v>
      </c>
      <c r="J870" s="187">
        <v>1</v>
      </c>
      <c r="K870" t="s">
        <v>1385</v>
      </c>
      <c r="L870" s="185"/>
      <c r="M870" s="188">
        <v>43885</v>
      </c>
      <c r="N870" s="71"/>
      <c r="Q870" s="71"/>
      <c r="R870" s="71"/>
      <c r="S870" t="s">
        <v>1154</v>
      </c>
      <c r="T870" s="71"/>
    </row>
    <row r="871" spans="1:20" x14ac:dyDescent="0.3">
      <c r="A871" s="72">
        <f>IFERROR(VLOOKUP($G871,Conf!$B:$C,2,0),E871)</f>
        <v>30</v>
      </c>
      <c r="B871" s="72" t="str">
        <f ca="1">IF(D871="Inativo","Inativo",IFERROR(VLOOKUP($G871,Conf!$O:$Q,2,0),VLOOKUP($S871,Conf!$K:$M,2,0)))</f>
        <v>OPERACIONAL</v>
      </c>
      <c r="C871" s="72" t="str">
        <f ca="1">IF(D871="Inativo","Inativo",IFERROR(VLOOKUP($G871,Conf!$O:$Q,3,0),IFERROR(VLOOKUP($G871,Conf!$E:$F,2,0),VLOOKUP($S871,Conf!$K:$M,3,0))))</f>
        <v>PEDREIRO</v>
      </c>
      <c r="D871" s="72" t="str">
        <f ca="1">IFERROR(IF(TODAY()-K871&gt;365,"Inativo",IF(J871=2,"Férias",IF(J871=7,"Demitido","Afastamento"))),VLOOKUP(J871,Conf!$H:$I,2,0))</f>
        <v>Ativos</v>
      </c>
      <c r="E871" s="187">
        <v>30</v>
      </c>
      <c r="F871" s="187">
        <v>69</v>
      </c>
      <c r="G871" t="s">
        <v>1166</v>
      </c>
      <c r="H871" s="71"/>
      <c r="I871" t="s">
        <v>1008</v>
      </c>
      <c r="J871" s="187">
        <v>1</v>
      </c>
      <c r="K871" t="s">
        <v>1385</v>
      </c>
      <c r="L871" s="185"/>
      <c r="M871" s="188">
        <v>46092</v>
      </c>
      <c r="N871" s="71"/>
      <c r="Q871" s="71"/>
      <c r="R871" s="71"/>
      <c r="S871" t="s">
        <v>1165</v>
      </c>
      <c r="T871" s="71"/>
    </row>
    <row r="872" spans="1:20" x14ac:dyDescent="0.3">
      <c r="A872" s="72">
        <f>IFERROR(VLOOKUP($G872,Conf!$B:$C,2,0),E872)</f>
        <v>30</v>
      </c>
      <c r="B872" s="72" t="str">
        <f ca="1">IF(D872="Inativo","Inativo",IFERROR(VLOOKUP($G872,Conf!$O:$Q,2,0),VLOOKUP($S872,Conf!$K:$M,2,0)))</f>
        <v>OPERACIONAL</v>
      </c>
      <c r="C872" s="72" t="str">
        <f ca="1">IF(D872="Inativo","Inativo",IFERROR(VLOOKUP($G872,Conf!$O:$Q,3,0),IFERROR(VLOOKUP($G872,Conf!$E:$F,2,0),VLOOKUP($S872,Conf!$K:$M,3,0))))</f>
        <v>PINTOR</v>
      </c>
      <c r="D872" s="72" t="str">
        <f ca="1">IFERROR(IF(TODAY()-K872&gt;365,"Inativo",IF(J872=2,"Férias",IF(J872=7,"Demitido","Afastamento"))),VLOOKUP(J872,Conf!$H:$I,2,0))</f>
        <v>Ativos</v>
      </c>
      <c r="E872" s="187">
        <v>30</v>
      </c>
      <c r="F872" s="187">
        <v>16</v>
      </c>
      <c r="G872" t="s">
        <v>1167</v>
      </c>
      <c r="H872" s="71"/>
      <c r="I872" t="s">
        <v>220</v>
      </c>
      <c r="J872" s="187">
        <v>1</v>
      </c>
      <c r="K872" t="s">
        <v>1385</v>
      </c>
      <c r="L872" s="185"/>
      <c r="M872" s="188">
        <v>42705</v>
      </c>
      <c r="N872" s="71"/>
      <c r="O872" s="71"/>
      <c r="P872" s="71"/>
      <c r="Q872" s="71"/>
      <c r="R872" s="71"/>
      <c r="S872" t="s">
        <v>1168</v>
      </c>
      <c r="T872" s="71"/>
    </row>
    <row r="873" spans="1:20" x14ac:dyDescent="0.3">
      <c r="A873" s="72">
        <f>IFERROR(VLOOKUP($G873,Conf!$B:$C,2,0),E873)</f>
        <v>30</v>
      </c>
      <c r="B873" s="72" t="str">
        <f ca="1">IF(D873="Inativo","Inativo",IFERROR(VLOOKUP($G873,Conf!$O:$Q,2,0),VLOOKUP($S873,Conf!$K:$M,2,0)))</f>
        <v>OPERACIONAL</v>
      </c>
      <c r="C873" s="72" t="str">
        <f ca="1">IF(D873="Inativo","Inativo",IFERROR(VLOOKUP($G873,Conf!$O:$Q,3,0),IFERROR(VLOOKUP($G873,Conf!$E:$F,2,0),VLOOKUP($S873,Conf!$K:$M,3,0))))</f>
        <v>PINTOR</v>
      </c>
      <c r="D873" s="72" t="str">
        <f ca="1">IFERROR(IF(TODAY()-K873&gt;365,"Inativo",IF(J873=2,"Férias",IF(J873=7,"Demitido","Afastamento"))),VLOOKUP(J873,Conf!$H:$I,2,0))</f>
        <v>Ativos</v>
      </c>
      <c r="E873" s="187">
        <v>30</v>
      </c>
      <c r="F873" s="187">
        <v>67</v>
      </c>
      <c r="G873" t="s">
        <v>1169</v>
      </c>
      <c r="H873" s="71"/>
      <c r="I873" t="s">
        <v>998</v>
      </c>
      <c r="J873" s="187">
        <v>1</v>
      </c>
      <c r="K873" t="s">
        <v>1385</v>
      </c>
      <c r="L873" s="185"/>
      <c r="M873" s="188">
        <v>45679</v>
      </c>
      <c r="N873" s="71"/>
      <c r="O873" s="71"/>
      <c r="P873" s="71"/>
      <c r="Q873" s="71"/>
      <c r="R873" s="71"/>
      <c r="S873" t="s">
        <v>1168</v>
      </c>
      <c r="T873" s="71"/>
    </row>
    <row r="874" spans="1:20" x14ac:dyDescent="0.3">
      <c r="A874" s="72">
        <f>IFERROR(VLOOKUP($G874,Conf!$B:$C,2,0),E874)</f>
        <v>30</v>
      </c>
      <c r="B874" s="72" t="str">
        <f ca="1">IF(D874="Inativo","Inativo",IFERROR(VLOOKUP($G874,Conf!$O:$Q,2,0),VLOOKUP($S874,Conf!$K:$M,2,0)))</f>
        <v>SOCIO</v>
      </c>
      <c r="C874" s="72" t="str">
        <f ca="1">IF(D874="Inativo","Inativo",IFERROR(VLOOKUP($G874,Conf!$O:$Q,3,0),IFERROR(VLOOKUP($G874,Conf!$E:$F,2,0),VLOOKUP($S874,Conf!$K:$M,3,0))))</f>
        <v>GERENTE</v>
      </c>
      <c r="D874" s="72" t="str">
        <f ca="1">IFERROR(IF(TODAY()-K874&gt;365,"Inativo",IF(J874=2,"Férias",IF(J874=7,"Demitido","Afastamento"))),VLOOKUP(J874,Conf!$H:$I,2,0))</f>
        <v>Ativos</v>
      </c>
      <c r="E874" s="187">
        <v>30</v>
      </c>
      <c r="F874" s="187">
        <v>900008</v>
      </c>
      <c r="G874" t="s">
        <v>1209</v>
      </c>
      <c r="H874" s="71"/>
      <c r="I874" t="s">
        <v>998</v>
      </c>
      <c r="J874" s="187">
        <v>1</v>
      </c>
      <c r="K874" t="s">
        <v>1385</v>
      </c>
      <c r="L874" s="185"/>
      <c r="M874" s="188">
        <v>45597</v>
      </c>
      <c r="N874" s="71"/>
      <c r="Q874" s="71"/>
      <c r="R874" s="71"/>
      <c r="S874" t="s">
        <v>1174</v>
      </c>
      <c r="T874" s="71"/>
    </row>
    <row r="875" spans="1:20" x14ac:dyDescent="0.3">
      <c r="A875" s="72">
        <f>IFERROR(VLOOKUP($G875,Conf!$B:$C,2,0),E875)</f>
        <v>30</v>
      </c>
      <c r="B875" s="72" t="str">
        <f ca="1">IF(D875="Inativo","Inativo",IFERROR(VLOOKUP($G875,Conf!$O:$Q,2,0),VLOOKUP($S875,Conf!$K:$M,2,0)))</f>
        <v>SOCIO</v>
      </c>
      <c r="C875" s="72" t="str">
        <f ca="1">IF(D875="Inativo","Inativo",IFERROR(VLOOKUP($G875,Conf!$O:$Q,3,0),IFERROR(VLOOKUP($G875,Conf!$E:$F,2,0),VLOOKUP($S875,Conf!$K:$M,3,0))))</f>
        <v>GERENTE</v>
      </c>
      <c r="D875" s="72" t="str">
        <f ca="1">IFERROR(IF(TODAY()-K875&gt;365,"Inativo",IF(J875=2,"Férias",IF(J875=7,"Demitido","Afastamento"))),VLOOKUP(J875,Conf!$H:$I,2,0))</f>
        <v>Ativos</v>
      </c>
      <c r="E875" s="187">
        <v>30</v>
      </c>
      <c r="F875" s="187">
        <v>900004</v>
      </c>
      <c r="G875" t="s">
        <v>1210</v>
      </c>
      <c r="H875" s="71"/>
      <c r="I875" t="s">
        <v>998</v>
      </c>
      <c r="J875" s="187">
        <v>1</v>
      </c>
      <c r="K875" t="s">
        <v>1385</v>
      </c>
      <c r="L875" s="185"/>
      <c r="M875" s="188">
        <v>45597</v>
      </c>
      <c r="N875" s="71"/>
      <c r="Q875" s="71"/>
      <c r="R875" s="71"/>
      <c r="S875" t="s">
        <v>1174</v>
      </c>
      <c r="T875" s="71"/>
    </row>
    <row r="876" spans="1:20" x14ac:dyDescent="0.3">
      <c r="A876" s="72">
        <f>IFERROR(VLOOKUP($G876,Conf!$B:$C,2,0),E876)</f>
        <v>30</v>
      </c>
      <c r="B876" s="72" t="str">
        <f ca="1">IF(D876="Inativo","Inativo",IFERROR(VLOOKUP($G876,Conf!$O:$Q,2,0),VLOOKUP($S876,Conf!$K:$M,2,0)))</f>
        <v>SOCIO</v>
      </c>
      <c r="C876" s="72" t="str">
        <f ca="1">IF(D876="Inativo","Inativo",IFERROR(VLOOKUP($G876,Conf!$O:$Q,3,0),IFERROR(VLOOKUP($G876,Conf!$E:$F,2,0),VLOOKUP($S876,Conf!$K:$M,3,0))))</f>
        <v>GERENTE</v>
      </c>
      <c r="D876" s="72" t="str">
        <f ca="1">IFERROR(IF(TODAY()-K876&gt;365,"Inativo",IF(J876=2,"Férias",IF(J876=7,"Demitido","Afastamento"))),VLOOKUP(J876,Conf!$H:$I,2,0))</f>
        <v>Ativos</v>
      </c>
      <c r="E876" s="187">
        <v>30</v>
      </c>
      <c r="F876" s="187">
        <v>900003</v>
      </c>
      <c r="G876" t="s">
        <v>1211</v>
      </c>
      <c r="H876" s="71"/>
      <c r="I876" t="s">
        <v>1177</v>
      </c>
      <c r="J876" s="187">
        <v>1</v>
      </c>
      <c r="K876" t="s">
        <v>1385</v>
      </c>
      <c r="L876" s="185"/>
      <c r="M876" s="188">
        <v>45597</v>
      </c>
      <c r="N876" s="71"/>
      <c r="O876" s="71"/>
      <c r="P876" s="71"/>
      <c r="Q876" s="71"/>
      <c r="R876" s="71"/>
      <c r="S876" t="s">
        <v>1174</v>
      </c>
      <c r="T876" s="71"/>
    </row>
    <row r="877" spans="1:20" x14ac:dyDescent="0.3">
      <c r="A877" s="72">
        <f>IFERROR(VLOOKUP($G877,Conf!$B:$C,2,0),E877)</f>
        <v>30</v>
      </c>
      <c r="B877" s="72" t="str">
        <f ca="1">IF(D877="Inativo","Inativo",IFERROR(VLOOKUP($G877,Conf!$O:$Q,2,0),VLOOKUP($S877,Conf!$K:$M,2,0)))</f>
        <v>SOCIO</v>
      </c>
      <c r="C877" s="72" t="str">
        <f ca="1">IF(D877="Inativo","Inativo",IFERROR(VLOOKUP($G877,Conf!$O:$Q,3,0),IFERROR(VLOOKUP($G877,Conf!$E:$F,2,0),VLOOKUP($S877,Conf!$K:$M,3,0))))</f>
        <v>GERENTE</v>
      </c>
      <c r="D877" s="72" t="str">
        <f ca="1">IFERROR(IF(TODAY()-K877&gt;365,"Inativo",IF(J877=2,"Férias",IF(J877=7,"Demitido","Afastamento"))),VLOOKUP(J877,Conf!$H:$I,2,0))</f>
        <v>Ativos</v>
      </c>
      <c r="E877" s="187">
        <v>30</v>
      </c>
      <c r="F877" s="187">
        <v>900001</v>
      </c>
      <c r="G877" t="s">
        <v>1212</v>
      </c>
      <c r="H877" s="71"/>
      <c r="I877" t="s">
        <v>1177</v>
      </c>
      <c r="J877" s="187">
        <v>1</v>
      </c>
      <c r="K877" t="s">
        <v>1385</v>
      </c>
      <c r="L877" s="185"/>
      <c r="M877" s="188">
        <v>44986</v>
      </c>
      <c r="N877" s="71"/>
      <c r="Q877" s="71"/>
      <c r="R877" s="71"/>
      <c r="S877" t="s">
        <v>1174</v>
      </c>
      <c r="T877" s="71"/>
    </row>
    <row r="878" spans="1:20" x14ac:dyDescent="0.3">
      <c r="A878" s="72">
        <f>IFERROR(VLOOKUP($G878,Conf!$B:$C,2,0),E878)</f>
        <v>30</v>
      </c>
      <c r="B878" s="72" t="str">
        <f ca="1">IF(D878="Inativo","Inativo",IFERROR(VLOOKUP($G878,Conf!$O:$Q,2,0),VLOOKUP($S878,Conf!$K:$M,2,0)))</f>
        <v>SOCIO</v>
      </c>
      <c r="C878" s="72" t="str">
        <f ca="1">IF(D878="Inativo","Inativo",IFERROR(VLOOKUP($G878,Conf!$O:$Q,3,0),IFERROR(VLOOKUP($G878,Conf!$E:$F,2,0),VLOOKUP($S878,Conf!$K:$M,3,0))))</f>
        <v>GERENTE</v>
      </c>
      <c r="D878" s="72" t="str">
        <f ca="1">IFERROR(IF(TODAY()-K878&gt;365,"Inativo",IF(J878=2,"Férias",IF(J878=7,"Demitido","Afastamento"))),VLOOKUP(J878,Conf!$H:$I,2,0))</f>
        <v>Ativos</v>
      </c>
      <c r="E878" s="187">
        <v>30</v>
      </c>
      <c r="F878" s="187">
        <v>900007</v>
      </c>
      <c r="G878" t="s">
        <v>1213</v>
      </c>
      <c r="H878" s="71"/>
      <c r="I878" t="s">
        <v>220</v>
      </c>
      <c r="J878" s="187">
        <v>1</v>
      </c>
      <c r="K878" t="s">
        <v>1385</v>
      </c>
      <c r="L878" s="185"/>
      <c r="M878" s="188">
        <v>45597</v>
      </c>
      <c r="N878" s="71"/>
      <c r="Q878" s="71"/>
      <c r="R878" s="71"/>
      <c r="S878" t="s">
        <v>1174</v>
      </c>
      <c r="T878" s="71"/>
    </row>
    <row r="879" spans="1:20" x14ac:dyDescent="0.3">
      <c r="A879" s="72">
        <f>IFERROR(VLOOKUP($G879,Conf!$B:$C,2,0),E879)</f>
        <v>30</v>
      </c>
      <c r="B879" s="72" t="str">
        <f ca="1">IF(D879="Inativo","Inativo",IFERROR(VLOOKUP($G879,Conf!$O:$Q,2,0),VLOOKUP($S879,Conf!$K:$M,2,0)))</f>
        <v>SOCIO</v>
      </c>
      <c r="C879" s="72" t="str">
        <f ca="1">IF(D879="Inativo","Inativo",IFERROR(VLOOKUP($G879,Conf!$O:$Q,3,0),IFERROR(VLOOKUP($G879,Conf!$E:$F,2,0),VLOOKUP($S879,Conf!$K:$M,3,0))))</f>
        <v>GERENTE</v>
      </c>
      <c r="D879" s="72" t="str">
        <f ca="1">IFERROR(IF(TODAY()-K879&gt;365,"Inativo",IF(J879=2,"Férias",IF(J879=7,"Demitido","Afastamento"))),VLOOKUP(J879,Conf!$H:$I,2,0))</f>
        <v>Ativos</v>
      </c>
      <c r="E879" s="187">
        <v>30</v>
      </c>
      <c r="F879" s="187">
        <v>900006</v>
      </c>
      <c r="G879" t="s">
        <v>1214</v>
      </c>
      <c r="H879" s="71"/>
      <c r="I879" t="s">
        <v>220</v>
      </c>
      <c r="J879" s="187">
        <v>1</v>
      </c>
      <c r="K879" t="s">
        <v>1385</v>
      </c>
      <c r="L879" s="185"/>
      <c r="M879" s="188">
        <v>45597</v>
      </c>
      <c r="N879" s="71"/>
      <c r="O879" s="71"/>
      <c r="P879" s="71"/>
      <c r="Q879" s="71"/>
      <c r="R879" s="71"/>
      <c r="S879" t="s">
        <v>1174</v>
      </c>
      <c r="T879" s="71"/>
    </row>
    <row r="880" spans="1:20" x14ac:dyDescent="0.3">
      <c r="A880" s="72">
        <f>IFERROR(VLOOKUP($G880,Conf!$B:$C,2,0),E880)</f>
        <v>30</v>
      </c>
      <c r="B880" s="72" t="str">
        <f ca="1">IF(D880="Inativo","Inativo",IFERROR(VLOOKUP($G880,Conf!$O:$Q,2,0),VLOOKUP($S880,Conf!$K:$M,2,0)))</f>
        <v>SOCIO</v>
      </c>
      <c r="C880" s="72" t="str">
        <f ca="1">IF(D880="Inativo","Inativo",IFERROR(VLOOKUP($G880,Conf!$O:$Q,3,0),IFERROR(VLOOKUP($G880,Conf!$E:$F,2,0),VLOOKUP($S880,Conf!$K:$M,3,0))))</f>
        <v>GERENTE</v>
      </c>
      <c r="D880" s="72" t="str">
        <f ca="1">IFERROR(IF(TODAY()-K880&gt;365,"Inativo",IF(J880=2,"Férias",IF(J880=7,"Demitido","Afastamento"))),VLOOKUP(J880,Conf!$H:$I,2,0))</f>
        <v>Ativos</v>
      </c>
      <c r="E880" s="187">
        <v>30</v>
      </c>
      <c r="F880" s="187">
        <v>900002</v>
      </c>
      <c r="G880" t="s">
        <v>1215</v>
      </c>
      <c r="H880" s="71"/>
      <c r="I880" t="s">
        <v>998</v>
      </c>
      <c r="J880" s="187">
        <v>1</v>
      </c>
      <c r="K880" t="s">
        <v>1385</v>
      </c>
      <c r="L880" s="185"/>
      <c r="M880" s="188">
        <v>45414</v>
      </c>
      <c r="N880" s="71"/>
      <c r="Q880" s="71"/>
      <c r="R880" s="71"/>
      <c r="S880" t="s">
        <v>1174</v>
      </c>
      <c r="T880" s="71"/>
    </row>
    <row r="881" spans="1:20" x14ac:dyDescent="0.3">
      <c r="A881" s="72">
        <f>IFERROR(VLOOKUP($G881,Conf!$B:$C,2,0),E881)</f>
        <v>30</v>
      </c>
      <c r="B881" s="72" t="str">
        <f ca="1">IF(D881="Inativo","Inativo",IFERROR(VLOOKUP($G881,Conf!$O:$Q,2,0),VLOOKUP($S881,Conf!$K:$M,2,0)))</f>
        <v>SOCIO</v>
      </c>
      <c r="C881" s="72" t="str">
        <f ca="1">IF(D881="Inativo","Inativo",IFERROR(VLOOKUP($G881,Conf!$O:$Q,3,0),IFERROR(VLOOKUP($G881,Conf!$E:$F,2,0),VLOOKUP($S881,Conf!$K:$M,3,0))))</f>
        <v>GERENTE</v>
      </c>
      <c r="D881" s="72" t="str">
        <f ca="1">IFERROR(IF(TODAY()-K881&gt;365,"Inativo",IF(J881=2,"Férias",IF(J881=7,"Demitido","Afastamento"))),VLOOKUP(J881,Conf!$H:$I,2,0))</f>
        <v>Ativos</v>
      </c>
      <c r="E881" s="187">
        <v>30</v>
      </c>
      <c r="F881" s="187">
        <v>900002</v>
      </c>
      <c r="G881" t="s">
        <v>1176</v>
      </c>
      <c r="H881" s="71"/>
      <c r="I881" t="s">
        <v>1177</v>
      </c>
      <c r="J881" s="187">
        <v>1</v>
      </c>
      <c r="K881" t="s">
        <v>1385</v>
      </c>
      <c r="L881" s="185"/>
      <c r="M881" s="188">
        <v>40756</v>
      </c>
      <c r="N881" s="71"/>
      <c r="Q881" s="71"/>
      <c r="R881" s="71"/>
      <c r="S881" t="s">
        <v>1174</v>
      </c>
      <c r="T881" s="71"/>
    </row>
    <row r="882" spans="1:20" x14ac:dyDescent="0.3">
      <c r="A882" s="72">
        <f>IFERROR(VLOOKUP($G882,Conf!$B:$C,2,0),E882)</f>
        <v>30</v>
      </c>
      <c r="B882" s="72" t="str">
        <f ca="1">IF(D882="Inativo","Inativo",IFERROR(VLOOKUP($G882,Conf!$O:$Q,2,0),VLOOKUP($S882,Conf!$K:$M,2,0)))</f>
        <v>SOCIO</v>
      </c>
      <c r="C882" s="72" t="str">
        <f ca="1">IF(D882="Inativo","Inativo",IFERROR(VLOOKUP($G882,Conf!$O:$Q,3,0),IFERROR(VLOOKUP($G882,Conf!$E:$F,2,0),VLOOKUP($S882,Conf!$K:$M,3,0))))</f>
        <v>GERENTE</v>
      </c>
      <c r="D882" s="72" t="str">
        <f ca="1">IFERROR(IF(TODAY()-K882&gt;365,"Inativo",IF(J882=2,"Férias",IF(J882=7,"Demitido","Afastamento"))),VLOOKUP(J882,Conf!$H:$I,2,0))</f>
        <v>Ativos</v>
      </c>
      <c r="E882" s="187">
        <v>30</v>
      </c>
      <c r="F882" s="187">
        <v>900005</v>
      </c>
      <c r="G882" t="s">
        <v>1216</v>
      </c>
      <c r="H882" s="71"/>
      <c r="I882" t="s">
        <v>998</v>
      </c>
      <c r="J882" s="187">
        <v>1</v>
      </c>
      <c r="K882" t="s">
        <v>1385</v>
      </c>
      <c r="L882" s="185"/>
      <c r="M882" s="188">
        <v>45597</v>
      </c>
      <c r="N882" s="71"/>
      <c r="Q882" s="71"/>
      <c r="R882" s="71"/>
      <c r="S882" t="s">
        <v>1174</v>
      </c>
      <c r="T882" s="71"/>
    </row>
    <row r="883" spans="1:20" x14ac:dyDescent="0.3">
      <c r="A883" s="72">
        <f>IFERROR(VLOOKUP($G883,Conf!$B:$C,2,0),E883)</f>
        <v>30</v>
      </c>
      <c r="B883" s="72" t="str">
        <f ca="1">IF(D883="Inativo","Inativo",IFERROR(VLOOKUP($G883,Conf!$O:$Q,2,0),VLOOKUP($S883,Conf!$K:$M,2,0)))</f>
        <v>SOCIO</v>
      </c>
      <c r="C883" s="72" t="str">
        <f ca="1">IF(D883="Inativo","Inativo",IFERROR(VLOOKUP($G883,Conf!$O:$Q,3,0),IFERROR(VLOOKUP($G883,Conf!$E:$F,2,0),VLOOKUP($S883,Conf!$K:$M,3,0))))</f>
        <v>GERENTE</v>
      </c>
      <c r="D883" s="72" t="str">
        <f ca="1">IFERROR(IF(TODAY()-K883&gt;365,"Inativo",IF(J883=2,"Férias",IF(J883=7,"Demitido","Afastamento"))),VLOOKUP(J883,Conf!$H:$I,2,0))</f>
        <v>Ativos</v>
      </c>
      <c r="E883" s="187">
        <v>7</v>
      </c>
      <c r="F883" s="187">
        <v>900002</v>
      </c>
      <c r="G883" t="s">
        <v>1178</v>
      </c>
      <c r="H883" s="71"/>
      <c r="I883" t="s">
        <v>220</v>
      </c>
      <c r="J883" s="187">
        <v>1</v>
      </c>
      <c r="K883" t="s">
        <v>1385</v>
      </c>
      <c r="L883" s="185"/>
      <c r="M883" s="188">
        <v>44562</v>
      </c>
      <c r="N883" s="71"/>
      <c r="Q883" s="71"/>
      <c r="R883" s="71"/>
      <c r="S883" t="s">
        <v>1179</v>
      </c>
      <c r="T883" s="71"/>
    </row>
    <row r="884" spans="1:20" x14ac:dyDescent="0.3">
      <c r="A884" s="72">
        <f>IFERROR(VLOOKUP($G884,Conf!$B:$C,2,0),E884)</f>
        <v>30</v>
      </c>
      <c r="B884" s="72" t="str">
        <f ca="1">IF(D884="Inativo","Inativo",IFERROR(VLOOKUP($G884,Conf!$O:$Q,2,0),VLOOKUP($S884,Conf!$K:$M,2,0)))</f>
        <v>SOCIO</v>
      </c>
      <c r="C884" s="72" t="str">
        <f ca="1">IF(D884="Inativo","Inativo",IFERROR(VLOOKUP($G884,Conf!$O:$Q,3,0),IFERROR(VLOOKUP($G884,Conf!$E:$F,2,0),VLOOKUP($S884,Conf!$K:$M,3,0))))</f>
        <v>GERENTE</v>
      </c>
      <c r="D884" s="72" t="str">
        <f ca="1">IFERROR(IF(TODAY()-K884&gt;365,"Inativo",IF(J884=2,"Férias",IF(J884=7,"Demitido","Afastamento"))),VLOOKUP(J884,Conf!$H:$I,2,0))</f>
        <v>Ativos</v>
      </c>
      <c r="E884" s="187">
        <v>30</v>
      </c>
      <c r="F884" s="187">
        <v>900001</v>
      </c>
      <c r="G884" t="s">
        <v>1180</v>
      </c>
      <c r="H884" s="71"/>
      <c r="I884" t="s">
        <v>1177</v>
      </c>
      <c r="J884" s="187">
        <v>1</v>
      </c>
      <c r="K884" t="s">
        <v>1385</v>
      </c>
      <c r="L884" s="185"/>
      <c r="M884" s="188">
        <v>40695</v>
      </c>
      <c r="N884" s="71"/>
      <c r="Q884" s="71"/>
      <c r="R884" s="71"/>
      <c r="S884" t="s">
        <v>1174</v>
      </c>
      <c r="T884" s="71"/>
    </row>
    <row r="885" spans="1:20" x14ac:dyDescent="0.3">
      <c r="A885" s="72">
        <f>IFERROR(VLOOKUP($G885,Conf!$B:$C,2,0),E885)</f>
        <v>30</v>
      </c>
      <c r="B885" s="72" t="str">
        <f ca="1">IF(D885="Inativo","Inativo",IFERROR(VLOOKUP($G885,Conf!$O:$Q,2,0),VLOOKUP($S885,Conf!$K:$M,2,0)))</f>
        <v>SUPERVISOR</v>
      </c>
      <c r="C885" s="72" t="str">
        <f ca="1">IF(D885="Inativo","Inativo",IFERROR(VLOOKUP($G885,Conf!$O:$Q,3,0),IFERROR(VLOOKUP($G885,Conf!$E:$F,2,0),VLOOKUP($S885,Conf!$K:$M,3,0))))</f>
        <v>SUPERVISOR</v>
      </c>
      <c r="D885" s="72" t="str">
        <f ca="1">IFERROR(IF(TODAY()-K885&gt;365,"Inativo",IF(J885=2,"Férias",IF(J885=7,"Demitido","Afastamento"))),VLOOKUP(J885,Conf!$H:$I,2,0))</f>
        <v>Ativos</v>
      </c>
      <c r="E885" s="187">
        <v>8</v>
      </c>
      <c r="F885" s="187">
        <v>100</v>
      </c>
      <c r="G885" t="s">
        <v>1217</v>
      </c>
      <c r="H885" s="71"/>
      <c r="I885" t="s">
        <v>220</v>
      </c>
      <c r="J885" s="187">
        <v>1</v>
      </c>
      <c r="K885" t="s">
        <v>1385</v>
      </c>
      <c r="L885" s="185"/>
      <c r="M885" s="188">
        <v>44805</v>
      </c>
      <c r="N885" s="71"/>
      <c r="Q885" s="71"/>
      <c r="R885" s="71"/>
      <c r="S885" t="s">
        <v>1218</v>
      </c>
      <c r="T885" s="71"/>
    </row>
    <row r="886" spans="1:20" x14ac:dyDescent="0.3">
      <c r="A886" s="72">
        <f>IFERROR(VLOOKUP($G886,Conf!$B:$C,2,0),E886)</f>
        <v>30</v>
      </c>
      <c r="B886" s="72" t="str">
        <f ca="1">IF(D886="Inativo","Inativo",IFERROR(VLOOKUP($G886,Conf!$O:$Q,2,0),VLOOKUP($S886,Conf!$K:$M,2,0)))</f>
        <v>TI</v>
      </c>
      <c r="C886" s="72" t="str">
        <f ca="1">IF(D886="Inativo","Inativo",IFERROR(VLOOKUP($G886,Conf!$O:$Q,3,0),IFERROR(VLOOKUP($G886,Conf!$E:$F,2,0),VLOOKUP($S886,Conf!$K:$M,3,0))))</f>
        <v>ASSISTENTE</v>
      </c>
      <c r="D886" s="72" t="str">
        <f ca="1">IFERROR(IF(TODAY()-K886&gt;365,"Inativo",IF(J886=2,"Férias",IF(J886=7,"Demitido","Afastamento"))),VLOOKUP(J886,Conf!$H:$I,2,0))</f>
        <v>Ativos</v>
      </c>
      <c r="E886" s="187">
        <v>30</v>
      </c>
      <c r="F886" s="187">
        <v>171</v>
      </c>
      <c r="G886" t="s">
        <v>1181</v>
      </c>
      <c r="H886" s="71"/>
      <c r="I886" t="s">
        <v>604</v>
      </c>
      <c r="J886" s="187">
        <v>1</v>
      </c>
      <c r="K886" t="s">
        <v>1385</v>
      </c>
      <c r="L886" s="185"/>
      <c r="M886" s="188">
        <v>45693</v>
      </c>
      <c r="N886" s="71"/>
      <c r="Q886" s="71"/>
      <c r="R886" s="71"/>
      <c r="S886" t="s">
        <v>1182</v>
      </c>
    </row>
    <row r="887" spans="1:20" x14ac:dyDescent="0.3">
      <c r="A887" s="72">
        <f>IFERROR(VLOOKUP($G887,Conf!$B:$C,2,0),E887)</f>
        <v>30</v>
      </c>
      <c r="B887" s="72" t="str">
        <f ca="1">IF(D887="Inativo","Inativo",IFERROR(VLOOKUP($G887,Conf!$O:$Q,2,0),VLOOKUP($S887,Conf!$K:$M,2,0)))</f>
        <v>TI</v>
      </c>
      <c r="C887" s="72" t="str">
        <f ca="1">IF(D887="Inativo","Inativo",IFERROR(VLOOKUP($G887,Conf!$O:$Q,3,0),IFERROR(VLOOKUP($G887,Conf!$E:$F,2,0),VLOOKUP($S887,Conf!$K:$M,3,0))))</f>
        <v>ASSISTENTE</v>
      </c>
      <c r="D887" s="72" t="str">
        <f ca="1">IFERROR(IF(TODAY()-K887&gt;365,"Inativo",IF(J887=2,"Férias",IF(J887=7,"Demitido","Afastamento"))),VLOOKUP(J887,Conf!$H:$I,2,0))</f>
        <v>Ativos</v>
      </c>
      <c r="E887" s="187">
        <v>30</v>
      </c>
      <c r="F887" s="187">
        <v>302</v>
      </c>
      <c r="G887" t="s">
        <v>1164</v>
      </c>
      <c r="H887" s="71"/>
      <c r="I887" t="s">
        <v>604</v>
      </c>
      <c r="J887" s="187">
        <v>1</v>
      </c>
      <c r="K887" t="s">
        <v>1385</v>
      </c>
      <c r="L887" s="185"/>
      <c r="M887" s="188">
        <v>46156</v>
      </c>
      <c r="N887" s="71"/>
      <c r="Q887" s="71"/>
      <c r="R887" s="71"/>
      <c r="S887" t="s">
        <v>1182</v>
      </c>
      <c r="T887" s="71"/>
    </row>
    <row r="888" spans="1:20" x14ac:dyDescent="0.3">
      <c r="A888" s="72">
        <f>IFERROR(VLOOKUP($G888,Conf!$B:$C,2,0),E888)</f>
        <v>30</v>
      </c>
      <c r="B888" s="72" t="str">
        <f ca="1">IF(D888="Inativo","Inativo",IFERROR(VLOOKUP($G888,Conf!$O:$Q,2,0),VLOOKUP($S888,Conf!$K:$M,2,0)))</f>
        <v>TI</v>
      </c>
      <c r="C888" s="72" t="str">
        <f ca="1">IF(D888="Inativo","Inativo",IFERROR(VLOOKUP($G888,Conf!$O:$Q,3,0),IFERROR(VLOOKUP($G888,Conf!$E:$F,2,0),VLOOKUP($S888,Conf!$K:$M,3,0))))</f>
        <v>ASSISTENTE</v>
      </c>
      <c r="D888" s="72" t="str">
        <f ca="1">IFERROR(IF(TODAY()-K888&gt;365,"Inativo",IF(J888=2,"Férias",IF(J888=7,"Demitido","Afastamento"))),VLOOKUP(J888,Conf!$H:$I,2,0))</f>
        <v>Ativos</v>
      </c>
      <c r="E888" s="187">
        <v>30</v>
      </c>
      <c r="F888" s="187">
        <v>276</v>
      </c>
      <c r="G888" t="s">
        <v>1183</v>
      </c>
      <c r="H888" s="71"/>
      <c r="I888" t="s">
        <v>604</v>
      </c>
      <c r="J888" s="187">
        <v>1</v>
      </c>
      <c r="K888" t="s">
        <v>1385</v>
      </c>
      <c r="L888" s="185"/>
      <c r="M888" s="188">
        <v>44781</v>
      </c>
      <c r="N888" s="71"/>
      <c r="O888" s="71"/>
      <c r="P888" s="71"/>
      <c r="Q888" s="71"/>
      <c r="R888" s="71"/>
      <c r="S888" t="s">
        <v>1182</v>
      </c>
      <c r="T888" s="71"/>
    </row>
    <row r="889" spans="1:20" x14ac:dyDescent="0.3">
      <c r="A889" s="72">
        <f>IFERROR(VLOOKUP($G889,Conf!$B:$C,2,0),E889)</f>
        <v>30</v>
      </c>
      <c r="B889" s="72" t="str">
        <f ca="1">IF(D889="Inativo","Inativo",IFERROR(VLOOKUP($G889,Conf!$O:$Q,2,0),VLOOKUP($S889,Conf!$K:$M,2,0)))</f>
        <v>TI</v>
      </c>
      <c r="C889" s="72" t="str">
        <f ca="1">IF(D889="Inativo","Inativo",IFERROR(VLOOKUP($G889,Conf!$O:$Q,3,0),IFERROR(VLOOKUP($G889,Conf!$E:$F,2,0),VLOOKUP($S889,Conf!$K:$M,3,0))))</f>
        <v>TECNICO</v>
      </c>
      <c r="D889" s="72" t="str">
        <f ca="1">IFERROR(IF(TODAY()-K889&gt;365,"Inativo",IF(J889=2,"Férias",IF(J889=7,"Demitido","Afastamento"))),VLOOKUP(J889,Conf!$H:$I,2,0))</f>
        <v>Ativos</v>
      </c>
      <c r="E889" s="187">
        <v>30</v>
      </c>
      <c r="F889" s="187">
        <v>2</v>
      </c>
      <c r="G889" t="s">
        <v>1184</v>
      </c>
      <c r="H889" s="71"/>
      <c r="I889" t="s">
        <v>604</v>
      </c>
      <c r="J889" s="187">
        <v>1</v>
      </c>
      <c r="K889" t="s">
        <v>1385</v>
      </c>
      <c r="L889" s="185"/>
      <c r="M889" s="188">
        <v>40422</v>
      </c>
      <c r="N889" s="71"/>
      <c r="Q889" s="71"/>
      <c r="R889" s="71"/>
      <c r="S889" t="s">
        <v>1185</v>
      </c>
      <c r="T889" s="71"/>
    </row>
    <row r="890" spans="1:20" x14ac:dyDescent="0.3">
      <c r="A890" s="72">
        <f>IFERROR(VLOOKUP($G890,Conf!$B:$C,2,0),E890)</f>
        <v>30</v>
      </c>
      <c r="B890" s="72" t="str">
        <f ca="1">IF(D890="Inativo","Inativo",IFERROR(VLOOKUP($G890,Conf!$O:$Q,2,0),VLOOKUP($S890,Conf!$K:$M,2,0)))</f>
        <v>VENDAS</v>
      </c>
      <c r="C890" s="72" t="str">
        <f ca="1">IF(D890="Inativo","Inativo",IFERROR(VLOOKUP($G890,Conf!$O:$Q,3,0),IFERROR(VLOOKUP($G890,Conf!$E:$F,2,0),VLOOKUP($S890,Conf!$K:$M,3,0))))</f>
        <v>VENDEDOR</v>
      </c>
      <c r="D890" s="72" t="str">
        <f ca="1">IFERROR(IF(TODAY()-K890&gt;365,"Inativo",IF(J890=2,"Férias",IF(J890=7,"Demitido","Afastamento"))),VLOOKUP(J890,Conf!$H:$I,2,0))</f>
        <v>Ativos</v>
      </c>
      <c r="E890" s="187">
        <v>30</v>
      </c>
      <c r="F890" s="187">
        <v>132</v>
      </c>
      <c r="G890" t="s">
        <v>1186</v>
      </c>
      <c r="H890" s="71"/>
      <c r="I890" t="s">
        <v>604</v>
      </c>
      <c r="J890" s="187">
        <v>1</v>
      </c>
      <c r="K890" t="s">
        <v>1385</v>
      </c>
      <c r="L890" s="185"/>
      <c r="M890" s="188">
        <v>43010</v>
      </c>
      <c r="N890" s="71"/>
      <c r="Q890" s="71"/>
      <c r="R890" s="71"/>
      <c r="S890" t="s">
        <v>1187</v>
      </c>
      <c r="T890" s="71"/>
    </row>
    <row r="891" spans="1:20" x14ac:dyDescent="0.3">
      <c r="A891" s="72">
        <f>IFERROR(VLOOKUP($G891,Conf!$B:$C,2,0),E891)</f>
        <v>30</v>
      </c>
      <c r="B891" s="72" t="str">
        <f ca="1">IF(D891="Inativo","Inativo",IFERROR(VLOOKUP($G891,Conf!$O:$Q,2,0),VLOOKUP($S891,Conf!$K:$M,2,0)))</f>
        <v>VENDAS</v>
      </c>
      <c r="C891" s="72" t="str">
        <f ca="1">IF(D891="Inativo","Inativo",IFERROR(VLOOKUP($G891,Conf!$O:$Q,3,0),IFERROR(VLOOKUP($G891,Conf!$E:$F,2,0),VLOOKUP($S891,Conf!$K:$M,3,0))))</f>
        <v>VENDEDOR</v>
      </c>
      <c r="D891" s="72" t="str">
        <f ca="1">IFERROR(IF(TODAY()-K891&gt;365,"Inativo",IF(J891=2,"Férias",IF(J891=7,"Demitido","Afastamento"))),VLOOKUP(J891,Conf!$H:$I,2,0))</f>
        <v>Ativos</v>
      </c>
      <c r="E891" s="187">
        <v>30</v>
      </c>
      <c r="F891" s="187">
        <v>200</v>
      </c>
      <c r="G891" t="s">
        <v>1188</v>
      </c>
      <c r="H891" s="71"/>
      <c r="I891" t="s">
        <v>604</v>
      </c>
      <c r="J891" s="187">
        <v>1</v>
      </c>
      <c r="K891" t="s">
        <v>1385</v>
      </c>
      <c r="L891" s="185"/>
      <c r="M891" s="188">
        <v>45761</v>
      </c>
      <c r="N891" s="71"/>
      <c r="Q891" s="71"/>
      <c r="R891" s="71"/>
      <c r="S891" t="s">
        <v>1189</v>
      </c>
      <c r="T891" s="71"/>
    </row>
    <row r="892" spans="1:20" x14ac:dyDescent="0.3">
      <c r="A892" s="72">
        <f>IFERROR(VLOOKUP($G892,Conf!$B:$C,2,0),E892)</f>
        <v>30</v>
      </c>
      <c r="B892" s="72" t="str">
        <f ca="1">IF(D892="Inativo","Inativo",IFERROR(VLOOKUP($G892,Conf!$O:$Q,2,0),VLOOKUP($S892,Conf!$K:$M,2,0)))</f>
        <v>VENDAS</v>
      </c>
      <c r="C892" s="72" t="str">
        <f ca="1">IF(D892="Inativo","Inativo",IFERROR(VLOOKUP($G892,Conf!$O:$Q,3,0),IFERROR(VLOOKUP($G892,Conf!$E:$F,2,0),VLOOKUP($S892,Conf!$K:$M,3,0))))</f>
        <v>VENDEDOR</v>
      </c>
      <c r="D892" s="72" t="str">
        <f ca="1">IFERROR(IF(TODAY()-K892&gt;365,"Inativo",IF(J892=2,"Férias",IF(J892=7,"Demitido","Afastamento"))),VLOOKUP(J892,Conf!$H:$I,2,0))</f>
        <v>Ativos</v>
      </c>
      <c r="E892" s="187">
        <v>30</v>
      </c>
      <c r="F892" s="187">
        <v>70</v>
      </c>
      <c r="G892" t="s">
        <v>1148</v>
      </c>
      <c r="H892" s="71"/>
      <c r="I892" t="s">
        <v>220</v>
      </c>
      <c r="J892" s="187">
        <v>1</v>
      </c>
      <c r="K892" t="s">
        <v>1385</v>
      </c>
      <c r="L892" s="185"/>
      <c r="M892" s="188">
        <v>46154</v>
      </c>
      <c r="N892" s="71"/>
      <c r="Q892" s="71"/>
      <c r="R892" s="71"/>
      <c r="S892" t="s">
        <v>1400</v>
      </c>
      <c r="T892" s="71"/>
    </row>
    <row r="893" spans="1:20" x14ac:dyDescent="0.3">
      <c r="A893" s="72">
        <f>IFERROR(VLOOKUP($G893,Conf!$B:$C,2,0),E893)</f>
        <v>30</v>
      </c>
      <c r="B893" s="72" t="str">
        <f ca="1">IF(D893="Inativo","Inativo",IFERROR(VLOOKUP($G893,Conf!$O:$Q,2,0),VLOOKUP($S893,Conf!$K:$M,2,0)))</f>
        <v>VENDAS</v>
      </c>
      <c r="C893" s="72" t="str">
        <f ca="1">IF(D893="Inativo","Inativo",IFERROR(VLOOKUP($G893,Conf!$O:$Q,3,0),IFERROR(VLOOKUP($G893,Conf!$E:$F,2,0),VLOOKUP($S893,Conf!$K:$M,3,0))))</f>
        <v>VENDEDOR</v>
      </c>
      <c r="D893" s="72" t="str">
        <f ca="1">IFERROR(IF(TODAY()-K893&gt;365,"Inativo",IF(J893=2,"Férias",IF(J893=7,"Demitido","Afastamento"))),VLOOKUP(J893,Conf!$H:$I,2,0))</f>
        <v>Ativos</v>
      </c>
      <c r="E893" s="187">
        <v>30</v>
      </c>
      <c r="F893" s="187">
        <v>125</v>
      </c>
      <c r="G893" t="s">
        <v>1190</v>
      </c>
      <c r="H893" s="71"/>
      <c r="I893" t="s">
        <v>994</v>
      </c>
      <c r="J893" s="187">
        <v>1</v>
      </c>
      <c r="K893" t="s">
        <v>1385</v>
      </c>
      <c r="L893" s="185"/>
      <c r="M893" s="188">
        <v>45505</v>
      </c>
      <c r="N893" s="71"/>
      <c r="Q893" s="71"/>
      <c r="R893" s="71"/>
      <c r="S893" t="s">
        <v>1189</v>
      </c>
      <c r="T893" s="71"/>
    </row>
    <row r="894" spans="1:20" x14ac:dyDescent="0.3">
      <c r="A894" s="72">
        <f>IFERROR(VLOOKUP($G894,Conf!$B:$C,2,0),E894)</f>
        <v>30</v>
      </c>
      <c r="B894" s="72" t="str">
        <f ca="1">IF(D894="Inativo","Inativo",IFERROR(VLOOKUP($G894,Conf!$O:$Q,2,0),VLOOKUP($S894,Conf!$K:$M,2,0)))</f>
        <v>VENDAS</v>
      </c>
      <c r="C894" s="72" t="str">
        <f ca="1">IF(D894="Inativo","Inativo",IFERROR(VLOOKUP($G894,Conf!$O:$Q,3,0),IFERROR(VLOOKUP($G894,Conf!$E:$F,2,0),VLOOKUP($S894,Conf!$K:$M,3,0))))</f>
        <v>VENDEDOR</v>
      </c>
      <c r="D894" s="72" t="str">
        <f ca="1">IFERROR(IF(TODAY()-K894&gt;365,"Inativo",IF(J894=2,"Férias",IF(J894=7,"Demitido","Afastamento"))),VLOOKUP(J894,Conf!$H:$I,2,0))</f>
        <v>Ativos</v>
      </c>
      <c r="E894" s="187">
        <v>30</v>
      </c>
      <c r="F894" s="187">
        <v>37</v>
      </c>
      <c r="G894" t="s">
        <v>1191</v>
      </c>
      <c r="H894" s="71"/>
      <c r="I894" t="s">
        <v>994</v>
      </c>
      <c r="J894" s="187">
        <v>1</v>
      </c>
      <c r="K894" t="s">
        <v>1385</v>
      </c>
      <c r="L894" s="185"/>
      <c r="M894" s="188">
        <v>45110</v>
      </c>
      <c r="N894" s="71"/>
      <c r="O894" s="71"/>
      <c r="P894" s="71"/>
      <c r="Q894" s="71"/>
      <c r="R894" s="71"/>
      <c r="S894" t="s">
        <v>1189</v>
      </c>
      <c r="T894" s="71"/>
    </row>
    <row r="895" spans="1:20" x14ac:dyDescent="0.3">
      <c r="A895" s="72">
        <f>IFERROR(VLOOKUP($G895,Conf!$B:$C,2,0),E895)</f>
        <v>30</v>
      </c>
      <c r="B895" s="72" t="str">
        <f ca="1">IF(D895="Inativo","Inativo",IFERROR(VLOOKUP($G895,Conf!$O:$Q,2,0),VLOOKUP($S895,Conf!$K:$M,2,0)))</f>
        <v>ADMINISTRATIVO</v>
      </c>
      <c r="C895" s="72" t="str">
        <f ca="1">IF(D895="Inativo","Inativo",IFERROR(VLOOKUP($G895,Conf!$O:$Q,3,0),IFERROR(VLOOKUP($G895,Conf!$E:$F,2,0),VLOOKUP($S895,Conf!$K:$M,3,0))))</f>
        <v>AUXILIAR</v>
      </c>
      <c r="D895" s="72" t="str">
        <f ca="1">IFERROR(IF(TODAY()-K895&gt;365,"Inativo",IF(J895=2,"Férias",IF(J895=7,"Demitido","Afastamento"))),VLOOKUP(J895,Conf!$H:$I,2,0))</f>
        <v>Ativos</v>
      </c>
      <c r="E895" s="187">
        <v>30</v>
      </c>
      <c r="F895" s="187">
        <v>303</v>
      </c>
      <c r="G895" t="s">
        <v>1657</v>
      </c>
      <c r="H895" s="71"/>
      <c r="I895" t="s">
        <v>604</v>
      </c>
      <c r="J895" s="187">
        <v>1</v>
      </c>
      <c r="K895" t="s">
        <v>1385</v>
      </c>
      <c r="L895" s="185"/>
      <c r="M895" s="188">
        <v>46308</v>
      </c>
      <c r="N895" s="71"/>
      <c r="Q895" s="71"/>
      <c r="R895" s="71"/>
      <c r="S895" t="s">
        <v>1660</v>
      </c>
      <c r="T895" s="71"/>
    </row>
    <row r="896" spans="1:20" x14ac:dyDescent="0.3">
      <c r="A896" s="72">
        <f>IFERROR(VLOOKUP($G896,Conf!$B:$C,2,0),E896)</f>
        <v>50</v>
      </c>
      <c r="B896" s="72" t="str">
        <f ca="1">IF(D896="Inativo","Inativo",IFERROR(VLOOKUP($G896,Conf!$O:$Q,2,0),VLOOKUP($S896,Conf!$K:$M,2,0)))</f>
        <v>ADMINISTRATIVO</v>
      </c>
      <c r="C896" s="72" t="str">
        <f ca="1">IF(D896="Inativo","Inativo",IFERROR(VLOOKUP($G896,Conf!$O:$Q,3,0),IFERROR(VLOOKUP($G896,Conf!$E:$F,2,0),VLOOKUP($S896,Conf!$K:$M,3,0))))</f>
        <v>ASSISTENTE</v>
      </c>
      <c r="D896" s="72" t="str">
        <f ca="1">IFERROR(IF(TODAY()-K896&gt;365,"Inativo",IF(J896=2,"Férias",IF(J896=7,"Demitido","Afastamento"))),VLOOKUP(J896,Conf!$H:$I,2,0))</f>
        <v>Ativos</v>
      </c>
      <c r="E896" s="187">
        <v>50</v>
      </c>
      <c r="F896" s="187">
        <v>5</v>
      </c>
      <c r="G896" t="s">
        <v>1195</v>
      </c>
      <c r="H896" s="71"/>
      <c r="I896" t="s">
        <v>1054</v>
      </c>
      <c r="J896" s="187">
        <v>1</v>
      </c>
      <c r="K896" t="s">
        <v>1385</v>
      </c>
      <c r="L896" s="185"/>
      <c r="M896" s="188">
        <v>44501</v>
      </c>
      <c r="N896" s="71"/>
      <c r="O896" s="71"/>
      <c r="P896" s="71"/>
      <c r="Q896" s="71"/>
      <c r="R896" s="71"/>
      <c r="S896" t="s">
        <v>1196</v>
      </c>
      <c r="T896" s="71"/>
    </row>
    <row r="897" spans="1:20" x14ac:dyDescent="0.3">
      <c r="A897" s="72">
        <f>IFERROR(VLOOKUP($G897,Conf!$B:$C,2,0),E897)</f>
        <v>50</v>
      </c>
      <c r="B897" s="72" t="str">
        <f ca="1">IF(D897="Inativo","Inativo",IFERROR(VLOOKUP($G897,Conf!$O:$Q,2,0),VLOOKUP($S897,Conf!$K:$M,2,0)))</f>
        <v>ADMINISTRATIVO</v>
      </c>
      <c r="C897" s="72" t="str">
        <f ca="1">IF(D897="Inativo","Inativo",IFERROR(VLOOKUP($G897,Conf!$O:$Q,3,0),IFERROR(VLOOKUP($G897,Conf!$E:$F,2,0),VLOOKUP($S897,Conf!$K:$M,3,0))))</f>
        <v>FATURISTA</v>
      </c>
      <c r="D897" s="72" t="str">
        <f ca="1">IFERROR(IF(TODAY()-K897&gt;365,"Inativo",IF(J897=2,"Férias",IF(J897=7,"Demitido","Afastamento"))),VLOOKUP(J897,Conf!$H:$I,2,0))</f>
        <v>Ativos</v>
      </c>
      <c r="E897" s="187">
        <v>50</v>
      </c>
      <c r="F897" s="187">
        <v>20</v>
      </c>
      <c r="G897" t="s">
        <v>1192</v>
      </c>
      <c r="H897" s="71"/>
      <c r="I897" t="s">
        <v>1054</v>
      </c>
      <c r="J897" s="187">
        <v>1</v>
      </c>
      <c r="K897" t="s">
        <v>1385</v>
      </c>
      <c r="L897" s="185"/>
      <c r="M897" s="188">
        <v>46030</v>
      </c>
      <c r="N897" s="71"/>
      <c r="Q897" s="71"/>
      <c r="R897" s="71"/>
      <c r="S897" t="s">
        <v>1193</v>
      </c>
      <c r="T897" s="71"/>
    </row>
    <row r="898" spans="1:20" x14ac:dyDescent="0.3">
      <c r="A898" s="72">
        <f>IFERROR(VLOOKUP($G898,Conf!$B:$C,2,0),E898)</f>
        <v>50</v>
      </c>
      <c r="B898" s="72" t="str">
        <f ca="1">IF(D898="Inativo","Inativo",IFERROR(VLOOKUP($G898,Conf!$O:$Q,2,0),VLOOKUP($S898,Conf!$K:$M,2,0)))</f>
        <v>ADMINISTRATIVO</v>
      </c>
      <c r="C898" s="72" t="str">
        <f ca="1">IF(D898="Inativo","Inativo",IFERROR(VLOOKUP($G898,Conf!$O:$Q,3,0),IFERROR(VLOOKUP($G898,Conf!$E:$F,2,0),VLOOKUP($S898,Conf!$K:$M,3,0))))</f>
        <v>FATURISTA</v>
      </c>
      <c r="D898" s="72" t="str">
        <f ca="1">IFERROR(IF(TODAY()-K898&gt;365,"Inativo",IF(J898=2,"Férias",IF(J898=7,"Demitido","Afastamento"))),VLOOKUP(J898,Conf!$H:$I,2,0))</f>
        <v>Ativos</v>
      </c>
      <c r="E898" s="187">
        <v>50</v>
      </c>
      <c r="F898" s="187">
        <v>3</v>
      </c>
      <c r="G898" t="s">
        <v>1194</v>
      </c>
      <c r="H898" s="71"/>
      <c r="I898" t="s">
        <v>1054</v>
      </c>
      <c r="J898" s="187">
        <v>1</v>
      </c>
      <c r="K898" t="s">
        <v>1385</v>
      </c>
      <c r="L898" s="185"/>
      <c r="M898" s="188">
        <v>44440</v>
      </c>
      <c r="N898" s="71"/>
      <c r="Q898" s="71"/>
      <c r="R898" s="71"/>
      <c r="S898" t="s">
        <v>1193</v>
      </c>
      <c r="T898" s="71"/>
    </row>
    <row r="899" spans="1:20" x14ac:dyDescent="0.3">
      <c r="A899" s="72">
        <f>IFERROR(VLOOKUP($G899,Conf!$B:$C,2,0),E899)</f>
        <v>50</v>
      </c>
      <c r="B899" s="72" t="str">
        <f ca="1">IF(D899="Inativo","Inativo",IFERROR(VLOOKUP($G899,Conf!$O:$Q,2,0),VLOOKUP($S899,Conf!$K:$M,2,0)))</f>
        <v>ADMINISTRATIVO</v>
      </c>
      <c r="C899" s="72" t="str">
        <f ca="1">IF(D899="Inativo","Inativo",IFERROR(VLOOKUP($G899,Conf!$O:$Q,3,0),IFERROR(VLOOKUP($G899,Conf!$E:$F,2,0),VLOOKUP($S899,Conf!$K:$M,3,0))))</f>
        <v>FATURISTA</v>
      </c>
      <c r="D899" s="72" t="str">
        <f ca="1">IFERROR(IF(TODAY()-K899&gt;365,"Inativo",IF(J899=2,"Férias",IF(J899=7,"Demitido","Afastamento"))),VLOOKUP(J899,Conf!$H:$I,2,0))</f>
        <v>Ativos</v>
      </c>
      <c r="E899" s="187">
        <v>50</v>
      </c>
      <c r="F899" s="187">
        <v>22</v>
      </c>
      <c r="G899" t="s">
        <v>1197</v>
      </c>
      <c r="H899" s="71"/>
      <c r="I899" t="s">
        <v>1054</v>
      </c>
      <c r="J899" s="187">
        <v>1</v>
      </c>
      <c r="K899" t="s">
        <v>1385</v>
      </c>
      <c r="L899" s="185"/>
      <c r="M899" s="188">
        <v>46070</v>
      </c>
      <c r="N899" s="71"/>
      <c r="Q899" s="71"/>
      <c r="R899" s="71"/>
      <c r="S899" t="s">
        <v>1193</v>
      </c>
      <c r="T899" s="71"/>
    </row>
    <row r="900" spans="1:20" x14ac:dyDescent="0.3">
      <c r="A900" s="72">
        <f>IFERROR(VLOOKUP($G900,Conf!$B:$C,2,0),E900)</f>
        <v>50</v>
      </c>
      <c r="B900" s="72" t="str">
        <f ca="1">IF(D900="Inativo","Inativo",IFERROR(VLOOKUP($G900,Conf!$O:$Q,2,0),VLOOKUP($S900,Conf!$K:$M,2,0)))</f>
        <v>DEPOSITO</v>
      </c>
      <c r="C900" s="72" t="str">
        <f ca="1">IF(D900="Inativo","Inativo",IFERROR(VLOOKUP($G900,Conf!$O:$Q,3,0),IFERROR(VLOOKUP($G900,Conf!$E:$F,2,0),VLOOKUP($S900,Conf!$K:$M,3,0))))</f>
        <v>AUXILIAR</v>
      </c>
      <c r="D900" s="72" t="str">
        <f ca="1">IFERROR(IF(TODAY()-K900&gt;365,"Inativo",IF(J900=2,"Férias",IF(J900=7,"Demitido","Afastamento"))),VLOOKUP(J900,Conf!$H:$I,2,0))</f>
        <v>Ativos</v>
      </c>
      <c r="E900" s="187">
        <v>50</v>
      </c>
      <c r="F900" s="187">
        <v>204</v>
      </c>
      <c r="G900" t="s">
        <v>1446</v>
      </c>
      <c r="H900" s="71"/>
      <c r="I900" t="s">
        <v>1054</v>
      </c>
      <c r="J900" s="187">
        <v>1</v>
      </c>
      <c r="K900" t="s">
        <v>1385</v>
      </c>
      <c r="L900" s="185"/>
      <c r="M900" s="188">
        <v>46235</v>
      </c>
      <c r="N900" s="71"/>
      <c r="O900" s="71"/>
      <c r="P900" s="71"/>
      <c r="Q900" s="71"/>
      <c r="R900" s="71"/>
      <c r="S900" t="s">
        <v>1055</v>
      </c>
    </row>
    <row r="901" spans="1:20" x14ac:dyDescent="0.3">
      <c r="A901" s="72">
        <f>IFERROR(VLOOKUP($G901,Conf!$B:$C,2,0),E901)</f>
        <v>50</v>
      </c>
      <c r="B901" s="72" t="str">
        <f ca="1">IF(D901="Inativo","Inativo",IFERROR(VLOOKUP($G901,Conf!$O:$Q,2,0),VLOOKUP($S901,Conf!$K:$M,2,0)))</f>
        <v>DEPOSITO</v>
      </c>
      <c r="C901" s="72" t="str">
        <f ca="1">IF(D901="Inativo","Inativo",IFERROR(VLOOKUP($G901,Conf!$O:$Q,3,0),IFERROR(VLOOKUP($G901,Conf!$E:$F,2,0),VLOOKUP($S901,Conf!$K:$M,3,0))))</f>
        <v>AUXILIAR</v>
      </c>
      <c r="D901" s="72" t="str">
        <f ca="1">IFERROR(IF(TODAY()-K901&gt;365,"Inativo",IF(J901=2,"Férias",IF(J901=7,"Demitido","Afastamento"))),VLOOKUP(J901,Conf!$H:$I,2,0))</f>
        <v>Ativos</v>
      </c>
      <c r="E901" s="187">
        <v>50</v>
      </c>
      <c r="F901" s="187">
        <v>143</v>
      </c>
      <c r="G901" t="s">
        <v>1057</v>
      </c>
      <c r="H901" s="71"/>
      <c r="I901" t="s">
        <v>1054</v>
      </c>
      <c r="J901" s="187">
        <v>1</v>
      </c>
      <c r="K901" t="s">
        <v>1385</v>
      </c>
      <c r="L901" s="185"/>
      <c r="M901" s="188">
        <v>45352</v>
      </c>
      <c r="N901" s="71"/>
      <c r="Q901" s="71"/>
      <c r="R901" s="71"/>
      <c r="S901" t="s">
        <v>1055</v>
      </c>
    </row>
    <row r="902" spans="1:20" x14ac:dyDescent="0.3">
      <c r="A902" s="72">
        <f>IFERROR(VLOOKUP($G902,Conf!$B:$C,2,0),E902)</f>
        <v>50</v>
      </c>
      <c r="B902" s="72" t="str">
        <f ca="1">IF(D902="Inativo","Inativo",IFERROR(VLOOKUP($G902,Conf!$O:$Q,2,0),VLOOKUP($S902,Conf!$K:$M,2,0)))</f>
        <v>DEPOSITO</v>
      </c>
      <c r="C902" s="72" t="str">
        <f ca="1">IF(D902="Inativo","Inativo",IFERROR(VLOOKUP($G902,Conf!$O:$Q,3,0),IFERROR(VLOOKUP($G902,Conf!$E:$F,2,0),VLOOKUP($S902,Conf!$K:$M,3,0))))</f>
        <v>AUXILIAR</v>
      </c>
      <c r="D902" s="72" t="str">
        <f ca="1">IFERROR(IF(TODAY()-K902&gt;365,"Inativo",IF(J902=2,"Férias",IF(J902=7,"Demitido","Afastamento"))),VLOOKUP(J902,Conf!$H:$I,2,0))</f>
        <v>Ativos</v>
      </c>
      <c r="E902" s="187">
        <v>50</v>
      </c>
      <c r="F902" s="187">
        <v>211</v>
      </c>
      <c r="G902" t="s">
        <v>1513</v>
      </c>
      <c r="H902" s="71"/>
      <c r="I902" t="s">
        <v>1054</v>
      </c>
      <c r="J902" s="187">
        <v>1</v>
      </c>
      <c r="K902" t="s">
        <v>1385</v>
      </c>
      <c r="L902" s="185"/>
      <c r="M902" s="188">
        <v>46266</v>
      </c>
      <c r="N902" s="71"/>
      <c r="Q902" s="71"/>
      <c r="R902" s="71"/>
      <c r="S902" t="s">
        <v>1055</v>
      </c>
    </row>
    <row r="903" spans="1:20" x14ac:dyDescent="0.3">
      <c r="A903" s="72">
        <f>IFERROR(VLOOKUP($G903,Conf!$B:$C,2,0),E903)</f>
        <v>50</v>
      </c>
      <c r="B903" s="72" t="str">
        <f ca="1">IF(D903="Inativo","Inativo",IFERROR(VLOOKUP($G903,Conf!$O:$Q,2,0),VLOOKUP($S903,Conf!$K:$M,2,0)))</f>
        <v>DEPOSITO</v>
      </c>
      <c r="C903" s="72" t="str">
        <f ca="1">IF(D903="Inativo","Inativo",IFERROR(VLOOKUP($G903,Conf!$O:$Q,3,0),IFERROR(VLOOKUP($G903,Conf!$E:$F,2,0),VLOOKUP($S903,Conf!$K:$M,3,0))))</f>
        <v>AUXILIAR</v>
      </c>
      <c r="D903" s="72" t="str">
        <f ca="1">IFERROR(IF(TODAY()-K903&gt;365,"Inativo",IF(J903=2,"Férias",IF(J903=7,"Demitido","Afastamento"))),VLOOKUP(J903,Conf!$H:$I,2,0))</f>
        <v>Ativos</v>
      </c>
      <c r="E903" s="187">
        <v>50</v>
      </c>
      <c r="F903" s="187">
        <v>106</v>
      </c>
      <c r="G903" t="s">
        <v>1061</v>
      </c>
      <c r="H903" s="71"/>
      <c r="I903" t="s">
        <v>1054</v>
      </c>
      <c r="J903" s="187">
        <v>1</v>
      </c>
      <c r="K903" t="s">
        <v>1385</v>
      </c>
      <c r="L903" s="185"/>
      <c r="M903" s="188">
        <v>45048</v>
      </c>
      <c r="N903" s="71"/>
      <c r="Q903" s="71"/>
      <c r="R903" s="71"/>
      <c r="S903" t="s">
        <v>1055</v>
      </c>
      <c r="T903" s="71"/>
    </row>
    <row r="904" spans="1:20" x14ac:dyDescent="0.3">
      <c r="A904" s="72">
        <f>IFERROR(VLOOKUP($G904,Conf!$B:$C,2,0),E904)</f>
        <v>50</v>
      </c>
      <c r="B904" s="72" t="str">
        <f ca="1">IF(D904="Inativo","Inativo",IFERROR(VLOOKUP($G904,Conf!$O:$Q,2,0),VLOOKUP($S904,Conf!$K:$M,2,0)))</f>
        <v>DEPOSITO</v>
      </c>
      <c r="C904" s="72" t="str">
        <f ca="1">IF(D904="Inativo","Inativo",IFERROR(VLOOKUP($G904,Conf!$O:$Q,3,0),IFERROR(VLOOKUP($G904,Conf!$E:$F,2,0),VLOOKUP($S904,Conf!$K:$M,3,0))))</f>
        <v>AUXILIAR</v>
      </c>
      <c r="D904" s="72" t="str">
        <f ca="1">IFERROR(IF(TODAY()-K904&gt;365,"Inativo",IF(J904=2,"Férias",IF(J904=7,"Demitido","Afastamento"))),VLOOKUP(J904,Conf!$H:$I,2,0))</f>
        <v>Ativos</v>
      </c>
      <c r="E904" s="187">
        <v>50</v>
      </c>
      <c r="F904" s="187">
        <v>187</v>
      </c>
      <c r="G904" t="s">
        <v>1063</v>
      </c>
      <c r="H904" s="71"/>
      <c r="I904" t="s">
        <v>1054</v>
      </c>
      <c r="J904" s="187">
        <v>1</v>
      </c>
      <c r="K904" t="s">
        <v>1385</v>
      </c>
      <c r="L904" s="185"/>
      <c r="M904" s="188">
        <v>45992</v>
      </c>
      <c r="N904" s="71"/>
      <c r="Q904" s="71"/>
      <c r="R904" s="71"/>
      <c r="S904" t="s">
        <v>1055</v>
      </c>
    </row>
    <row r="905" spans="1:20" x14ac:dyDescent="0.3">
      <c r="A905" s="72">
        <f>IFERROR(VLOOKUP($G905,Conf!$B:$C,2,0),E905)</f>
        <v>50</v>
      </c>
      <c r="B905" s="72" t="str">
        <f ca="1">IF(D905="Inativo","Inativo",IFERROR(VLOOKUP($G905,Conf!$O:$Q,2,0),VLOOKUP($S905,Conf!$K:$M,2,0)))</f>
        <v>DEPOSITO</v>
      </c>
      <c r="C905" s="72" t="str">
        <f ca="1">IF(D905="Inativo","Inativo",IFERROR(VLOOKUP($G905,Conf!$O:$Q,3,0),IFERROR(VLOOKUP($G905,Conf!$E:$F,2,0),VLOOKUP($S905,Conf!$K:$M,3,0))))</f>
        <v>AUXILIAR</v>
      </c>
      <c r="D905" s="72" t="str">
        <f ca="1">IFERROR(IF(TODAY()-K905&gt;365,"Inativo",IF(J905=2,"Férias",IF(J905=7,"Demitido","Afastamento"))),VLOOKUP(J905,Conf!$H:$I,2,0))</f>
        <v>Ativos</v>
      </c>
      <c r="E905" s="187">
        <v>50</v>
      </c>
      <c r="F905" s="187">
        <v>188</v>
      </c>
      <c r="G905" t="s">
        <v>1066</v>
      </c>
      <c r="H905" s="71"/>
      <c r="I905" t="s">
        <v>1054</v>
      </c>
      <c r="J905" s="187">
        <v>1</v>
      </c>
      <c r="K905" t="s">
        <v>1385</v>
      </c>
      <c r="L905" s="185"/>
      <c r="M905" s="188">
        <v>46055</v>
      </c>
      <c r="N905" s="71"/>
      <c r="Q905" s="71"/>
      <c r="R905" s="71"/>
      <c r="S905" t="s">
        <v>1055</v>
      </c>
    </row>
    <row r="906" spans="1:20" x14ac:dyDescent="0.3">
      <c r="A906" s="72">
        <f>IFERROR(VLOOKUP($G906,Conf!$B:$C,2,0),E906)</f>
        <v>50</v>
      </c>
      <c r="B906" s="72" t="str">
        <f ca="1">IF(D906="Inativo","Inativo",IFERROR(VLOOKUP($G906,Conf!$O:$Q,2,0),VLOOKUP($S906,Conf!$K:$M,2,0)))</f>
        <v>DEPOSITO</v>
      </c>
      <c r="C906" s="72" t="str">
        <f ca="1">IF(D906="Inativo","Inativo",IFERROR(VLOOKUP($G906,Conf!$O:$Q,3,0),IFERROR(VLOOKUP($G906,Conf!$E:$F,2,0),VLOOKUP($S906,Conf!$K:$M,3,0))))</f>
        <v>AUXILIAR</v>
      </c>
      <c r="D906" s="72" t="str">
        <f ca="1">IFERROR(IF(TODAY()-K906&gt;365,"Inativo",IF(J906=2,"Férias",IF(J906=7,"Demitido","Afastamento"))),VLOOKUP(J906,Conf!$H:$I,2,0))</f>
        <v>Ativos</v>
      </c>
      <c r="E906" s="187">
        <v>50</v>
      </c>
      <c r="F906" s="187">
        <v>208</v>
      </c>
      <c r="G906" t="s">
        <v>1510</v>
      </c>
      <c r="H906" s="71"/>
      <c r="I906" t="s">
        <v>1054</v>
      </c>
      <c r="J906" s="187">
        <v>1</v>
      </c>
      <c r="K906" t="s">
        <v>1385</v>
      </c>
      <c r="L906" s="185"/>
      <c r="M906" s="188">
        <v>46266</v>
      </c>
      <c r="N906" s="71"/>
      <c r="Q906" s="71"/>
      <c r="R906" s="71"/>
      <c r="S906" t="s">
        <v>1055</v>
      </c>
      <c r="T906" s="71"/>
    </row>
    <row r="907" spans="1:20" x14ac:dyDescent="0.3">
      <c r="A907" s="72">
        <f>IFERROR(VLOOKUP($G907,Conf!$B:$C,2,0),E907)</f>
        <v>50</v>
      </c>
      <c r="B907" s="72" t="str">
        <f ca="1">IF(D907="Inativo","Inativo",IFERROR(VLOOKUP($G907,Conf!$O:$Q,2,0),VLOOKUP($S907,Conf!$K:$M,2,0)))</f>
        <v>DEPOSITO</v>
      </c>
      <c r="C907" s="72" t="str">
        <f ca="1">IF(D907="Inativo","Inativo",IFERROR(VLOOKUP($G907,Conf!$O:$Q,3,0),IFERROR(VLOOKUP($G907,Conf!$E:$F,2,0),VLOOKUP($S907,Conf!$K:$M,3,0))))</f>
        <v>AUXILIAR</v>
      </c>
      <c r="D907" s="72" t="str">
        <f ca="1">IFERROR(IF(TODAY()-K907&gt;365,"Inativo",IF(J907=2,"Férias",IF(J907=7,"Demitido","Afastamento"))),VLOOKUP(J907,Conf!$H:$I,2,0))</f>
        <v>Ativos</v>
      </c>
      <c r="E907" s="187">
        <v>50</v>
      </c>
      <c r="F907" s="187">
        <v>161</v>
      </c>
      <c r="G907" t="s">
        <v>1068</v>
      </c>
      <c r="H907" s="71"/>
      <c r="I907" t="s">
        <v>1054</v>
      </c>
      <c r="J907" s="187">
        <v>1</v>
      </c>
      <c r="K907" t="s">
        <v>1385</v>
      </c>
      <c r="L907" s="185"/>
      <c r="M907" s="188">
        <v>45537</v>
      </c>
      <c r="N907" s="71"/>
      <c r="Q907" s="71"/>
      <c r="R907" s="71"/>
      <c r="S907" t="s">
        <v>1055</v>
      </c>
    </row>
    <row r="908" spans="1:20" x14ac:dyDescent="0.3">
      <c r="A908" s="72">
        <f>IFERROR(VLOOKUP($G908,Conf!$B:$C,2,0),E908)</f>
        <v>50</v>
      </c>
      <c r="B908" s="72" t="str">
        <f ca="1">IF(D908="Inativo","Inativo",IFERROR(VLOOKUP($G908,Conf!$O:$Q,2,0),VLOOKUP($S908,Conf!$K:$M,2,0)))</f>
        <v>DEPOSITO</v>
      </c>
      <c r="C908" s="72" t="str">
        <f ca="1">IF(D908="Inativo","Inativo",IFERROR(VLOOKUP($G908,Conf!$O:$Q,3,0),IFERROR(VLOOKUP($G908,Conf!$E:$F,2,0),VLOOKUP($S908,Conf!$K:$M,3,0))))</f>
        <v>AUXILIAR</v>
      </c>
      <c r="D908" s="72" t="str">
        <f ca="1">IFERROR(IF(TODAY()-K908&gt;365,"Inativo",IF(J908=2,"Férias",IF(J908=7,"Demitido","Afastamento"))),VLOOKUP(J908,Conf!$H:$I,2,0))</f>
        <v>Ativos</v>
      </c>
      <c r="E908" s="187">
        <v>50</v>
      </c>
      <c r="F908" s="187">
        <v>209</v>
      </c>
      <c r="G908" t="s">
        <v>1511</v>
      </c>
      <c r="H908" s="71"/>
      <c r="I908" t="s">
        <v>1054</v>
      </c>
      <c r="J908" s="187">
        <v>1</v>
      </c>
      <c r="K908" t="s">
        <v>1385</v>
      </c>
      <c r="L908" s="185"/>
      <c r="M908" s="188">
        <v>46266</v>
      </c>
      <c r="N908" s="71"/>
      <c r="Q908" s="71"/>
      <c r="R908" s="71"/>
      <c r="S908" t="s">
        <v>1055</v>
      </c>
      <c r="T908" s="71"/>
    </row>
    <row r="909" spans="1:20" x14ac:dyDescent="0.3">
      <c r="A909" s="72">
        <f>IFERROR(VLOOKUP($G909,Conf!$B:$C,2,0),E909)</f>
        <v>50</v>
      </c>
      <c r="B909" s="72" t="str">
        <f ca="1">IF(D909="Inativo","Inativo",IFERROR(VLOOKUP($G909,Conf!$O:$Q,2,0),VLOOKUP($S909,Conf!$K:$M,2,0)))</f>
        <v>DEPOSITO</v>
      </c>
      <c r="C909" s="72" t="str">
        <f ca="1">IF(D909="Inativo","Inativo",IFERROR(VLOOKUP($G909,Conf!$O:$Q,3,0),IFERROR(VLOOKUP($G909,Conf!$E:$F,2,0),VLOOKUP($S909,Conf!$K:$M,3,0))))</f>
        <v>AUXILIAR</v>
      </c>
      <c r="D909" s="72" t="str">
        <f ca="1">IFERROR(IF(TODAY()-K909&gt;365,"Inativo",IF(J909=2,"Férias",IF(J909=7,"Demitido","Afastamento"))),VLOOKUP(J909,Conf!$H:$I,2,0))</f>
        <v>Ativos</v>
      </c>
      <c r="E909" s="187">
        <v>50</v>
      </c>
      <c r="F909" s="187">
        <v>207</v>
      </c>
      <c r="G909" t="s">
        <v>1509</v>
      </c>
      <c r="H909" s="71"/>
      <c r="I909" t="s">
        <v>1054</v>
      </c>
      <c r="J909" s="187">
        <v>1</v>
      </c>
      <c r="K909" t="s">
        <v>1385</v>
      </c>
      <c r="L909" s="185"/>
      <c r="M909" s="188">
        <v>46266</v>
      </c>
      <c r="N909" s="71"/>
      <c r="Q909" s="71"/>
      <c r="R909" s="71"/>
      <c r="S909" t="s">
        <v>1055</v>
      </c>
    </row>
    <row r="910" spans="1:20" x14ac:dyDescent="0.3">
      <c r="A910" s="72">
        <f>IFERROR(VLOOKUP($G910,Conf!$B:$C,2,0),E910)</f>
        <v>50</v>
      </c>
      <c r="B910" s="72" t="str">
        <f ca="1">IF(D910="Inativo","Inativo",IFERROR(VLOOKUP($G910,Conf!$O:$Q,2,0),VLOOKUP($S910,Conf!$K:$M,2,0)))</f>
        <v>DEPOSITO</v>
      </c>
      <c r="C910" s="72" t="str">
        <f ca="1">IF(D910="Inativo","Inativo",IFERROR(VLOOKUP($G910,Conf!$O:$Q,3,0),IFERROR(VLOOKUP($G910,Conf!$E:$F,2,0),VLOOKUP($S910,Conf!$K:$M,3,0))))</f>
        <v>AUXILIAR</v>
      </c>
      <c r="D910" s="72" t="str">
        <f ca="1">IFERROR(IF(TODAY()-K910&gt;365,"Inativo",IF(J910=2,"Férias",IF(J910=7,"Demitido","Afastamento"))),VLOOKUP(J910,Conf!$H:$I,2,0))</f>
        <v>Ativos</v>
      </c>
      <c r="E910" s="187">
        <v>50</v>
      </c>
      <c r="F910" s="187">
        <v>205</v>
      </c>
      <c r="G910" t="s">
        <v>1447</v>
      </c>
      <c r="H910" s="71"/>
      <c r="I910" t="s">
        <v>1054</v>
      </c>
      <c r="J910" s="187">
        <v>1</v>
      </c>
      <c r="K910" t="s">
        <v>1385</v>
      </c>
      <c r="L910" s="185"/>
      <c r="M910" s="188">
        <v>46235</v>
      </c>
      <c r="N910" s="71"/>
      <c r="O910" s="71"/>
      <c r="P910" s="71"/>
      <c r="Q910" s="71"/>
      <c r="R910" s="71"/>
      <c r="S910" t="s">
        <v>1055</v>
      </c>
    </row>
    <row r="911" spans="1:20" x14ac:dyDescent="0.3">
      <c r="A911" s="72">
        <f>IFERROR(VLOOKUP($G911,Conf!$B:$C,2,0),E911)</f>
        <v>50</v>
      </c>
      <c r="B911" s="72" t="str">
        <f ca="1">IF(D911="Inativo","Inativo",IFERROR(VLOOKUP($G911,Conf!$O:$Q,2,0),VLOOKUP($S911,Conf!$K:$M,2,0)))</f>
        <v>DEPOSITO</v>
      </c>
      <c r="C911" s="72" t="str">
        <f ca="1">IF(D911="Inativo","Inativo",IFERROR(VLOOKUP($G911,Conf!$O:$Q,3,0),IFERROR(VLOOKUP($G911,Conf!$E:$F,2,0),VLOOKUP($S911,Conf!$K:$M,3,0))))</f>
        <v>AUXILIAR</v>
      </c>
      <c r="D911" s="72" t="str">
        <f ca="1">IFERROR(IF(TODAY()-K911&gt;365,"Inativo",IF(J911=2,"Férias",IF(J911=7,"Demitido","Afastamento"))),VLOOKUP(J911,Conf!$H:$I,2,0))</f>
        <v>Ativos</v>
      </c>
      <c r="E911" s="187">
        <v>50</v>
      </c>
      <c r="F911" s="187">
        <v>184</v>
      </c>
      <c r="G911" t="s">
        <v>1074</v>
      </c>
      <c r="I911" t="s">
        <v>1054</v>
      </c>
      <c r="J911" s="187">
        <v>1</v>
      </c>
      <c r="K911" t="s">
        <v>1385</v>
      </c>
      <c r="M911" s="188">
        <v>45962</v>
      </c>
      <c r="S911" t="s">
        <v>1055</v>
      </c>
    </row>
    <row r="912" spans="1:20" x14ac:dyDescent="0.3">
      <c r="A912" s="72">
        <f>IFERROR(VLOOKUP($G912,Conf!$B:$C,2,0),E912)</f>
        <v>50</v>
      </c>
      <c r="B912" s="72" t="str">
        <f ca="1">IF(D912="Inativo","Inativo",IFERROR(VLOOKUP($G912,Conf!$O:$Q,2,0),VLOOKUP($S912,Conf!$K:$M,2,0)))</f>
        <v>DEPOSITO</v>
      </c>
      <c r="C912" s="72" t="str">
        <f ca="1">IF(D912="Inativo","Inativo",IFERROR(VLOOKUP($G912,Conf!$O:$Q,3,0),IFERROR(VLOOKUP($G912,Conf!$E:$F,2,0),VLOOKUP($S912,Conf!$K:$M,3,0))))</f>
        <v>AUXILIAR</v>
      </c>
      <c r="D912" s="72" t="str">
        <f ca="1">IFERROR(IF(TODAY()-K912&gt;365,"Inativo",IF(J912=2,"Férias",IF(J912=7,"Demitido","Afastamento"))),VLOOKUP(J912,Conf!$H:$I,2,0))</f>
        <v>Ativos</v>
      </c>
      <c r="E912" s="187">
        <v>50</v>
      </c>
      <c r="F912" s="187">
        <v>190</v>
      </c>
      <c r="G912" t="s">
        <v>1076</v>
      </c>
      <c r="I912" t="s">
        <v>1054</v>
      </c>
      <c r="J912" s="187">
        <v>1</v>
      </c>
      <c r="K912" t="s">
        <v>1385</v>
      </c>
      <c r="M912" s="188">
        <v>46055</v>
      </c>
      <c r="S912" t="s">
        <v>1055</v>
      </c>
      <c r="T912" s="71"/>
    </row>
    <row r="913" spans="1:20" x14ac:dyDescent="0.3">
      <c r="A913" s="72">
        <f>IFERROR(VLOOKUP($G913,Conf!$B:$C,2,0),E913)</f>
        <v>50</v>
      </c>
      <c r="B913" s="72" t="str">
        <f ca="1">IF(D913="Inativo","Inativo",IFERROR(VLOOKUP($G913,Conf!$O:$Q,2,0),VLOOKUP($S913,Conf!$K:$M,2,0)))</f>
        <v>DEPOSITO</v>
      </c>
      <c r="C913" s="72" t="str">
        <f ca="1">IF(D913="Inativo","Inativo",IFERROR(VLOOKUP($G913,Conf!$O:$Q,3,0),IFERROR(VLOOKUP($G913,Conf!$E:$F,2,0),VLOOKUP($S913,Conf!$K:$M,3,0))))</f>
        <v>AUXILIAR</v>
      </c>
      <c r="D913" s="72" t="str">
        <f ca="1">IFERROR(IF(TODAY()-K913&gt;365,"Inativo",IF(J913=2,"Férias",IF(J913=7,"Demitido","Afastamento"))),VLOOKUP(J913,Conf!$H:$I,2,0))</f>
        <v>Ativos</v>
      </c>
      <c r="E913" s="187">
        <v>50</v>
      </c>
      <c r="F913" s="187">
        <v>169</v>
      </c>
      <c r="G913" t="s">
        <v>1077</v>
      </c>
      <c r="H913" s="71"/>
      <c r="I913" t="s">
        <v>1054</v>
      </c>
      <c r="J913" s="187">
        <v>1</v>
      </c>
      <c r="K913" t="s">
        <v>1385</v>
      </c>
      <c r="L913" s="185"/>
      <c r="M913" s="188">
        <v>45717</v>
      </c>
      <c r="N913" s="71"/>
      <c r="Q913" s="71"/>
      <c r="R913" s="71"/>
      <c r="S913" t="s">
        <v>1055</v>
      </c>
    </row>
    <row r="914" spans="1:20" x14ac:dyDescent="0.3">
      <c r="A914" s="72">
        <f>IFERROR(VLOOKUP($G914,Conf!$B:$C,2,0),E914)</f>
        <v>50</v>
      </c>
      <c r="B914" s="72" t="str">
        <f ca="1">IF(D914="Inativo","Inativo",IFERROR(VLOOKUP($G914,Conf!$O:$Q,2,0),VLOOKUP($S914,Conf!$K:$M,2,0)))</f>
        <v>DEPOSITO</v>
      </c>
      <c r="C914" s="72" t="str">
        <f ca="1">IF(D914="Inativo","Inativo",IFERROR(VLOOKUP($G914,Conf!$O:$Q,3,0),IFERROR(VLOOKUP($G914,Conf!$E:$F,2,0),VLOOKUP($S914,Conf!$K:$M,3,0))))</f>
        <v>AUXILIAR</v>
      </c>
      <c r="D914" s="72" t="str">
        <f ca="1">IFERROR(IF(TODAY()-K914&gt;365,"Inativo",IF(J914=2,"Férias",IF(J914=7,"Demitido","Afastamento"))),VLOOKUP(J914,Conf!$H:$I,2,0))</f>
        <v>Férias</v>
      </c>
      <c r="E914" s="187">
        <v>50</v>
      </c>
      <c r="F914" s="187">
        <v>5</v>
      </c>
      <c r="G914" t="s">
        <v>1078</v>
      </c>
      <c r="H914" s="71"/>
      <c r="I914" t="s">
        <v>1079</v>
      </c>
      <c r="J914" s="187">
        <v>2</v>
      </c>
      <c r="K914" t="s">
        <v>1629</v>
      </c>
      <c r="L914" s="185"/>
      <c r="M914" s="188">
        <v>44025</v>
      </c>
      <c r="N914" s="71"/>
      <c r="Q914" s="71"/>
      <c r="R914" s="71"/>
      <c r="S914" t="s">
        <v>1055</v>
      </c>
    </row>
    <row r="915" spans="1:20" x14ac:dyDescent="0.3">
      <c r="A915" s="72">
        <f>IFERROR(VLOOKUP($G915,Conf!$B:$C,2,0),E915)</f>
        <v>50</v>
      </c>
      <c r="B915" s="72" t="str">
        <f ca="1">IF(D915="Inativo","Inativo",IFERROR(VLOOKUP($G915,Conf!$O:$Q,2,0),VLOOKUP($S915,Conf!$K:$M,2,0)))</f>
        <v>DEPOSITO</v>
      </c>
      <c r="C915" s="72" t="str">
        <f ca="1">IF(D915="Inativo","Inativo",IFERROR(VLOOKUP($G915,Conf!$O:$Q,3,0),IFERROR(VLOOKUP($G915,Conf!$E:$F,2,0),VLOOKUP($S915,Conf!$K:$M,3,0))))</f>
        <v>AUXILIAR</v>
      </c>
      <c r="D915" s="72" t="str">
        <f ca="1">IFERROR(IF(TODAY()-K915&gt;365,"Inativo",IF(J915=2,"Férias",IF(J915=7,"Demitido","Afastamento"))),VLOOKUP(J915,Conf!$H:$I,2,0))</f>
        <v>Ativos</v>
      </c>
      <c r="E915" s="187">
        <v>50</v>
      </c>
      <c r="F915" s="187">
        <v>189</v>
      </c>
      <c r="G915" t="s">
        <v>1085</v>
      </c>
      <c r="I915" t="s">
        <v>1054</v>
      </c>
      <c r="J915" s="187">
        <v>1</v>
      </c>
      <c r="K915" t="s">
        <v>1385</v>
      </c>
      <c r="M915" s="188">
        <v>46055</v>
      </c>
      <c r="S915" t="s">
        <v>1055</v>
      </c>
    </row>
    <row r="916" spans="1:20" x14ac:dyDescent="0.3">
      <c r="A916" s="72">
        <f>IFERROR(VLOOKUP($G916,Conf!$B:$C,2,0),E916)</f>
        <v>50</v>
      </c>
      <c r="B916" s="72" t="str">
        <f ca="1">IF(D916="Inativo","Inativo",IFERROR(VLOOKUP($G916,Conf!$O:$Q,2,0),VLOOKUP($S916,Conf!$K:$M,2,0)))</f>
        <v>DEPOSITO</v>
      </c>
      <c r="C916" s="72" t="str">
        <f ca="1">IF(D916="Inativo","Inativo",IFERROR(VLOOKUP($G916,Conf!$O:$Q,3,0),IFERROR(VLOOKUP($G916,Conf!$E:$F,2,0),VLOOKUP($S916,Conf!$K:$M,3,0))))</f>
        <v>AUXILIAR</v>
      </c>
      <c r="D916" s="72" t="str">
        <f ca="1">IFERROR(IF(TODAY()-K916&gt;365,"Inativo",IF(J916=2,"Férias",IF(J916=7,"Demitido","Afastamento"))),VLOOKUP(J916,Conf!$H:$I,2,0))</f>
        <v>Ativos</v>
      </c>
      <c r="E916" s="187">
        <v>50</v>
      </c>
      <c r="F916" s="187">
        <v>210</v>
      </c>
      <c r="G916" t="s">
        <v>1512</v>
      </c>
      <c r="H916" s="71"/>
      <c r="I916" t="s">
        <v>1054</v>
      </c>
      <c r="J916" s="187">
        <v>1</v>
      </c>
      <c r="K916" t="s">
        <v>1385</v>
      </c>
      <c r="L916" s="185"/>
      <c r="M916" s="188">
        <v>46266</v>
      </c>
      <c r="N916" s="71"/>
      <c r="O916" s="71"/>
      <c r="P916" s="71"/>
      <c r="Q916" s="71"/>
      <c r="R916" s="71"/>
      <c r="S916" t="s">
        <v>1055</v>
      </c>
      <c r="T916" s="71"/>
    </row>
    <row r="917" spans="1:20" x14ac:dyDescent="0.3">
      <c r="A917" s="72">
        <f>IFERROR(VLOOKUP($G917,Conf!$B:$C,2,0),E917)</f>
        <v>50</v>
      </c>
      <c r="B917" s="72" t="str">
        <f ca="1">IF(D917="Inativo","Inativo",IFERROR(VLOOKUP($G917,Conf!$O:$Q,2,0),VLOOKUP($S917,Conf!$K:$M,2,0)))</f>
        <v>DEPOSITO</v>
      </c>
      <c r="C917" s="72" t="str">
        <f ca="1">IF(D917="Inativo","Inativo",IFERROR(VLOOKUP($G917,Conf!$O:$Q,3,0),IFERROR(VLOOKUP($G917,Conf!$E:$F,2,0),VLOOKUP($S917,Conf!$K:$M,3,0))))</f>
        <v>AUXILIAR</v>
      </c>
      <c r="D917" s="72" t="str">
        <f ca="1">IFERROR(IF(TODAY()-K917&gt;365,"Inativo",IF(J917=2,"Férias",IF(J917=7,"Demitido","Afastamento"))),VLOOKUP(J917,Conf!$H:$I,2,0))</f>
        <v>Ativos</v>
      </c>
      <c r="E917" s="187">
        <v>50</v>
      </c>
      <c r="F917" s="187">
        <v>203</v>
      </c>
      <c r="G917" t="s">
        <v>1445</v>
      </c>
      <c r="H917" s="71"/>
      <c r="I917" t="s">
        <v>1054</v>
      </c>
      <c r="J917" s="187">
        <v>1</v>
      </c>
      <c r="K917" t="s">
        <v>1385</v>
      </c>
      <c r="L917" s="185"/>
      <c r="M917" s="188">
        <v>46235</v>
      </c>
      <c r="N917" s="71"/>
      <c r="Q917" s="71"/>
      <c r="R917" s="71"/>
      <c r="S917" t="s">
        <v>1055</v>
      </c>
    </row>
    <row r="918" spans="1:20" x14ac:dyDescent="0.3">
      <c r="A918" s="72">
        <f>IFERROR(VLOOKUP($G918,Conf!$B:$C,2,0),E918)</f>
        <v>50</v>
      </c>
      <c r="B918" s="72" t="str">
        <f ca="1">IF(D918="Inativo","Inativo",IFERROR(VLOOKUP($G918,Conf!$O:$Q,2,0),VLOOKUP($S918,Conf!$K:$M,2,0)))</f>
        <v>DEPOSITO</v>
      </c>
      <c r="C918" s="72" t="str">
        <f ca="1">IF(D918="Inativo","Inativo",IFERROR(VLOOKUP($G918,Conf!$O:$Q,3,0),IFERROR(VLOOKUP($G918,Conf!$E:$F,2,0),VLOOKUP($S918,Conf!$K:$M,3,0))))</f>
        <v>AUXILIAR</v>
      </c>
      <c r="D918" s="72" t="str">
        <f ca="1">IFERROR(IF(TODAY()-K918&gt;365,"Inativo",IF(J918=2,"Férias",IF(J918=7,"Demitido","Afastamento"))),VLOOKUP(J918,Conf!$H:$I,2,0))</f>
        <v>Ativos</v>
      </c>
      <c r="E918" s="187">
        <v>50</v>
      </c>
      <c r="F918" s="187">
        <v>200</v>
      </c>
      <c r="G918" t="s">
        <v>1393</v>
      </c>
      <c r="I918" t="s">
        <v>1054</v>
      </c>
      <c r="J918" s="187">
        <v>1</v>
      </c>
      <c r="K918" t="s">
        <v>1385</v>
      </c>
      <c r="M918" s="188">
        <v>46204</v>
      </c>
      <c r="S918" t="s">
        <v>1055</v>
      </c>
    </row>
    <row r="919" spans="1:20" x14ac:dyDescent="0.3">
      <c r="A919" s="72">
        <f>IFERROR(VLOOKUP($G919,Conf!$B:$C,2,0),E919)</f>
        <v>50</v>
      </c>
      <c r="B919" s="72" t="str">
        <f ca="1">IF(D919="Inativo","Inativo",IFERROR(VLOOKUP($G919,Conf!$O:$Q,2,0),VLOOKUP($S919,Conf!$K:$M,2,0)))</f>
        <v>DEPOSITO</v>
      </c>
      <c r="C919" s="72" t="str">
        <f ca="1">IF(D919="Inativo","Inativo",IFERROR(VLOOKUP($G919,Conf!$O:$Q,3,0),IFERROR(VLOOKUP($G919,Conf!$E:$F,2,0),VLOOKUP($S919,Conf!$K:$M,3,0))))</f>
        <v>CAMARA FRIA</v>
      </c>
      <c r="D919" s="72" t="str">
        <f ca="1">IFERROR(IF(TODAY()-K919&gt;365,"Inativo",IF(J919=2,"Férias",IF(J919=7,"Demitido","Afastamento"))),VLOOKUP(J919,Conf!$H:$I,2,0))</f>
        <v>Ativos</v>
      </c>
      <c r="E919" s="187">
        <v>50</v>
      </c>
      <c r="F919" s="187">
        <v>178</v>
      </c>
      <c r="G919" t="s">
        <v>1082</v>
      </c>
      <c r="I919" t="s">
        <v>1054</v>
      </c>
      <c r="J919" s="187">
        <v>1</v>
      </c>
      <c r="K919" t="s">
        <v>1385</v>
      </c>
      <c r="M919" s="188">
        <v>45839</v>
      </c>
      <c r="S919" t="s">
        <v>1514</v>
      </c>
    </row>
    <row r="920" spans="1:20" x14ac:dyDescent="0.3">
      <c r="A920" s="72">
        <f>IFERROR(VLOOKUP($G920,Conf!$B:$C,2,0),E920)</f>
        <v>50</v>
      </c>
      <c r="B920" s="72" t="str">
        <f ca="1">IF(D920="Inativo","Inativo",IFERROR(VLOOKUP($G920,Conf!$O:$Q,2,0),VLOOKUP($S920,Conf!$K:$M,2,0)))</f>
        <v>DEPOSITO</v>
      </c>
      <c r="C920" s="72" t="str">
        <f ca="1">IF(D920="Inativo","Inativo",IFERROR(VLOOKUP($G920,Conf!$O:$Q,3,0),IFERROR(VLOOKUP($G920,Conf!$E:$F,2,0),VLOOKUP($S920,Conf!$K:$M,3,0))))</f>
        <v>CONFERENTE</v>
      </c>
      <c r="D920" s="72" t="str">
        <f ca="1">IFERROR(IF(TODAY()-K920&gt;365,"Inativo",IF(J920=2,"Férias",IF(J920=7,"Demitido","Afastamento"))),VLOOKUP(J920,Conf!$H:$I,2,0))</f>
        <v>Ativos</v>
      </c>
      <c r="E920" s="187">
        <v>50</v>
      </c>
      <c r="F920" s="187">
        <v>66</v>
      </c>
      <c r="G920" t="s">
        <v>1092</v>
      </c>
      <c r="H920" s="71"/>
      <c r="I920" t="s">
        <v>1054</v>
      </c>
      <c r="J920" s="187">
        <v>1</v>
      </c>
      <c r="K920" t="s">
        <v>1385</v>
      </c>
      <c r="L920" s="185"/>
      <c r="M920" s="188">
        <v>44501</v>
      </c>
      <c r="N920" s="71"/>
      <c r="Q920" s="71"/>
      <c r="R920" s="71"/>
      <c r="S920" t="s">
        <v>119</v>
      </c>
    </row>
    <row r="921" spans="1:20" x14ac:dyDescent="0.3">
      <c r="A921" s="72">
        <f>IFERROR(VLOOKUP($G921,Conf!$B:$C,2,0),E921)</f>
        <v>50</v>
      </c>
      <c r="B921" s="72" t="str">
        <f ca="1">IF(D921="Inativo","Inativo",IFERROR(VLOOKUP($G921,Conf!$O:$Q,2,0),VLOOKUP($S921,Conf!$K:$M,2,0)))</f>
        <v>DEPOSITO</v>
      </c>
      <c r="C921" s="72" t="str">
        <f ca="1">IF(D921="Inativo","Inativo",IFERROR(VLOOKUP($G921,Conf!$O:$Q,3,0),IFERROR(VLOOKUP($G921,Conf!$E:$F,2,0),VLOOKUP($S921,Conf!$K:$M,3,0))))</f>
        <v>CONFERENTE</v>
      </c>
      <c r="D921" s="72" t="str">
        <f ca="1">IFERROR(IF(TODAY()-K921&gt;365,"Inativo",IF(J921=2,"Férias",IF(J921=7,"Demitido","Afastamento"))),VLOOKUP(J921,Conf!$H:$I,2,0))</f>
        <v>Férias</v>
      </c>
      <c r="E921" s="187">
        <v>50</v>
      </c>
      <c r="F921" s="187">
        <v>16</v>
      </c>
      <c r="G921" t="s">
        <v>1093</v>
      </c>
      <c r="I921" t="s">
        <v>1054</v>
      </c>
      <c r="J921" s="187">
        <v>2</v>
      </c>
      <c r="K921" t="s">
        <v>1629</v>
      </c>
      <c r="M921" s="188">
        <v>44057</v>
      </c>
      <c r="S921" t="s">
        <v>119</v>
      </c>
      <c r="T921" s="71"/>
    </row>
    <row r="922" spans="1:20" x14ac:dyDescent="0.3">
      <c r="A922" s="72">
        <f>IFERROR(VLOOKUP($G922,Conf!$B:$C,2,0),E922)</f>
        <v>50</v>
      </c>
      <c r="B922" s="72" t="str">
        <f ca="1">IF(D922="Inativo","Inativo",IFERROR(VLOOKUP($G922,Conf!$O:$Q,2,0),VLOOKUP($S922,Conf!$K:$M,2,0)))</f>
        <v>DEPOSITO</v>
      </c>
      <c r="C922" s="72" t="str">
        <f ca="1">IF(D922="Inativo","Inativo",IFERROR(VLOOKUP($G922,Conf!$O:$Q,3,0),IFERROR(VLOOKUP($G922,Conf!$E:$F,2,0),VLOOKUP($S922,Conf!$K:$M,3,0))))</f>
        <v>CONFERENTE</v>
      </c>
      <c r="D922" s="72" t="str">
        <f ca="1">IFERROR(IF(TODAY()-K922&gt;365,"Inativo",IF(J922=2,"Férias",IF(J922=7,"Demitido","Afastamento"))),VLOOKUP(J922,Conf!$H:$I,2,0))</f>
        <v>Ativos</v>
      </c>
      <c r="E922" s="187">
        <v>50</v>
      </c>
      <c r="F922" s="187">
        <v>112</v>
      </c>
      <c r="G922" t="s">
        <v>1094</v>
      </c>
      <c r="H922" s="71"/>
      <c r="I922" t="s">
        <v>1054</v>
      </c>
      <c r="J922" s="187">
        <v>1</v>
      </c>
      <c r="K922" t="s">
        <v>1385</v>
      </c>
      <c r="L922" s="185"/>
      <c r="M922" s="188">
        <v>45078</v>
      </c>
      <c r="N922" s="71"/>
      <c r="O922" s="71"/>
      <c r="P922" s="71"/>
      <c r="Q922" s="71"/>
      <c r="R922" s="71"/>
      <c r="S922" t="s">
        <v>119</v>
      </c>
    </row>
    <row r="923" spans="1:20" x14ac:dyDescent="0.3">
      <c r="A923" s="72">
        <f>IFERROR(VLOOKUP($G923,Conf!$B:$C,2,0),E923)</f>
        <v>50</v>
      </c>
      <c r="B923" s="72" t="str">
        <f ca="1">IF(D923="Inativo","Inativo",IFERROR(VLOOKUP($G923,Conf!$O:$Q,2,0),VLOOKUP($S923,Conf!$K:$M,2,0)))</f>
        <v>DEPOSITO</v>
      </c>
      <c r="C923" s="72" t="str">
        <f ca="1">IF(D923="Inativo","Inativo",IFERROR(VLOOKUP($G923,Conf!$O:$Q,3,0),IFERROR(VLOOKUP($G923,Conf!$E:$F,2,0),VLOOKUP($S923,Conf!$K:$M,3,0))))</f>
        <v>CONFERENTE</v>
      </c>
      <c r="D923" s="72" t="str">
        <f ca="1">IFERROR(IF(TODAY()-K923&gt;365,"Inativo",IF(J923=2,"Férias",IF(J923=7,"Demitido","Afastamento"))),VLOOKUP(J923,Conf!$H:$I,2,0))</f>
        <v>Ativos</v>
      </c>
      <c r="E923" s="187">
        <v>50</v>
      </c>
      <c r="F923" s="187">
        <v>103</v>
      </c>
      <c r="G923" t="s">
        <v>1097</v>
      </c>
      <c r="H923" s="71"/>
      <c r="I923" t="s">
        <v>1054</v>
      </c>
      <c r="J923" s="187">
        <v>1</v>
      </c>
      <c r="K923" t="s">
        <v>1385</v>
      </c>
      <c r="L923" s="185"/>
      <c r="M923" s="188">
        <v>44986</v>
      </c>
      <c r="N923" s="71"/>
      <c r="Q923" s="71"/>
      <c r="R923" s="71"/>
      <c r="S923" t="s">
        <v>119</v>
      </c>
      <c r="T923" s="71"/>
    </row>
    <row r="924" spans="1:20" x14ac:dyDescent="0.3">
      <c r="A924" s="72">
        <f>IFERROR(VLOOKUP($G924,Conf!$B:$C,2,0),E924)</f>
        <v>50</v>
      </c>
      <c r="B924" s="72" t="str">
        <f ca="1">IF(D924="Inativo","Inativo",IFERROR(VLOOKUP($G924,Conf!$O:$Q,2,0),VLOOKUP($S924,Conf!$K:$M,2,0)))</f>
        <v>DEPOSITO</v>
      </c>
      <c r="C924" s="72" t="str">
        <f ca="1">IF(D924="Inativo","Inativo",IFERROR(VLOOKUP($G924,Conf!$O:$Q,3,0),IFERROR(VLOOKUP($G924,Conf!$E:$F,2,0),VLOOKUP($S924,Conf!$K:$M,3,0))))</f>
        <v>CONFERENTE</v>
      </c>
      <c r="D924" s="72" t="str">
        <f ca="1">IFERROR(IF(TODAY()-K924&gt;365,"Inativo",IF(J924=2,"Férias",IF(J924=7,"Demitido","Afastamento"))),VLOOKUP(J924,Conf!$H:$I,2,0))</f>
        <v>Ativos</v>
      </c>
      <c r="E924" s="187">
        <v>50</v>
      </c>
      <c r="F924" s="187">
        <v>180</v>
      </c>
      <c r="G924" t="s">
        <v>1103</v>
      </c>
      <c r="H924" s="71"/>
      <c r="I924" t="s">
        <v>1054</v>
      </c>
      <c r="J924" s="187">
        <v>1</v>
      </c>
      <c r="K924" t="s">
        <v>1385</v>
      </c>
      <c r="L924" s="185"/>
      <c r="M924" s="188">
        <v>45901</v>
      </c>
      <c r="N924" s="71"/>
      <c r="Q924" s="71"/>
      <c r="R924" s="71"/>
      <c r="S924" t="s">
        <v>119</v>
      </c>
    </row>
    <row r="925" spans="1:20" x14ac:dyDescent="0.3">
      <c r="A925" s="72">
        <f>IFERROR(VLOOKUP($G925,Conf!$B:$C,2,0),E925)</f>
        <v>50</v>
      </c>
      <c r="B925" s="72" t="str">
        <f ca="1">IF(D925="Inativo","Inativo",IFERROR(VLOOKUP($G925,Conf!$O:$Q,2,0),VLOOKUP($S925,Conf!$K:$M,2,0)))</f>
        <v>DEPOSITO</v>
      </c>
      <c r="C925" s="72" t="str">
        <f ca="1">IF(D925="Inativo","Inativo",IFERROR(VLOOKUP($G925,Conf!$O:$Q,3,0),IFERROR(VLOOKUP($G925,Conf!$E:$F,2,0),VLOOKUP($S925,Conf!$K:$M,3,0))))</f>
        <v>CONFERENTE</v>
      </c>
      <c r="D925" s="72" t="str">
        <f ca="1">IFERROR(IF(TODAY()-K925&gt;365,"Inativo",IF(J925=2,"Férias",IF(J925=7,"Demitido","Afastamento"))),VLOOKUP(J925,Conf!$H:$I,2,0))</f>
        <v>Ativos</v>
      </c>
      <c r="E925" s="187">
        <v>50</v>
      </c>
      <c r="F925" s="187">
        <v>80</v>
      </c>
      <c r="G925" t="s">
        <v>1110</v>
      </c>
      <c r="H925" s="71"/>
      <c r="I925" t="s">
        <v>1054</v>
      </c>
      <c r="J925" s="187">
        <v>1</v>
      </c>
      <c r="K925" t="s">
        <v>1385</v>
      </c>
      <c r="L925" s="185"/>
      <c r="M925" s="188">
        <v>44621</v>
      </c>
      <c r="N925" s="71"/>
      <c r="Q925" s="71"/>
      <c r="R925" s="71"/>
      <c r="S925" t="s">
        <v>119</v>
      </c>
    </row>
    <row r="926" spans="1:20" x14ac:dyDescent="0.3">
      <c r="A926" s="72">
        <f>IFERROR(VLOOKUP($G926,Conf!$B:$C,2,0),E926)</f>
        <v>50</v>
      </c>
      <c r="B926" s="72" t="str">
        <f ca="1">IF(D926="Inativo","Inativo",IFERROR(VLOOKUP($G926,Conf!$O:$Q,2,0),VLOOKUP($S926,Conf!$K:$M,2,0)))</f>
        <v>DEPOSITO</v>
      </c>
      <c r="C926" s="72" t="str">
        <f ca="1">IF(D926="Inativo","Inativo",IFERROR(VLOOKUP($G926,Conf!$O:$Q,3,0),IFERROR(VLOOKUP($G926,Conf!$E:$F,2,0),VLOOKUP($S926,Conf!$K:$M,3,0))))</f>
        <v>EMPILHADEIRA</v>
      </c>
      <c r="D926" s="72" t="str">
        <f ca="1">IFERROR(IF(TODAY()-K926&gt;365,"Inativo",IF(J926=2,"Férias",IF(J926=7,"Demitido","Afastamento"))),VLOOKUP(J926,Conf!$H:$I,2,0))</f>
        <v>Férias</v>
      </c>
      <c r="E926" s="187">
        <v>50</v>
      </c>
      <c r="F926" s="187">
        <v>117</v>
      </c>
      <c r="G926" t="s">
        <v>1058</v>
      </c>
      <c r="H926" s="71"/>
      <c r="I926" t="s">
        <v>1054</v>
      </c>
      <c r="J926" s="187">
        <v>2</v>
      </c>
      <c r="K926" t="s">
        <v>1629</v>
      </c>
      <c r="L926" s="185"/>
      <c r="M926" s="188">
        <v>45139</v>
      </c>
      <c r="N926" s="71"/>
      <c r="Q926" s="71"/>
      <c r="R926" s="71"/>
      <c r="S926" t="s">
        <v>1113</v>
      </c>
      <c r="T926" s="71"/>
    </row>
    <row r="927" spans="1:20" x14ac:dyDescent="0.3">
      <c r="A927" s="72">
        <f>IFERROR(VLOOKUP($G927,Conf!$B:$C,2,0),E927)</f>
        <v>50</v>
      </c>
      <c r="B927" s="72" t="str">
        <f ca="1">IF(D927="Inativo","Inativo",IFERROR(VLOOKUP($G927,Conf!$O:$Q,2,0),VLOOKUP($S927,Conf!$K:$M,2,0)))</f>
        <v>DEPOSITO</v>
      </c>
      <c r="C927" s="72" t="str">
        <f ca="1">IF(D927="Inativo","Inativo",IFERROR(VLOOKUP($G927,Conf!$O:$Q,3,0),IFERROR(VLOOKUP($G927,Conf!$E:$F,2,0),VLOOKUP($S927,Conf!$K:$M,3,0))))</f>
        <v>EMPILHADEIRA</v>
      </c>
      <c r="D927" s="72" t="str">
        <f ca="1">IFERROR(IF(TODAY()-K927&gt;365,"Inativo",IF(J927=2,"Férias",IF(J927=7,"Demitido","Afastamento"))),VLOOKUP(J927,Conf!$H:$I,2,0))</f>
        <v>Ativos</v>
      </c>
      <c r="E927" s="187">
        <v>50</v>
      </c>
      <c r="F927" s="187">
        <v>21</v>
      </c>
      <c r="G927" t="s">
        <v>1112</v>
      </c>
      <c r="H927" s="71"/>
      <c r="I927" t="s">
        <v>1054</v>
      </c>
      <c r="J927" s="187">
        <v>1</v>
      </c>
      <c r="K927" t="s">
        <v>1385</v>
      </c>
      <c r="L927" s="185"/>
      <c r="M927" s="188">
        <v>44075</v>
      </c>
      <c r="N927" s="71"/>
      <c r="Q927" s="71"/>
      <c r="R927" s="71"/>
      <c r="S927" t="s">
        <v>1113</v>
      </c>
      <c r="T927" s="71"/>
    </row>
    <row r="928" spans="1:20" x14ac:dyDescent="0.3">
      <c r="A928" s="72">
        <f>IFERROR(VLOOKUP($G928,Conf!$B:$C,2,0),E928)</f>
        <v>50</v>
      </c>
      <c r="B928" s="72" t="str">
        <f ca="1">IF(D928="Inativo","Inativo",IFERROR(VLOOKUP($G928,Conf!$O:$Q,2,0),VLOOKUP($S928,Conf!$K:$M,2,0)))</f>
        <v>DEPOSITO</v>
      </c>
      <c r="C928" s="72" t="str">
        <f ca="1">IF(D928="Inativo","Inativo",IFERROR(VLOOKUP($G928,Conf!$O:$Q,3,0),IFERROR(VLOOKUP($G928,Conf!$E:$F,2,0),VLOOKUP($S928,Conf!$K:$M,3,0))))</f>
        <v>EMPILHADEIRA</v>
      </c>
      <c r="D928" s="72" t="str">
        <f ca="1">IFERROR(IF(TODAY()-K928&gt;365,"Inativo",IF(J928=2,"Férias",IF(J928=7,"Demitido","Afastamento"))),VLOOKUP(J928,Conf!$H:$I,2,0))</f>
        <v>Ativos</v>
      </c>
      <c r="E928" s="187">
        <v>50</v>
      </c>
      <c r="F928" s="187">
        <v>50</v>
      </c>
      <c r="G928" t="s">
        <v>1117</v>
      </c>
      <c r="H928" s="71"/>
      <c r="I928" t="s">
        <v>1054</v>
      </c>
      <c r="J928" s="187">
        <v>1</v>
      </c>
      <c r="K928" t="s">
        <v>1385</v>
      </c>
      <c r="L928" s="185"/>
      <c r="M928" s="188">
        <v>44228</v>
      </c>
      <c r="N928" s="71"/>
      <c r="Q928" s="71"/>
      <c r="R928" s="71"/>
      <c r="S928" t="s">
        <v>1113</v>
      </c>
      <c r="T928" s="71"/>
    </row>
    <row r="929" spans="1:20" x14ac:dyDescent="0.3">
      <c r="A929" s="72">
        <f>IFERROR(VLOOKUP($G929,Conf!$B:$C,2,0),E929)</f>
        <v>50</v>
      </c>
      <c r="B929" s="72" t="str">
        <f ca="1">IF(D929="Inativo","Inativo",IFERROR(VLOOKUP($G929,Conf!$O:$Q,2,0),VLOOKUP($S929,Conf!$K:$M,2,0)))</f>
        <v>DEPOSITO</v>
      </c>
      <c r="C929" s="72" t="str">
        <f ca="1">IF(D929="Inativo","Inativo",IFERROR(VLOOKUP($G929,Conf!$O:$Q,3,0),IFERROR(VLOOKUP($G929,Conf!$E:$F,2,0),VLOOKUP($S929,Conf!$K:$M,3,0))))</f>
        <v>EMPILHADEIRA</v>
      </c>
      <c r="D929" s="72" t="str">
        <f ca="1">IFERROR(IF(TODAY()-K929&gt;365,"Inativo",IF(J929=2,"Férias",IF(J929=7,"Demitido","Afastamento"))),VLOOKUP(J929,Conf!$H:$I,2,0))</f>
        <v>Ativos</v>
      </c>
      <c r="E929" s="187">
        <v>50</v>
      </c>
      <c r="F929" s="187">
        <v>139</v>
      </c>
      <c r="G929" t="s">
        <v>1119</v>
      </c>
      <c r="H929" s="71"/>
      <c r="I929" t="s">
        <v>1054</v>
      </c>
      <c r="J929" s="187">
        <v>1</v>
      </c>
      <c r="K929" t="s">
        <v>1385</v>
      </c>
      <c r="L929" s="185"/>
      <c r="M929" s="188">
        <v>45261</v>
      </c>
      <c r="N929" s="71"/>
      <c r="O929" s="71"/>
      <c r="P929" s="71"/>
      <c r="Q929" s="71"/>
      <c r="R929" s="71"/>
      <c r="S929" t="s">
        <v>1113</v>
      </c>
    </row>
    <row r="930" spans="1:20" x14ac:dyDescent="0.3">
      <c r="A930" s="72">
        <f>IFERROR(VLOOKUP($G930,Conf!$B:$C,2,0),E930)</f>
        <v>50</v>
      </c>
      <c r="B930" s="72" t="str">
        <f ca="1">IF(D930="Inativo","Inativo",IFERROR(VLOOKUP($G930,Conf!$O:$Q,2,0),VLOOKUP($S930,Conf!$K:$M,2,0)))</f>
        <v>DEPOSITO</v>
      </c>
      <c r="C930" s="72" t="str">
        <f ca="1">IF(D930="Inativo","Inativo",IFERROR(VLOOKUP($G930,Conf!$O:$Q,3,0),IFERROR(VLOOKUP($G930,Conf!$E:$F,2,0),VLOOKUP($S930,Conf!$K:$M,3,0))))</f>
        <v>ENCARREGADO</v>
      </c>
      <c r="D930" s="72" t="str">
        <f ca="1">IFERROR(IF(TODAY()-K930&gt;365,"Inativo",IF(J930=2,"Férias",IF(J930=7,"Demitido","Afastamento"))),VLOOKUP(J930,Conf!$H:$I,2,0))</f>
        <v>Ativos</v>
      </c>
      <c r="E930" s="187">
        <v>50</v>
      </c>
      <c r="F930" s="187">
        <v>206</v>
      </c>
      <c r="G930" t="s">
        <v>1448</v>
      </c>
      <c r="H930" s="71"/>
      <c r="I930" t="s">
        <v>1054</v>
      </c>
      <c r="J930" s="187">
        <v>1</v>
      </c>
      <c r="K930" t="s">
        <v>1385</v>
      </c>
      <c r="L930" s="185"/>
      <c r="M930" s="188">
        <v>46235</v>
      </c>
      <c r="N930" s="71"/>
      <c r="Q930" s="71"/>
      <c r="R930" s="71"/>
      <c r="S930" t="s">
        <v>1121</v>
      </c>
      <c r="T930" s="71"/>
    </row>
    <row r="931" spans="1:20" x14ac:dyDescent="0.3">
      <c r="A931" s="72">
        <f>IFERROR(VLOOKUP($G931,Conf!$B:$C,2,0),E931)</f>
        <v>50</v>
      </c>
      <c r="B931" s="72" t="str">
        <f ca="1">IF(D931="Inativo","Inativo",IFERROR(VLOOKUP($G931,Conf!$O:$Q,2,0),VLOOKUP($S931,Conf!$K:$M,2,0)))</f>
        <v>DEPOSITO</v>
      </c>
      <c r="C931" s="72" t="str">
        <f ca="1">IF(D931="Inativo","Inativo",IFERROR(VLOOKUP($G931,Conf!$O:$Q,3,0),IFERROR(VLOOKUP($G931,Conf!$E:$F,2,0),VLOOKUP($S931,Conf!$K:$M,3,0))))</f>
        <v>ENCARREGADO</v>
      </c>
      <c r="D931" s="72" t="str">
        <f ca="1">IFERROR(IF(TODAY()-K931&gt;365,"Inativo",IF(J931=2,"Férias",IF(J931=7,"Demitido","Afastamento"))),VLOOKUP(J931,Conf!$H:$I,2,0))</f>
        <v>Férias</v>
      </c>
      <c r="E931" s="187">
        <v>50</v>
      </c>
      <c r="F931" s="187">
        <v>24</v>
      </c>
      <c r="G931" t="s">
        <v>1120</v>
      </c>
      <c r="I931" t="s">
        <v>1054</v>
      </c>
      <c r="J931" s="187">
        <v>2</v>
      </c>
      <c r="K931" t="s">
        <v>1629</v>
      </c>
      <c r="M931" s="188">
        <v>44106</v>
      </c>
      <c r="S931" t="s">
        <v>1121</v>
      </c>
      <c r="T931" s="71"/>
    </row>
    <row r="932" spans="1:20" x14ac:dyDescent="0.3">
      <c r="A932" s="72">
        <f>IFERROR(VLOOKUP($G932,Conf!$B:$C,2,0),E932)</f>
        <v>50</v>
      </c>
      <c r="B932" s="72" t="str">
        <f ca="1">IF(D932="Inativo","Inativo",IFERROR(VLOOKUP($G932,Conf!$O:$Q,2,0),VLOOKUP($S932,Conf!$K:$M,2,0)))</f>
        <v>DEPOSITO</v>
      </c>
      <c r="C932" s="72" t="str">
        <f ca="1">IF(D932="Inativo","Inativo",IFERROR(VLOOKUP($G932,Conf!$O:$Q,3,0),IFERROR(VLOOKUP($G932,Conf!$E:$F,2,0),VLOOKUP($S932,Conf!$K:$M,3,0))))</f>
        <v>ENCARREGADO</v>
      </c>
      <c r="D932" s="72" t="str">
        <f ca="1">IFERROR(IF(TODAY()-K932&gt;365,"Inativo",IF(J932=2,"Férias",IF(J932=7,"Demitido","Afastamento"))),VLOOKUP(J932,Conf!$H:$I,2,0))</f>
        <v>Férias</v>
      </c>
      <c r="E932" s="187">
        <v>50</v>
      </c>
      <c r="F932" s="187">
        <v>23</v>
      </c>
      <c r="G932" t="s">
        <v>1124</v>
      </c>
      <c r="H932" s="71"/>
      <c r="I932" t="s">
        <v>1054</v>
      </c>
      <c r="J932" s="187">
        <v>2</v>
      </c>
      <c r="K932" t="s">
        <v>1629</v>
      </c>
      <c r="L932" s="185"/>
      <c r="M932" s="188">
        <v>44106</v>
      </c>
      <c r="N932" s="71"/>
      <c r="Q932" s="71"/>
      <c r="R932" s="71"/>
      <c r="S932" t="s">
        <v>1125</v>
      </c>
      <c r="T932" s="71"/>
    </row>
    <row r="933" spans="1:20" x14ac:dyDescent="0.3">
      <c r="A933" s="72">
        <f>IFERROR(VLOOKUP($G933,Conf!$B:$C,2,0),E933)</f>
        <v>50</v>
      </c>
      <c r="B933" s="72" t="str">
        <f ca="1">IF(D933="Inativo","Inativo",IFERROR(VLOOKUP($G933,Conf!$O:$Q,2,0),VLOOKUP($S933,Conf!$K:$M,2,0)))</f>
        <v>FRENTE DE CAIXA</v>
      </c>
      <c r="C933" s="72" t="str">
        <f ca="1">IF(D933="Inativo","Inativo",IFERROR(VLOOKUP($G933,Conf!$O:$Q,3,0),IFERROR(VLOOKUP($G933,Conf!$E:$F,2,0),VLOOKUP($S933,Conf!$K:$M,3,0))))</f>
        <v>ENTREGADOR</v>
      </c>
      <c r="D933" s="72" t="str">
        <f ca="1">IFERROR(IF(TODAY()-K933&gt;365,"Inativo",IF(J933=2,"Férias",IF(J933=7,"Demitido","Afastamento"))),VLOOKUP(J933,Conf!$H:$I,2,0))</f>
        <v>Ativos</v>
      </c>
      <c r="E933" s="187">
        <v>50</v>
      </c>
      <c r="F933" s="187">
        <v>2</v>
      </c>
      <c r="G933" t="s">
        <v>1198</v>
      </c>
      <c r="H933" s="71"/>
      <c r="I933" t="s">
        <v>296</v>
      </c>
      <c r="J933" s="187">
        <v>1</v>
      </c>
      <c r="K933" t="s">
        <v>1385</v>
      </c>
      <c r="L933" s="185"/>
      <c r="M933" s="188">
        <v>44378</v>
      </c>
      <c r="N933" s="71"/>
      <c r="O933" s="71"/>
      <c r="P933" s="71"/>
      <c r="Q933" s="71"/>
      <c r="R933" s="71"/>
      <c r="S933" t="s">
        <v>263</v>
      </c>
      <c r="T933" s="71"/>
    </row>
    <row r="934" spans="1:20" x14ac:dyDescent="0.3">
      <c r="A934" s="72">
        <f>IFERROR(VLOOKUP($G934,Conf!$B:$C,2,0),E934)</f>
        <v>50</v>
      </c>
      <c r="B934" s="72" t="str">
        <f ca="1">IF(D934="Inativo","Inativo",IFERROR(VLOOKUP($G934,Conf!$O:$Q,2,0),VLOOKUP($S934,Conf!$K:$M,2,0)))</f>
        <v>FRENTE DE CAIXA</v>
      </c>
      <c r="C934" s="72" t="str">
        <f ca="1">IF(D934="Inativo","Inativo",IFERROR(VLOOKUP($G934,Conf!$O:$Q,3,0),IFERROR(VLOOKUP($G934,Conf!$E:$F,2,0),VLOOKUP($S934,Conf!$K:$M,3,0))))</f>
        <v>ENTREGADOR</v>
      </c>
      <c r="D934" s="72" t="str">
        <f ca="1">IFERROR(IF(TODAY()-K934&gt;365,"Inativo",IF(J934=2,"Férias",IF(J934=7,"Demitido","Afastamento"))),VLOOKUP(J934,Conf!$H:$I,2,0))</f>
        <v>Ativos</v>
      </c>
      <c r="E934" s="187">
        <v>50</v>
      </c>
      <c r="F934" s="187">
        <v>24</v>
      </c>
      <c r="G934" t="s">
        <v>1199</v>
      </c>
      <c r="H934" s="71"/>
      <c r="I934" t="s">
        <v>1054</v>
      </c>
      <c r="J934" s="187">
        <v>1</v>
      </c>
      <c r="K934" t="s">
        <v>1385</v>
      </c>
      <c r="L934" s="185"/>
      <c r="M934" s="188">
        <v>46121</v>
      </c>
      <c r="N934" s="71"/>
      <c r="O934" s="71"/>
      <c r="P934" s="71"/>
      <c r="Q934" s="71"/>
      <c r="R934" s="71"/>
      <c r="S934" t="s">
        <v>263</v>
      </c>
      <c r="T934" s="71"/>
    </row>
    <row r="935" spans="1:20" x14ac:dyDescent="0.3">
      <c r="A935" s="72">
        <f>IFERROR(VLOOKUP($G935,Conf!$B:$C,2,0),E935)</f>
        <v>50</v>
      </c>
      <c r="B935" s="72" t="str">
        <f ca="1">IF(D935="Inativo","Inativo",IFERROR(VLOOKUP($G935,Conf!$O:$Q,2,0),VLOOKUP($S935,Conf!$K:$M,2,0)))</f>
        <v>FRENTE DE CAIXA</v>
      </c>
      <c r="C935" s="72" t="str">
        <f ca="1">IF(D935="Inativo","Inativo",IFERROR(VLOOKUP($G935,Conf!$O:$Q,3,0),IFERROR(VLOOKUP($G935,Conf!$E:$F,2,0),VLOOKUP($S935,Conf!$K:$M,3,0))))</f>
        <v>ENTREGADOR</v>
      </c>
      <c r="D935" s="72" t="str">
        <f ca="1">IFERROR(IF(TODAY()-K935&gt;365,"Inativo",IF(J935=2,"Férias",IF(J935=7,"Demitido","Afastamento"))),VLOOKUP(J935,Conf!$H:$I,2,0))</f>
        <v>Ativos</v>
      </c>
      <c r="E935" s="187">
        <v>50</v>
      </c>
      <c r="F935" s="187">
        <v>9</v>
      </c>
      <c r="G935" t="s">
        <v>1200</v>
      </c>
      <c r="H935" s="71"/>
      <c r="I935" t="s">
        <v>296</v>
      </c>
      <c r="J935" s="187">
        <v>1</v>
      </c>
      <c r="K935" t="s">
        <v>1385</v>
      </c>
      <c r="L935" s="185"/>
      <c r="M935" s="188">
        <v>44532</v>
      </c>
      <c r="N935" s="71"/>
      <c r="Q935" s="71"/>
      <c r="R935" s="71"/>
      <c r="S935" t="s">
        <v>263</v>
      </c>
    </row>
    <row r="936" spans="1:20" x14ac:dyDescent="0.3">
      <c r="A936" s="72">
        <f>IFERROR(VLOOKUP($G936,Conf!$B:$C,2,0),E936)</f>
        <v>50</v>
      </c>
      <c r="B936" s="72" t="str">
        <f ca="1">IF(D936="Inativo","Inativo",IFERROR(VLOOKUP($G936,Conf!$O:$Q,2,0),VLOOKUP($S936,Conf!$K:$M,2,0)))</f>
        <v>SOCIO</v>
      </c>
      <c r="C936" s="72" t="str">
        <f ca="1">IF(D936="Inativo","Inativo",IFERROR(VLOOKUP($G936,Conf!$O:$Q,3,0),IFERROR(VLOOKUP($G936,Conf!$E:$F,2,0),VLOOKUP($S936,Conf!$K:$M,3,0))))</f>
        <v>GERENTE</v>
      </c>
      <c r="D936" s="72" t="str">
        <f ca="1">IFERROR(IF(TODAY()-K936&gt;365,"Inativo",IF(J936=2,"Férias",IF(J936=7,"Demitido","Afastamento"))),VLOOKUP(J936,Conf!$H:$I,2,0))</f>
        <v>Ativos</v>
      </c>
      <c r="E936" s="187">
        <v>50</v>
      </c>
      <c r="F936" s="187">
        <v>900001</v>
      </c>
      <c r="G936" t="s">
        <v>1173</v>
      </c>
      <c r="I936" t="s">
        <v>220</v>
      </c>
      <c r="J936" s="187">
        <v>1</v>
      </c>
      <c r="K936" t="s">
        <v>1385</v>
      </c>
      <c r="M936" s="188">
        <v>45778</v>
      </c>
      <c r="S936" t="s">
        <v>1174</v>
      </c>
      <c r="T936" s="71"/>
    </row>
    <row r="937" spans="1:20" x14ac:dyDescent="0.3">
      <c r="A937" s="72">
        <f>IFERROR(VLOOKUP($G937,Conf!$B:$C,2,0),E937)</f>
        <v>50</v>
      </c>
      <c r="B937" s="72" t="str">
        <f ca="1">IF(D937="Inativo","Inativo",IFERROR(VLOOKUP($G937,Conf!$O:$Q,2,0),VLOOKUP($S937,Conf!$K:$M,2,0)))</f>
        <v>SOCIO</v>
      </c>
      <c r="C937" s="72" t="str">
        <f ca="1">IF(D937="Inativo","Inativo",IFERROR(VLOOKUP($G937,Conf!$O:$Q,3,0),IFERROR(VLOOKUP($G937,Conf!$E:$F,2,0),VLOOKUP($S937,Conf!$K:$M,3,0))))</f>
        <v>GERENTE</v>
      </c>
      <c r="D937" s="72" t="str">
        <f ca="1">IFERROR(IF(TODAY()-K937&gt;365,"Inativo",IF(J937=2,"Férias",IF(J937=7,"Demitido","Afastamento"))),VLOOKUP(J937,Conf!$H:$I,2,0))</f>
        <v>Ativos</v>
      </c>
      <c r="E937" s="187">
        <v>50</v>
      </c>
      <c r="F937" s="187">
        <v>900002</v>
      </c>
      <c r="G937" t="s">
        <v>1175</v>
      </c>
      <c r="H937" s="71"/>
      <c r="I937" t="s">
        <v>220</v>
      </c>
      <c r="J937" s="187">
        <v>1</v>
      </c>
      <c r="K937" t="s">
        <v>1385</v>
      </c>
      <c r="L937" s="185"/>
      <c r="M937" s="188">
        <v>45931</v>
      </c>
      <c r="N937" s="71"/>
      <c r="Q937" s="71"/>
      <c r="R937" s="71"/>
      <c r="S937" t="s">
        <v>1174</v>
      </c>
      <c r="T937" s="71"/>
    </row>
    <row r="938" spans="1:20" x14ac:dyDescent="0.3">
      <c r="A938" s="72">
        <f>IFERROR(VLOOKUP($G938,Conf!$B:$C,2,0),E938)</f>
        <v>50</v>
      </c>
      <c r="B938" s="72" t="str">
        <f ca="1">IF(D938="Inativo","Inativo",IFERROR(VLOOKUP($G938,Conf!$O:$Q,2,0),VLOOKUP($S938,Conf!$K:$M,2,0)))</f>
        <v>VENDAS</v>
      </c>
      <c r="C938" s="72" t="str">
        <f ca="1">IF(D938="Inativo","Inativo",IFERROR(VLOOKUP($G938,Conf!$O:$Q,3,0),IFERROR(VLOOKUP($G938,Conf!$E:$F,2,0),VLOOKUP($S938,Conf!$K:$M,3,0))))</f>
        <v>VENDEDOR</v>
      </c>
      <c r="D938" s="72" t="str">
        <f ca="1">IFERROR(IF(TODAY()-K938&gt;365,"Inativo",IF(J938=2,"Férias",IF(J938=7,"Demitido","Afastamento"))),VLOOKUP(J938,Conf!$H:$I,2,0))</f>
        <v>Ativos</v>
      </c>
      <c r="E938" s="187">
        <v>50</v>
      </c>
      <c r="F938" s="187">
        <v>7</v>
      </c>
      <c r="G938" t="s">
        <v>1201</v>
      </c>
      <c r="H938" s="71"/>
      <c r="I938" t="s">
        <v>1054</v>
      </c>
      <c r="J938" s="187">
        <v>1</v>
      </c>
      <c r="K938" t="s">
        <v>1385</v>
      </c>
      <c r="L938" s="185"/>
      <c r="M938" s="188">
        <v>44531</v>
      </c>
      <c r="N938" s="71"/>
      <c r="Q938" s="71"/>
      <c r="R938" s="71"/>
      <c r="S938" t="s">
        <v>1187</v>
      </c>
      <c r="T938" s="71"/>
    </row>
    <row r="939" spans="1:20" x14ac:dyDescent="0.3">
      <c r="A939" s="72">
        <f>IFERROR(VLOOKUP($G939,Conf!$B:$C,2,0),E939)</f>
        <v>50</v>
      </c>
      <c r="B939" s="72" t="str">
        <f ca="1">IF(D939="Inativo","Inativo",IFERROR(VLOOKUP($G939,Conf!$O:$Q,2,0),VLOOKUP($S939,Conf!$K:$M,2,0)))</f>
        <v>VENDAS</v>
      </c>
      <c r="C939" s="72" t="str">
        <f ca="1">IF(D939="Inativo","Inativo",IFERROR(VLOOKUP($G939,Conf!$O:$Q,3,0),IFERROR(VLOOKUP($G939,Conf!$E:$F,2,0),VLOOKUP($S939,Conf!$K:$M,3,0))))</f>
        <v>VENDEDOR</v>
      </c>
      <c r="D939" s="72" t="str">
        <f ca="1">IFERROR(IF(TODAY()-K939&gt;365,"Inativo",IF(J939=2,"Férias",IF(J939=7,"Demitido","Afastamento"))),VLOOKUP(J939,Conf!$H:$I,2,0))</f>
        <v>Ativos</v>
      </c>
      <c r="E939" s="187">
        <v>50</v>
      </c>
      <c r="F939" s="187">
        <v>13</v>
      </c>
      <c r="G939" t="s">
        <v>1202</v>
      </c>
      <c r="H939" s="71"/>
      <c r="I939" t="s">
        <v>1054</v>
      </c>
      <c r="J939" s="187">
        <v>1</v>
      </c>
      <c r="K939" t="s">
        <v>1385</v>
      </c>
      <c r="L939" s="185"/>
      <c r="M939" s="188">
        <v>44928</v>
      </c>
      <c r="N939" s="71"/>
      <c r="Q939" s="71"/>
      <c r="R939" s="71"/>
      <c r="S939" t="s">
        <v>1187</v>
      </c>
    </row>
    <row r="940" spans="1:20" x14ac:dyDescent="0.3">
      <c r="A940" s="72">
        <f>IFERROR(VLOOKUP($G940,Conf!$B:$C,2,0),E940)</f>
        <v>50</v>
      </c>
      <c r="B940" s="72" t="str">
        <f ca="1">IF(D940="Inativo","Inativo",IFERROR(VLOOKUP($G940,Conf!$O:$Q,2,0),VLOOKUP($S940,Conf!$K:$M,2,0)))</f>
        <v>VENDAS</v>
      </c>
      <c r="C940" s="72" t="str">
        <f ca="1">IF(D940="Inativo","Inativo",IFERROR(VLOOKUP($G940,Conf!$O:$Q,3,0),IFERROR(VLOOKUP($G940,Conf!$E:$F,2,0),VLOOKUP($S940,Conf!$K:$M,3,0))))</f>
        <v>VENDEDOR</v>
      </c>
      <c r="D940" s="72" t="str">
        <f ca="1">IFERROR(IF(TODAY()-K940&gt;365,"Inativo",IF(J940=2,"Férias",IF(J940=7,"Demitido","Afastamento"))),VLOOKUP(J940,Conf!$H:$I,2,0))</f>
        <v>Ativos</v>
      </c>
      <c r="E940" s="187">
        <v>50</v>
      </c>
      <c r="F940" s="187">
        <v>14</v>
      </c>
      <c r="G940" t="s">
        <v>1203</v>
      </c>
      <c r="I940" t="s">
        <v>1054</v>
      </c>
      <c r="J940" s="187">
        <v>1</v>
      </c>
      <c r="K940" t="s">
        <v>1385</v>
      </c>
      <c r="M940" s="188">
        <v>45323</v>
      </c>
      <c r="S940" t="s">
        <v>1204</v>
      </c>
    </row>
    <row r="941" spans="1:20" x14ac:dyDescent="0.3">
      <c r="A941" s="72">
        <f>IFERROR(VLOOKUP($G941,Conf!$B:$C,2,0),E941)</f>
        <v>50</v>
      </c>
      <c r="B941" s="72" t="str">
        <f ca="1">IF(D941="Inativo","Inativo",IFERROR(VLOOKUP($G941,Conf!$O:$Q,2,0),VLOOKUP($S941,Conf!$K:$M,2,0)))</f>
        <v>VENDAS</v>
      </c>
      <c r="C941" s="72" t="str">
        <f ca="1">IF(D941="Inativo","Inativo",IFERROR(VLOOKUP($G941,Conf!$O:$Q,3,0),IFERROR(VLOOKUP($G941,Conf!$E:$F,2,0),VLOOKUP($S941,Conf!$K:$M,3,0))))</f>
        <v>VENDEDOR</v>
      </c>
      <c r="D941" s="72" t="str">
        <f ca="1">IFERROR(IF(TODAY()-K941&gt;365,"Inativo",IF(J941=2,"Férias",IF(J941=7,"Demitido","Afastamento"))),VLOOKUP(J941,Conf!$H:$I,2,0))</f>
        <v>Ativos</v>
      </c>
      <c r="E941" s="187">
        <v>50</v>
      </c>
      <c r="F941" s="187">
        <v>16</v>
      </c>
      <c r="G941" t="s">
        <v>1205</v>
      </c>
      <c r="H941" s="71"/>
      <c r="I941" t="s">
        <v>1054</v>
      </c>
      <c r="J941" s="187">
        <v>1</v>
      </c>
      <c r="K941" t="s">
        <v>1385</v>
      </c>
      <c r="L941" s="185"/>
      <c r="M941" s="188">
        <v>45478</v>
      </c>
      <c r="N941" s="71"/>
      <c r="Q941" s="71"/>
      <c r="R941" s="71"/>
      <c r="S941" t="s">
        <v>1206</v>
      </c>
    </row>
    <row r="942" spans="1:20" x14ac:dyDescent="0.3">
      <c r="A942" s="72">
        <f>IFERROR(VLOOKUP($G942,Conf!$B:$C,2,0),E942)</f>
        <v>50</v>
      </c>
      <c r="B942" s="72" t="str">
        <f ca="1">IF(D942="Inativo","Inativo",IFERROR(VLOOKUP($G942,Conf!$O:$Q,2,0),VLOOKUP($S942,Conf!$K:$M,2,0)))</f>
        <v>VENDAS</v>
      </c>
      <c r="C942" s="72" t="str">
        <f ca="1">IF(D942="Inativo","Inativo",IFERROR(VLOOKUP($G942,Conf!$O:$Q,3,0),IFERROR(VLOOKUP($G942,Conf!$E:$F,2,0),VLOOKUP($S942,Conf!$K:$M,3,0))))</f>
        <v>VENDEDOR</v>
      </c>
      <c r="D942" s="72" t="str">
        <f ca="1">IFERROR(IF(TODAY()-K942&gt;365,"Inativo",IF(J942=2,"Férias",IF(J942=7,"Demitido","Afastamento"))),VLOOKUP(J942,Conf!$H:$I,2,0))</f>
        <v>Ativos</v>
      </c>
      <c r="E942" s="187">
        <v>50</v>
      </c>
      <c r="F942" s="187">
        <v>15</v>
      </c>
      <c r="G942" t="s">
        <v>1207</v>
      </c>
      <c r="H942" s="71"/>
      <c r="I942" t="s">
        <v>1054</v>
      </c>
      <c r="J942" s="187">
        <v>1</v>
      </c>
      <c r="K942" t="s">
        <v>1385</v>
      </c>
      <c r="L942" s="185"/>
      <c r="M942" s="188">
        <v>45352</v>
      </c>
      <c r="N942" s="71"/>
      <c r="O942" s="71"/>
      <c r="P942" s="71"/>
      <c r="Q942" s="71"/>
      <c r="R942" s="71"/>
      <c r="S942" t="s">
        <v>1204</v>
      </c>
    </row>
    <row r="943" spans="1:20" x14ac:dyDescent="0.3">
      <c r="A943" s="72">
        <f>IFERROR(VLOOKUP($G943,Conf!$B:$C,2,0),E943)</f>
        <v>50</v>
      </c>
      <c r="B943" s="72" t="str">
        <f ca="1">IF(D943="Inativo","Inativo",IFERROR(VLOOKUP($G943,Conf!$O:$Q,2,0),VLOOKUP($S943,Conf!$K:$M,2,0)))</f>
        <v>VENDAS</v>
      </c>
      <c r="C943" s="72" t="str">
        <f ca="1">IF(D943="Inativo","Inativo",IFERROR(VLOOKUP($G943,Conf!$O:$Q,3,0),IFERROR(VLOOKUP($G943,Conf!$E:$F,2,0),VLOOKUP($S943,Conf!$K:$M,3,0))))</f>
        <v>VENDEDOR</v>
      </c>
      <c r="D943" s="72" t="str">
        <f ca="1">IFERROR(IF(TODAY()-K943&gt;365,"Inativo",IF(J943=2,"Férias",IF(J943=7,"Demitido","Afastamento"))),VLOOKUP(J943,Conf!$H:$I,2,0))</f>
        <v>Ativos</v>
      </c>
      <c r="E943" s="187">
        <v>50</v>
      </c>
      <c r="F943" s="187">
        <v>10</v>
      </c>
      <c r="G943" t="s">
        <v>1208</v>
      </c>
      <c r="H943" s="71"/>
      <c r="I943" t="s">
        <v>1054</v>
      </c>
      <c r="J943" s="187">
        <v>1</v>
      </c>
      <c r="K943" t="s">
        <v>1385</v>
      </c>
      <c r="L943" s="185"/>
      <c r="M943" s="188">
        <v>44593</v>
      </c>
      <c r="N943" s="71"/>
      <c r="Q943" s="71"/>
      <c r="R943" s="71"/>
      <c r="S943" t="s">
        <v>1187</v>
      </c>
    </row>
  </sheetData>
  <autoFilter ref="A1:T943" xr:uid="{336CDEDD-795F-4E3F-8995-BA51D7326249}"/>
  <sortState xmlns:xlrd2="http://schemas.microsoft.com/office/spreadsheetml/2017/richdata2" ref="A2:S943">
    <sortCondition ref="A2:A943"/>
    <sortCondition ref="B2:B943"/>
    <sortCondition ref="C2:C943"/>
    <sortCondition ref="G2:G94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C746-E9F6-4394-BBFA-B914377D0C46}">
  <sheetPr>
    <tabColor theme="5" tint="-0.499984740745262"/>
  </sheetPr>
  <dimension ref="A2:Q302"/>
  <sheetViews>
    <sheetView showGridLines="0" zoomScaleNormal="100" workbookViewId="0"/>
  </sheetViews>
  <sheetFormatPr defaultRowHeight="14.4" x14ac:dyDescent="0.3"/>
  <cols>
    <col min="1" max="1" width="5.88671875" customWidth="1"/>
    <col min="2" max="2" width="29.33203125" bestFit="1" customWidth="1"/>
    <col min="3" max="3" width="12.44140625" style="9" bestFit="1" customWidth="1"/>
    <col min="5" max="5" width="29.77734375" style="9" bestFit="1" customWidth="1"/>
    <col min="6" max="7" width="12" bestFit="1" customWidth="1"/>
    <col min="8" max="8" width="5.88671875" customWidth="1"/>
    <col min="9" max="9" width="26.6640625" style="79" bestFit="1" customWidth="1"/>
    <col min="11" max="11" width="60.33203125" bestFit="1" customWidth="1"/>
    <col min="12" max="12" width="16" bestFit="1" customWidth="1"/>
    <col min="13" max="13" width="24.44140625" customWidth="1"/>
    <col min="15" max="15" width="34.109375" bestFit="1" customWidth="1"/>
    <col min="16" max="16" width="21.5546875" customWidth="1"/>
    <col min="17" max="17" width="14.77734375" customWidth="1"/>
  </cols>
  <sheetData>
    <row r="2" spans="2:17" x14ac:dyDescent="0.3">
      <c r="B2" s="10" t="s">
        <v>1473</v>
      </c>
      <c r="E2" s="10" t="s">
        <v>1474</v>
      </c>
      <c r="O2" s="10" t="s">
        <v>1475</v>
      </c>
    </row>
    <row r="3" spans="2:17" x14ac:dyDescent="0.3">
      <c r="B3" s="144" t="s">
        <v>207</v>
      </c>
      <c r="C3" s="145" t="s">
        <v>201</v>
      </c>
      <c r="E3" s="144" t="s">
        <v>207</v>
      </c>
      <c r="F3" s="145" t="s">
        <v>203</v>
      </c>
      <c r="H3" s="73" t="s">
        <v>1221</v>
      </c>
      <c r="I3" s="76" t="s">
        <v>1222</v>
      </c>
      <c r="K3" s="86" t="s">
        <v>1223</v>
      </c>
      <c r="L3" s="87" t="s">
        <v>202</v>
      </c>
      <c r="M3" s="88" t="s">
        <v>203</v>
      </c>
      <c r="O3" s="144" t="s">
        <v>207</v>
      </c>
      <c r="P3" s="189" t="s">
        <v>202</v>
      </c>
      <c r="Q3" s="145" t="s">
        <v>203</v>
      </c>
    </row>
    <row r="4" spans="2:17" x14ac:dyDescent="0.3">
      <c r="B4" s="146" t="s">
        <v>367</v>
      </c>
      <c r="C4" s="147">
        <v>1</v>
      </c>
      <c r="E4" t="s">
        <v>369</v>
      </c>
      <c r="F4" s="9" t="s">
        <v>14</v>
      </c>
      <c r="H4" s="74">
        <v>1</v>
      </c>
      <c r="I4" s="77" t="s">
        <v>1</v>
      </c>
      <c r="K4" s="89" t="s">
        <v>394</v>
      </c>
      <c r="L4" s="90" t="s">
        <v>52</v>
      </c>
      <c r="M4" s="91" t="s">
        <v>18</v>
      </c>
      <c r="O4" s="79" t="s">
        <v>657</v>
      </c>
      <c r="P4" s="79" t="s">
        <v>1252</v>
      </c>
      <c r="Q4" t="s">
        <v>1253</v>
      </c>
    </row>
    <row r="5" spans="2:17" x14ac:dyDescent="0.3">
      <c r="B5" s="146" t="s">
        <v>874</v>
      </c>
      <c r="C5" s="147">
        <v>7</v>
      </c>
      <c r="E5" t="s">
        <v>451</v>
      </c>
      <c r="F5" s="9" t="s">
        <v>14</v>
      </c>
      <c r="H5" s="74">
        <v>2</v>
      </c>
      <c r="I5" s="77" t="s">
        <v>1219</v>
      </c>
      <c r="K5" s="89" t="s">
        <v>223</v>
      </c>
      <c r="L5" s="90" t="s">
        <v>52</v>
      </c>
      <c r="M5" s="91" t="s">
        <v>18</v>
      </c>
      <c r="O5" s="79" t="s">
        <v>655</v>
      </c>
      <c r="P5" s="79" t="s">
        <v>1252</v>
      </c>
      <c r="Q5" t="s">
        <v>1253</v>
      </c>
    </row>
    <row r="6" spans="2:17" x14ac:dyDescent="0.3">
      <c r="B6" s="146" t="s">
        <v>738</v>
      </c>
      <c r="C6" s="147">
        <v>3</v>
      </c>
      <c r="E6" t="s">
        <v>526</v>
      </c>
      <c r="F6" s="9" t="s">
        <v>14</v>
      </c>
      <c r="H6" s="74">
        <v>3</v>
      </c>
      <c r="I6" s="77" t="s">
        <v>1224</v>
      </c>
      <c r="K6" s="89" t="s">
        <v>221</v>
      </c>
      <c r="L6" s="90" t="s">
        <v>52</v>
      </c>
      <c r="M6" s="91" t="s">
        <v>18</v>
      </c>
      <c r="O6" s="79" t="s">
        <v>654</v>
      </c>
      <c r="P6" s="79" t="s">
        <v>1252</v>
      </c>
      <c r="Q6" t="s">
        <v>1253</v>
      </c>
    </row>
    <row r="7" spans="2:17" x14ac:dyDescent="0.3">
      <c r="B7" s="146" t="s">
        <v>451</v>
      </c>
      <c r="C7" s="147">
        <v>1</v>
      </c>
      <c r="E7" t="s">
        <v>367</v>
      </c>
      <c r="F7" s="9" t="s">
        <v>14</v>
      </c>
      <c r="H7" s="74">
        <v>4</v>
      </c>
      <c r="I7" s="77" t="s">
        <v>1225</v>
      </c>
      <c r="K7" s="89" t="s">
        <v>392</v>
      </c>
      <c r="L7" s="90" t="s">
        <v>52</v>
      </c>
      <c r="M7" s="91" t="s">
        <v>18</v>
      </c>
      <c r="O7" s="79" t="s">
        <v>658</v>
      </c>
      <c r="P7" t="s">
        <v>54</v>
      </c>
      <c r="Q7" t="s">
        <v>1253</v>
      </c>
    </row>
    <row r="8" spans="2:17" x14ac:dyDescent="0.3">
      <c r="B8" s="148" t="s">
        <v>582</v>
      </c>
      <c r="C8" s="147">
        <v>2</v>
      </c>
      <c r="E8" t="s">
        <v>1236</v>
      </c>
      <c r="F8" s="9" t="s">
        <v>14</v>
      </c>
      <c r="H8" s="74">
        <v>5</v>
      </c>
      <c r="I8" s="77" t="s">
        <v>1226</v>
      </c>
      <c r="K8" s="184" t="s">
        <v>1471</v>
      </c>
      <c r="L8" s="90" t="s">
        <v>52</v>
      </c>
      <c r="M8" s="91" t="s">
        <v>18</v>
      </c>
      <c r="O8" t="s">
        <v>1480</v>
      </c>
      <c r="P8" s="79" t="s">
        <v>57</v>
      </c>
      <c r="Q8" t="s">
        <v>150</v>
      </c>
    </row>
    <row r="9" spans="2:17" x14ac:dyDescent="0.3">
      <c r="B9" s="148" t="s">
        <v>449</v>
      </c>
      <c r="C9" s="147">
        <v>2</v>
      </c>
      <c r="E9" t="s">
        <v>582</v>
      </c>
      <c r="F9" s="9" t="s">
        <v>14</v>
      </c>
      <c r="H9" s="74">
        <v>6</v>
      </c>
      <c r="I9" s="77" t="s">
        <v>1227</v>
      </c>
      <c r="K9" s="89" t="s">
        <v>535</v>
      </c>
      <c r="L9" s="90" t="s">
        <v>52</v>
      </c>
      <c r="M9" s="91" t="s">
        <v>18</v>
      </c>
      <c r="O9" t="s">
        <v>1449</v>
      </c>
      <c r="P9" s="79" t="s">
        <v>57</v>
      </c>
      <c r="Q9" t="s">
        <v>150</v>
      </c>
    </row>
    <row r="10" spans="2:17" x14ac:dyDescent="0.3">
      <c r="B10" s="148" t="s">
        <v>520</v>
      </c>
      <c r="C10" s="147">
        <v>3</v>
      </c>
      <c r="E10" t="s">
        <v>659</v>
      </c>
      <c r="F10" s="9" t="s">
        <v>14</v>
      </c>
      <c r="H10" s="74">
        <v>7</v>
      </c>
      <c r="I10" s="77" t="s">
        <v>1220</v>
      </c>
      <c r="K10" s="89" t="s">
        <v>774</v>
      </c>
      <c r="L10" s="90" t="s">
        <v>52</v>
      </c>
      <c r="M10" s="91" t="s">
        <v>18</v>
      </c>
      <c r="O10" t="s">
        <v>372</v>
      </c>
      <c r="P10" s="79" t="s">
        <v>56</v>
      </c>
      <c r="Q10" t="s">
        <v>150</v>
      </c>
    </row>
    <row r="11" spans="2:17" x14ac:dyDescent="0.3">
      <c r="B11" s="148" t="s">
        <v>1215</v>
      </c>
      <c r="C11" s="147">
        <v>30</v>
      </c>
      <c r="E11" t="s">
        <v>749</v>
      </c>
      <c r="F11" s="9" t="s">
        <v>14</v>
      </c>
      <c r="H11" s="74">
        <v>14</v>
      </c>
      <c r="I11" s="77" t="s">
        <v>1228</v>
      </c>
      <c r="K11" s="89" t="s">
        <v>890</v>
      </c>
      <c r="L11" s="90" t="s">
        <v>52</v>
      </c>
      <c r="M11" s="91" t="s">
        <v>18</v>
      </c>
      <c r="O11" t="s">
        <v>373</v>
      </c>
      <c r="P11" s="79" t="s">
        <v>56</v>
      </c>
      <c r="Q11" t="s">
        <v>150</v>
      </c>
    </row>
    <row r="12" spans="2:17" x14ac:dyDescent="0.3">
      <c r="B12" s="148" t="s">
        <v>1212</v>
      </c>
      <c r="C12" s="147">
        <v>30</v>
      </c>
      <c r="E12" t="s">
        <v>874</v>
      </c>
      <c r="F12" s="9" t="s">
        <v>14</v>
      </c>
      <c r="H12" s="74">
        <v>22</v>
      </c>
      <c r="I12" s="77" t="s">
        <v>1230</v>
      </c>
      <c r="K12" s="89" t="s">
        <v>230</v>
      </c>
      <c r="L12" s="90" t="s">
        <v>52</v>
      </c>
      <c r="M12" s="91" t="s">
        <v>1229</v>
      </c>
      <c r="O12" t="s">
        <v>378</v>
      </c>
      <c r="P12" t="s">
        <v>56</v>
      </c>
      <c r="Q12" t="s">
        <v>1321</v>
      </c>
    </row>
    <row r="13" spans="2:17" x14ac:dyDescent="0.3">
      <c r="B13" s="148" t="s">
        <v>1209</v>
      </c>
      <c r="C13" s="147">
        <v>30</v>
      </c>
      <c r="E13" t="s">
        <v>964</v>
      </c>
      <c r="F13" s="9" t="s">
        <v>14</v>
      </c>
      <c r="H13" s="74">
        <v>109</v>
      </c>
      <c r="I13" s="77" t="s">
        <v>1231</v>
      </c>
      <c r="K13" s="89" t="s">
        <v>228</v>
      </c>
      <c r="L13" s="90" t="s">
        <v>52</v>
      </c>
      <c r="M13" s="91" t="s">
        <v>1229</v>
      </c>
      <c r="O13" t="s">
        <v>343</v>
      </c>
      <c r="P13" t="s">
        <v>1252</v>
      </c>
      <c r="Q13" t="s">
        <v>1253</v>
      </c>
    </row>
    <row r="14" spans="2:17" x14ac:dyDescent="0.3">
      <c r="B14" s="148" t="s">
        <v>1210</v>
      </c>
      <c r="C14" s="147">
        <v>30</v>
      </c>
      <c r="E14" t="s">
        <v>1217</v>
      </c>
      <c r="F14" s="9" t="s">
        <v>1240</v>
      </c>
      <c r="H14" s="75">
        <v>318</v>
      </c>
      <c r="I14" s="78" t="s">
        <v>1232</v>
      </c>
      <c r="K14" s="89" t="s">
        <v>397</v>
      </c>
      <c r="L14" s="90" t="s">
        <v>52</v>
      </c>
      <c r="M14" s="91" t="s">
        <v>1229</v>
      </c>
      <c r="O14" t="s">
        <v>1319</v>
      </c>
      <c r="P14" s="79" t="s">
        <v>51</v>
      </c>
      <c r="Q14" t="s">
        <v>1253</v>
      </c>
    </row>
    <row r="15" spans="2:17" x14ac:dyDescent="0.3">
      <c r="B15" s="148" t="s">
        <v>1211</v>
      </c>
      <c r="C15" s="147">
        <v>30</v>
      </c>
      <c r="E15" t="s">
        <v>1439</v>
      </c>
      <c r="F15" s="9" t="s">
        <v>14</v>
      </c>
      <c r="K15" s="89" t="s">
        <v>477</v>
      </c>
      <c r="L15" s="90" t="s">
        <v>52</v>
      </c>
      <c r="M15" s="91" t="s">
        <v>1229</v>
      </c>
      <c r="O15" t="s">
        <v>456</v>
      </c>
      <c r="P15" s="79" t="s">
        <v>55</v>
      </c>
      <c r="Q15" t="s">
        <v>1423</v>
      </c>
    </row>
    <row r="16" spans="2:17" x14ac:dyDescent="0.3">
      <c r="B16" s="148" t="s">
        <v>1213</v>
      </c>
      <c r="C16" s="147">
        <v>30</v>
      </c>
      <c r="K16" s="89" t="s">
        <v>539</v>
      </c>
      <c r="L16" s="90" t="s">
        <v>52</v>
      </c>
      <c r="M16" s="91" t="s">
        <v>1229</v>
      </c>
      <c r="O16" t="s">
        <v>1148</v>
      </c>
      <c r="P16" t="s">
        <v>1204</v>
      </c>
      <c r="Q16" t="s">
        <v>1262</v>
      </c>
    </row>
    <row r="17" spans="1:17" x14ac:dyDescent="0.3">
      <c r="B17" s="148" t="s">
        <v>1214</v>
      </c>
      <c r="C17" s="147">
        <v>30</v>
      </c>
      <c r="K17" s="184" t="s">
        <v>1404</v>
      </c>
      <c r="L17" s="90" t="s">
        <v>52</v>
      </c>
      <c r="M17" s="91" t="s">
        <v>1229</v>
      </c>
      <c r="O17" t="s">
        <v>1013</v>
      </c>
      <c r="P17" t="s">
        <v>1237</v>
      </c>
      <c r="Q17" t="s">
        <v>1322</v>
      </c>
    </row>
    <row r="18" spans="1:17" x14ac:dyDescent="0.3">
      <c r="B18" s="148" t="s">
        <v>1216</v>
      </c>
      <c r="C18" s="147">
        <v>30</v>
      </c>
      <c r="K18" s="89" t="s">
        <v>781</v>
      </c>
      <c r="L18" s="90" t="s">
        <v>52</v>
      </c>
      <c r="M18" s="91" t="s">
        <v>1229</v>
      </c>
      <c r="O18" t="s">
        <v>637</v>
      </c>
      <c r="P18" s="90" t="s">
        <v>55</v>
      </c>
      <c r="Q18" t="s">
        <v>150</v>
      </c>
    </row>
    <row r="19" spans="1:17" x14ac:dyDescent="0.3">
      <c r="B19" s="148" t="s">
        <v>1217</v>
      </c>
      <c r="C19" s="147">
        <v>30</v>
      </c>
      <c r="K19" s="89" t="s">
        <v>474</v>
      </c>
      <c r="L19" s="90" t="s">
        <v>52</v>
      </c>
      <c r="M19" s="91" t="s">
        <v>1229</v>
      </c>
      <c r="O19" t="s">
        <v>601</v>
      </c>
      <c r="P19" t="s">
        <v>1244</v>
      </c>
      <c r="Q19" t="s">
        <v>1245</v>
      </c>
    </row>
    <row r="20" spans="1:17" x14ac:dyDescent="0.3">
      <c r="B20" s="71" t="s">
        <v>446</v>
      </c>
      <c r="C20" s="147">
        <v>30</v>
      </c>
      <c r="K20" s="89" t="s">
        <v>981</v>
      </c>
      <c r="L20" s="90" t="s">
        <v>1237</v>
      </c>
      <c r="M20" s="91" t="s">
        <v>21</v>
      </c>
      <c r="O20" t="s">
        <v>651</v>
      </c>
      <c r="P20" t="s">
        <v>1244</v>
      </c>
      <c r="Q20" t="s">
        <v>1245</v>
      </c>
    </row>
    <row r="21" spans="1:17" x14ac:dyDescent="0.3">
      <c r="B21" s="71" t="s">
        <v>1178</v>
      </c>
      <c r="C21" s="147">
        <v>30</v>
      </c>
      <c r="K21" s="89" t="s">
        <v>979</v>
      </c>
      <c r="L21" s="90" t="s">
        <v>1237</v>
      </c>
      <c r="M21" s="91" t="s">
        <v>21</v>
      </c>
      <c r="O21" t="s">
        <v>1615</v>
      </c>
      <c r="P21" t="s">
        <v>57</v>
      </c>
      <c r="Q21" t="s">
        <v>150</v>
      </c>
    </row>
    <row r="22" spans="1:17" x14ac:dyDescent="0.3">
      <c r="B22" s="71" t="s">
        <v>1384</v>
      </c>
      <c r="C22" s="9">
        <v>5</v>
      </c>
      <c r="K22" s="184" t="s">
        <v>1470</v>
      </c>
      <c r="L22" s="90" t="s">
        <v>1237</v>
      </c>
      <c r="M22" s="91" t="s">
        <v>21</v>
      </c>
    </row>
    <row r="23" spans="1:17" x14ac:dyDescent="0.3">
      <c r="A23" s="187"/>
      <c r="B23" t="s">
        <v>1426</v>
      </c>
      <c r="C23" s="9">
        <v>4</v>
      </c>
      <c r="K23" s="89" t="s">
        <v>468</v>
      </c>
      <c r="L23" s="90" t="s">
        <v>1237</v>
      </c>
      <c r="M23" s="91" t="s">
        <v>21</v>
      </c>
    </row>
    <row r="24" spans="1:17" x14ac:dyDescent="0.3">
      <c r="B24" t="s">
        <v>1408</v>
      </c>
      <c r="C24" s="9">
        <v>6</v>
      </c>
      <c r="K24" s="180" t="s">
        <v>1233</v>
      </c>
      <c r="L24" s="90" t="s">
        <v>1237</v>
      </c>
      <c r="M24" s="91" t="s">
        <v>21</v>
      </c>
    </row>
    <row r="25" spans="1:17" x14ac:dyDescent="0.3">
      <c r="B25" t="s">
        <v>1409</v>
      </c>
      <c r="C25" s="9">
        <v>30</v>
      </c>
      <c r="K25" s="89" t="s">
        <v>1234</v>
      </c>
      <c r="L25" s="90" t="s">
        <v>1237</v>
      </c>
      <c r="M25" s="91" t="s">
        <v>21</v>
      </c>
    </row>
    <row r="26" spans="1:17" x14ac:dyDescent="0.3">
      <c r="B26" t="s">
        <v>1410</v>
      </c>
      <c r="C26" s="9">
        <v>30</v>
      </c>
      <c r="K26" s="184" t="s">
        <v>1170</v>
      </c>
      <c r="L26" s="90" t="s">
        <v>1235</v>
      </c>
      <c r="M26" s="91" t="s">
        <v>1168</v>
      </c>
    </row>
    <row r="27" spans="1:17" x14ac:dyDescent="0.3">
      <c r="B27" t="s">
        <v>1411</v>
      </c>
      <c r="C27" s="9">
        <v>30</v>
      </c>
      <c r="K27" s="184" t="s">
        <v>992</v>
      </c>
      <c r="L27" s="90" t="s">
        <v>1237</v>
      </c>
      <c r="M27" s="91" t="s">
        <v>1238</v>
      </c>
    </row>
    <row r="28" spans="1:17" x14ac:dyDescent="0.3">
      <c r="K28" s="89" t="s">
        <v>899</v>
      </c>
      <c r="L28" s="90" t="s">
        <v>1237</v>
      </c>
      <c r="M28" s="91" t="s">
        <v>1422</v>
      </c>
    </row>
    <row r="29" spans="1:17" x14ac:dyDescent="0.3">
      <c r="K29" s="89" t="s">
        <v>22</v>
      </c>
      <c r="L29" s="90" t="s">
        <v>1237</v>
      </c>
      <c r="M29" s="91" t="s">
        <v>22</v>
      </c>
    </row>
    <row r="30" spans="1:17" x14ac:dyDescent="0.3">
      <c r="K30" s="180" t="s">
        <v>1132</v>
      </c>
      <c r="L30" s="90" t="s">
        <v>1237</v>
      </c>
      <c r="M30" s="91" t="s">
        <v>22</v>
      </c>
    </row>
    <row r="31" spans="1:17" x14ac:dyDescent="0.3">
      <c r="K31" s="89" t="s">
        <v>337</v>
      </c>
      <c r="L31" s="90" t="s">
        <v>1237</v>
      </c>
      <c r="M31" s="91" t="s">
        <v>22</v>
      </c>
    </row>
    <row r="32" spans="1:17" x14ac:dyDescent="0.3">
      <c r="K32" s="89" t="s">
        <v>339</v>
      </c>
      <c r="L32" s="90" t="s">
        <v>1237</v>
      </c>
      <c r="M32" s="91" t="s">
        <v>22</v>
      </c>
    </row>
    <row r="33" spans="3:13" x14ac:dyDescent="0.3">
      <c r="K33" s="89" t="s">
        <v>444</v>
      </c>
      <c r="L33" s="90" t="s">
        <v>1237</v>
      </c>
      <c r="M33" s="91" t="s">
        <v>22</v>
      </c>
    </row>
    <row r="34" spans="3:13" x14ac:dyDescent="0.3">
      <c r="K34" s="89" t="s">
        <v>514</v>
      </c>
      <c r="L34" s="90" t="s">
        <v>1237</v>
      </c>
      <c r="M34" s="91" t="s">
        <v>22</v>
      </c>
    </row>
    <row r="35" spans="3:13" x14ac:dyDescent="0.3">
      <c r="K35" s="89" t="s">
        <v>570</v>
      </c>
      <c r="L35" s="90" t="s">
        <v>1237</v>
      </c>
      <c r="M35" s="91" t="s">
        <v>22</v>
      </c>
    </row>
    <row r="36" spans="3:13" x14ac:dyDescent="0.3">
      <c r="C36"/>
      <c r="K36" s="184" t="s">
        <v>1196</v>
      </c>
      <c r="L36" s="90" t="s">
        <v>1237</v>
      </c>
      <c r="M36" s="91" t="s">
        <v>1241</v>
      </c>
    </row>
    <row r="37" spans="3:13" x14ac:dyDescent="0.3">
      <c r="C37"/>
      <c r="D37" s="10"/>
      <c r="K37" s="184" t="s">
        <v>1009</v>
      </c>
      <c r="L37" s="90" t="s">
        <v>1237</v>
      </c>
      <c r="M37" s="91" t="s">
        <v>1241</v>
      </c>
    </row>
    <row r="38" spans="3:13" x14ac:dyDescent="0.3">
      <c r="C38"/>
      <c r="K38" s="180" t="s">
        <v>1001</v>
      </c>
      <c r="L38" s="90" t="s">
        <v>1237</v>
      </c>
      <c r="M38" s="91" t="s">
        <v>1241</v>
      </c>
    </row>
    <row r="39" spans="3:13" x14ac:dyDescent="0.3">
      <c r="C39"/>
      <c r="K39" s="184" t="s">
        <v>1005</v>
      </c>
      <c r="L39" s="90" t="s">
        <v>1237</v>
      </c>
      <c r="M39" s="91" t="s">
        <v>1241</v>
      </c>
    </row>
    <row r="40" spans="3:13" x14ac:dyDescent="0.3">
      <c r="C40"/>
      <c r="K40" s="184" t="s">
        <v>1004</v>
      </c>
      <c r="L40" s="90" t="s">
        <v>1237</v>
      </c>
      <c r="M40" s="91" t="s">
        <v>1241</v>
      </c>
    </row>
    <row r="41" spans="3:13" x14ac:dyDescent="0.3">
      <c r="C41"/>
      <c r="K41" s="184" t="s">
        <v>1006</v>
      </c>
      <c r="L41" s="90" t="s">
        <v>1237</v>
      </c>
      <c r="M41" s="91" t="s">
        <v>1241</v>
      </c>
    </row>
    <row r="42" spans="3:13" x14ac:dyDescent="0.3">
      <c r="C42"/>
      <c r="K42" s="184" t="s">
        <v>1320</v>
      </c>
      <c r="L42" s="90" t="s">
        <v>1237</v>
      </c>
      <c r="M42" s="91" t="s">
        <v>1241</v>
      </c>
    </row>
    <row r="43" spans="3:13" x14ac:dyDescent="0.3">
      <c r="C43"/>
      <c r="K43" s="184" t="s">
        <v>1022</v>
      </c>
      <c r="L43" s="90" t="s">
        <v>1237</v>
      </c>
      <c r="M43" s="91" t="s">
        <v>1241</v>
      </c>
    </row>
    <row r="44" spans="3:13" x14ac:dyDescent="0.3">
      <c r="K44" s="184" t="s">
        <v>1416</v>
      </c>
      <c r="L44" s="90" t="s">
        <v>1237</v>
      </c>
      <c r="M44" s="91" t="s">
        <v>1241</v>
      </c>
    </row>
    <row r="45" spans="3:13" x14ac:dyDescent="0.3">
      <c r="K45" s="184" t="s">
        <v>1025</v>
      </c>
      <c r="L45" s="90" t="s">
        <v>1237</v>
      </c>
      <c r="M45" s="91" t="s">
        <v>1241</v>
      </c>
    </row>
    <row r="46" spans="3:13" x14ac:dyDescent="0.3">
      <c r="K46" s="184" t="s">
        <v>1307</v>
      </c>
      <c r="L46" s="90" t="s">
        <v>1237</v>
      </c>
      <c r="M46" s="91" t="s">
        <v>1241</v>
      </c>
    </row>
    <row r="47" spans="3:13" x14ac:dyDescent="0.3">
      <c r="K47" s="184" t="s">
        <v>1577</v>
      </c>
      <c r="L47" s="90" t="s">
        <v>1237</v>
      </c>
      <c r="M47" s="91" t="s">
        <v>1241</v>
      </c>
    </row>
    <row r="48" spans="3:13" x14ac:dyDescent="0.3">
      <c r="K48" s="184" t="s">
        <v>997</v>
      </c>
      <c r="L48" s="90" t="s">
        <v>1237</v>
      </c>
      <c r="M48" s="91" t="s">
        <v>1241</v>
      </c>
    </row>
    <row r="49" spans="11:13" x14ac:dyDescent="0.3">
      <c r="K49" s="180" t="s">
        <v>1182</v>
      </c>
      <c r="L49" s="90" t="s">
        <v>1242</v>
      </c>
      <c r="M49" s="91" t="s">
        <v>1241</v>
      </c>
    </row>
    <row r="50" spans="11:13" x14ac:dyDescent="0.3">
      <c r="K50" s="89" t="s">
        <v>877</v>
      </c>
      <c r="L50" s="90" t="s">
        <v>55</v>
      </c>
      <c r="M50" s="91" t="s">
        <v>150</v>
      </c>
    </row>
    <row r="51" spans="11:13" x14ac:dyDescent="0.3">
      <c r="K51" s="89" t="s">
        <v>453</v>
      </c>
      <c r="L51" s="90" t="s">
        <v>55</v>
      </c>
      <c r="M51" s="91" t="s">
        <v>150</v>
      </c>
    </row>
    <row r="52" spans="11:13" x14ac:dyDescent="0.3">
      <c r="K52" s="180" t="s">
        <v>1030</v>
      </c>
      <c r="L52" s="90" t="s">
        <v>1237</v>
      </c>
      <c r="M52" s="91" t="s">
        <v>150</v>
      </c>
    </row>
    <row r="53" spans="11:13" x14ac:dyDescent="0.3">
      <c r="K53" s="184" t="s">
        <v>1660</v>
      </c>
      <c r="L53" s="90" t="s">
        <v>1237</v>
      </c>
      <c r="M53" s="91" t="s">
        <v>150</v>
      </c>
    </row>
    <row r="54" spans="11:13" x14ac:dyDescent="0.3">
      <c r="K54" s="184" t="s">
        <v>1027</v>
      </c>
      <c r="L54" s="90" t="s">
        <v>1237</v>
      </c>
      <c r="M54" s="91" t="s">
        <v>150</v>
      </c>
    </row>
    <row r="55" spans="11:13" x14ac:dyDescent="0.3">
      <c r="K55" s="89" t="s">
        <v>452</v>
      </c>
      <c r="L55" s="90" t="s">
        <v>56</v>
      </c>
      <c r="M55" s="91" t="s">
        <v>150</v>
      </c>
    </row>
    <row r="56" spans="11:13" x14ac:dyDescent="0.3">
      <c r="K56" s="89" t="s">
        <v>761</v>
      </c>
      <c r="L56" s="90" t="s">
        <v>57</v>
      </c>
      <c r="M56" s="91" t="s">
        <v>150</v>
      </c>
    </row>
    <row r="57" spans="11:13" x14ac:dyDescent="0.3">
      <c r="K57" s="89" t="s">
        <v>455</v>
      </c>
      <c r="L57" s="90" t="s">
        <v>57</v>
      </c>
      <c r="M57" s="91" t="s">
        <v>150</v>
      </c>
    </row>
    <row r="58" spans="11:13" x14ac:dyDescent="0.3">
      <c r="K58" s="89" t="s">
        <v>248</v>
      </c>
      <c r="L58" s="90" t="s">
        <v>1239</v>
      </c>
      <c r="M58" s="91" t="s">
        <v>150</v>
      </c>
    </row>
    <row r="59" spans="11:13" x14ac:dyDescent="0.3">
      <c r="K59" s="180" t="s">
        <v>1060</v>
      </c>
      <c r="L59" s="90" t="s">
        <v>1239</v>
      </c>
      <c r="M59" s="91" t="s">
        <v>150</v>
      </c>
    </row>
    <row r="60" spans="11:13" x14ac:dyDescent="0.3">
      <c r="K60" s="180" t="s">
        <v>1052</v>
      </c>
      <c r="L60" s="90" t="s">
        <v>1239</v>
      </c>
      <c r="M60" s="91" t="s">
        <v>150</v>
      </c>
    </row>
    <row r="61" spans="11:13" x14ac:dyDescent="0.3">
      <c r="K61" s="180" t="s">
        <v>1056</v>
      </c>
      <c r="L61" s="90" t="s">
        <v>1239</v>
      </c>
      <c r="M61" s="91" t="s">
        <v>150</v>
      </c>
    </row>
    <row r="62" spans="11:13" x14ac:dyDescent="0.3">
      <c r="K62" s="89" t="s">
        <v>792</v>
      </c>
      <c r="L62" s="90" t="s">
        <v>1239</v>
      </c>
      <c r="M62" s="91" t="s">
        <v>150</v>
      </c>
    </row>
    <row r="63" spans="11:13" x14ac:dyDescent="0.3">
      <c r="K63" s="184" t="s">
        <v>1159</v>
      </c>
      <c r="L63" s="90" t="s">
        <v>1235</v>
      </c>
      <c r="M63" s="91" t="s">
        <v>1154</v>
      </c>
    </row>
    <row r="64" spans="11:13" x14ac:dyDescent="0.3">
      <c r="K64" s="180" t="s">
        <v>1041</v>
      </c>
      <c r="L64" s="90" t="s">
        <v>1237</v>
      </c>
      <c r="M64" s="91" t="s">
        <v>150</v>
      </c>
    </row>
    <row r="65" spans="11:13" x14ac:dyDescent="0.3">
      <c r="K65" s="89" t="s">
        <v>326</v>
      </c>
      <c r="L65" s="90" t="s">
        <v>55</v>
      </c>
      <c r="M65" s="91" t="s">
        <v>150</v>
      </c>
    </row>
    <row r="66" spans="11:13" x14ac:dyDescent="0.3">
      <c r="K66" s="89" t="s">
        <v>457</v>
      </c>
      <c r="L66" s="90" t="s">
        <v>55</v>
      </c>
      <c r="M66" s="91" t="s">
        <v>150</v>
      </c>
    </row>
    <row r="67" spans="11:13" x14ac:dyDescent="0.3">
      <c r="K67" s="89" t="s">
        <v>968</v>
      </c>
      <c r="L67" s="90" t="s">
        <v>55</v>
      </c>
      <c r="M67" s="91" t="s">
        <v>150</v>
      </c>
    </row>
    <row r="68" spans="11:13" x14ac:dyDescent="0.3">
      <c r="K68" s="89" t="s">
        <v>370</v>
      </c>
      <c r="L68" s="90" t="s">
        <v>55</v>
      </c>
      <c r="M68" s="91" t="s">
        <v>150</v>
      </c>
    </row>
    <row r="69" spans="11:13" x14ac:dyDescent="0.3">
      <c r="K69" s="89" t="s">
        <v>458</v>
      </c>
      <c r="L69" s="90" t="s">
        <v>55</v>
      </c>
      <c r="M69" s="91" t="s">
        <v>150</v>
      </c>
    </row>
    <row r="70" spans="11:13" x14ac:dyDescent="0.3">
      <c r="K70" s="89" t="s">
        <v>1243</v>
      </c>
      <c r="L70" s="90" t="s">
        <v>55</v>
      </c>
      <c r="M70" s="91" t="s">
        <v>150</v>
      </c>
    </row>
    <row r="71" spans="11:13" x14ac:dyDescent="0.3">
      <c r="K71" s="89" t="s">
        <v>753</v>
      </c>
      <c r="L71" s="90" t="s">
        <v>55</v>
      </c>
      <c r="M71" s="91" t="s">
        <v>150</v>
      </c>
    </row>
    <row r="72" spans="11:13" x14ac:dyDescent="0.3">
      <c r="K72" s="184" t="s">
        <v>1055</v>
      </c>
      <c r="L72" s="90" t="s">
        <v>1239</v>
      </c>
      <c r="M72" s="91" t="s">
        <v>150</v>
      </c>
    </row>
    <row r="73" spans="11:13" x14ac:dyDescent="0.3">
      <c r="K73" s="180" t="s">
        <v>1089</v>
      </c>
      <c r="L73" s="90" t="s">
        <v>1239</v>
      </c>
      <c r="M73" s="91" t="s">
        <v>150</v>
      </c>
    </row>
    <row r="74" spans="11:13" x14ac:dyDescent="0.3">
      <c r="K74" s="89" t="s">
        <v>266</v>
      </c>
      <c r="L74" s="90" t="s">
        <v>1244</v>
      </c>
      <c r="M74" s="91" t="s">
        <v>1245</v>
      </c>
    </row>
    <row r="75" spans="11:13" x14ac:dyDescent="0.3">
      <c r="K75" s="89" t="s">
        <v>904</v>
      </c>
      <c r="L75" s="90" t="s">
        <v>1244</v>
      </c>
      <c r="M75" s="91" t="s">
        <v>1245</v>
      </c>
    </row>
    <row r="76" spans="11:13" x14ac:dyDescent="0.3">
      <c r="K76" s="89" t="s">
        <v>804</v>
      </c>
      <c r="L76" s="90" t="s">
        <v>1244</v>
      </c>
      <c r="M76" s="91" t="s">
        <v>1245</v>
      </c>
    </row>
    <row r="77" spans="11:13" x14ac:dyDescent="0.3">
      <c r="K77" s="89" t="s">
        <v>269</v>
      </c>
      <c r="L77" s="90" t="s">
        <v>1244</v>
      </c>
      <c r="M77" s="91" t="s">
        <v>1245</v>
      </c>
    </row>
    <row r="78" spans="11:13" x14ac:dyDescent="0.3">
      <c r="K78" s="89" t="s">
        <v>272</v>
      </c>
      <c r="L78" s="90" t="s">
        <v>1244</v>
      </c>
      <c r="M78" s="91" t="s">
        <v>1245</v>
      </c>
    </row>
    <row r="79" spans="11:13" x14ac:dyDescent="0.3">
      <c r="K79" s="89" t="s">
        <v>585</v>
      </c>
      <c r="L79" s="90" t="s">
        <v>55</v>
      </c>
      <c r="M79" s="91" t="s">
        <v>150</v>
      </c>
    </row>
    <row r="80" spans="11:13" x14ac:dyDescent="0.3">
      <c r="K80" s="89" t="s">
        <v>344</v>
      </c>
      <c r="L80" s="90" t="s">
        <v>51</v>
      </c>
      <c r="M80" s="91" t="s">
        <v>1253</v>
      </c>
    </row>
    <row r="81" spans="2:13" x14ac:dyDescent="0.3">
      <c r="K81" s="89" t="s">
        <v>306</v>
      </c>
      <c r="L81" s="90" t="s">
        <v>54</v>
      </c>
      <c r="M81" s="91" t="s">
        <v>1423</v>
      </c>
    </row>
    <row r="82" spans="2:13" x14ac:dyDescent="0.3">
      <c r="K82" s="89" t="s">
        <v>927</v>
      </c>
      <c r="L82" s="90" t="s">
        <v>54</v>
      </c>
      <c r="M82" s="91" t="s">
        <v>1423</v>
      </c>
    </row>
    <row r="83" spans="2:13" x14ac:dyDescent="0.3">
      <c r="B83" s="71"/>
      <c r="K83" s="89" t="s">
        <v>304</v>
      </c>
      <c r="L83" s="90" t="s">
        <v>54</v>
      </c>
      <c r="M83" s="91" t="s">
        <v>1423</v>
      </c>
    </row>
    <row r="84" spans="2:13" x14ac:dyDescent="0.3">
      <c r="B84" s="71"/>
      <c r="K84" s="89" t="s">
        <v>425</v>
      </c>
      <c r="L84" s="90" t="s">
        <v>54</v>
      </c>
      <c r="M84" s="91" t="s">
        <v>1423</v>
      </c>
    </row>
    <row r="85" spans="2:13" x14ac:dyDescent="0.3">
      <c r="B85" s="71"/>
      <c r="K85" s="89" t="s">
        <v>1246</v>
      </c>
      <c r="L85" s="90" t="s">
        <v>54</v>
      </c>
      <c r="M85" s="91" t="s">
        <v>1423</v>
      </c>
    </row>
    <row r="86" spans="2:13" x14ac:dyDescent="0.3">
      <c r="B86" s="71"/>
      <c r="C86"/>
      <c r="K86" s="184" t="s">
        <v>1538</v>
      </c>
      <c r="L86" s="90" t="s">
        <v>54</v>
      </c>
      <c r="M86" s="91" t="s">
        <v>1423</v>
      </c>
    </row>
    <row r="87" spans="2:13" x14ac:dyDescent="0.3">
      <c r="B87" s="71"/>
      <c r="C87"/>
      <c r="K87" s="89" t="s">
        <v>589</v>
      </c>
      <c r="L87" s="90" t="s">
        <v>55</v>
      </c>
      <c r="M87" s="91" t="s">
        <v>1423</v>
      </c>
    </row>
    <row r="88" spans="2:13" x14ac:dyDescent="0.3">
      <c r="B88" s="71"/>
      <c r="C88"/>
      <c r="K88" s="89" t="s">
        <v>848</v>
      </c>
      <c r="L88" s="90" t="s">
        <v>55</v>
      </c>
      <c r="M88" s="91" t="s">
        <v>1423</v>
      </c>
    </row>
    <row r="89" spans="2:13" x14ac:dyDescent="0.3">
      <c r="B89" s="71"/>
      <c r="C89"/>
      <c r="K89" s="184" t="s">
        <v>376</v>
      </c>
      <c r="L89" s="90" t="s">
        <v>55</v>
      </c>
      <c r="M89" s="91" t="s">
        <v>1423</v>
      </c>
    </row>
    <row r="90" spans="2:13" x14ac:dyDescent="0.3">
      <c r="B90" s="71"/>
      <c r="C90"/>
      <c r="K90" s="89" t="s">
        <v>459</v>
      </c>
      <c r="L90" s="90" t="s">
        <v>55</v>
      </c>
      <c r="M90" s="91" t="s">
        <v>1423</v>
      </c>
    </row>
    <row r="91" spans="2:13" x14ac:dyDescent="0.3">
      <c r="B91" s="71"/>
      <c r="C91"/>
      <c r="K91" s="89" t="s">
        <v>528</v>
      </c>
      <c r="L91" s="90" t="s">
        <v>55</v>
      </c>
      <c r="M91" s="91" t="s">
        <v>1423</v>
      </c>
    </row>
    <row r="92" spans="2:13" x14ac:dyDescent="0.3">
      <c r="B92" s="71"/>
      <c r="C92"/>
      <c r="K92" s="89" t="s">
        <v>588</v>
      </c>
      <c r="L92" s="90" t="s">
        <v>55</v>
      </c>
      <c r="M92" s="91" t="s">
        <v>1423</v>
      </c>
    </row>
    <row r="93" spans="2:13" x14ac:dyDescent="0.3">
      <c r="B93" s="71"/>
      <c r="C93"/>
      <c r="K93" s="180" t="s">
        <v>758</v>
      </c>
      <c r="L93" s="90" t="s">
        <v>55</v>
      </c>
      <c r="M93" s="91" t="s">
        <v>1423</v>
      </c>
    </row>
    <row r="94" spans="2:13" x14ac:dyDescent="0.3">
      <c r="B94" s="71"/>
      <c r="C94"/>
      <c r="K94" s="89" t="s">
        <v>966</v>
      </c>
      <c r="L94" s="90" t="s">
        <v>55</v>
      </c>
      <c r="M94" s="91" t="s">
        <v>1423</v>
      </c>
    </row>
    <row r="95" spans="2:13" x14ac:dyDescent="0.3">
      <c r="B95" s="71"/>
      <c r="C95"/>
      <c r="K95" s="89" t="s">
        <v>329</v>
      </c>
      <c r="L95" s="90" t="s">
        <v>52</v>
      </c>
      <c r="M95" s="91" t="s">
        <v>1247</v>
      </c>
    </row>
    <row r="96" spans="2:13" x14ac:dyDescent="0.3">
      <c r="B96" s="71"/>
      <c r="C96"/>
      <c r="K96" s="89" t="s">
        <v>1248</v>
      </c>
      <c r="L96" s="90" t="s">
        <v>52</v>
      </c>
      <c r="M96" s="91" t="s">
        <v>1247</v>
      </c>
    </row>
    <row r="97" spans="2:13" x14ac:dyDescent="0.3">
      <c r="B97" s="71"/>
      <c r="C97"/>
      <c r="K97" s="89" t="s">
        <v>395</v>
      </c>
      <c r="L97" s="90" t="s">
        <v>52</v>
      </c>
      <c r="M97" s="91" t="s">
        <v>1247</v>
      </c>
    </row>
    <row r="98" spans="2:13" x14ac:dyDescent="0.3">
      <c r="B98" s="71"/>
      <c r="C98"/>
      <c r="K98" s="89" t="s">
        <v>472</v>
      </c>
      <c r="L98" s="90" t="s">
        <v>52</v>
      </c>
      <c r="M98" s="91" t="s">
        <v>1247</v>
      </c>
    </row>
    <row r="99" spans="2:13" x14ac:dyDescent="0.3">
      <c r="B99" s="71"/>
      <c r="C99"/>
      <c r="K99" s="89" t="s">
        <v>1249</v>
      </c>
      <c r="L99" s="90" t="s">
        <v>52</v>
      </c>
      <c r="M99" s="91" t="s">
        <v>1247</v>
      </c>
    </row>
    <row r="100" spans="2:13" x14ac:dyDescent="0.3">
      <c r="B100" s="71"/>
      <c r="C100"/>
      <c r="K100" s="184" t="s">
        <v>1403</v>
      </c>
      <c r="L100" s="90" t="s">
        <v>52</v>
      </c>
      <c r="M100" s="91" t="s">
        <v>1247</v>
      </c>
    </row>
    <row r="101" spans="2:13" x14ac:dyDescent="0.3">
      <c r="B101" s="71"/>
      <c r="C101"/>
      <c r="K101" s="89" t="s">
        <v>780</v>
      </c>
      <c r="L101" s="90" t="s">
        <v>52</v>
      </c>
      <c r="M101" s="91" t="s">
        <v>1247</v>
      </c>
    </row>
    <row r="102" spans="2:13" x14ac:dyDescent="0.3">
      <c r="B102" s="71"/>
      <c r="C102"/>
      <c r="K102" s="184" t="s">
        <v>1472</v>
      </c>
      <c r="L102" s="90" t="s">
        <v>52</v>
      </c>
      <c r="M102" s="91" t="s">
        <v>1247</v>
      </c>
    </row>
    <row r="103" spans="2:13" x14ac:dyDescent="0.3">
      <c r="B103" s="71"/>
      <c r="C103"/>
      <c r="K103" s="89" t="s">
        <v>733</v>
      </c>
      <c r="L103" s="90" t="s">
        <v>51</v>
      </c>
      <c r="M103" s="91" t="s">
        <v>733</v>
      </c>
    </row>
    <row r="104" spans="2:13" x14ac:dyDescent="0.3">
      <c r="B104" s="71"/>
      <c r="C104"/>
      <c r="K104" s="89" t="s">
        <v>346</v>
      </c>
      <c r="L104" s="90" t="s">
        <v>51</v>
      </c>
      <c r="M104" s="91" t="s">
        <v>733</v>
      </c>
    </row>
    <row r="105" spans="2:13" x14ac:dyDescent="0.3">
      <c r="B105" s="71"/>
      <c r="C105"/>
      <c r="K105" s="89" t="s">
        <v>950</v>
      </c>
      <c r="L105" s="90" t="s">
        <v>51</v>
      </c>
      <c r="M105" s="91" t="s">
        <v>733</v>
      </c>
    </row>
    <row r="106" spans="2:13" x14ac:dyDescent="0.3">
      <c r="B106" s="71"/>
      <c r="C106"/>
      <c r="K106" s="180" t="s">
        <v>1366</v>
      </c>
      <c r="L106" s="90" t="s">
        <v>51</v>
      </c>
      <c r="M106" s="91" t="s">
        <v>733</v>
      </c>
    </row>
    <row r="107" spans="2:13" x14ac:dyDescent="0.3">
      <c r="B107" s="71"/>
      <c r="C107"/>
      <c r="K107" s="89" t="s">
        <v>574</v>
      </c>
      <c r="L107" s="90" t="s">
        <v>51</v>
      </c>
      <c r="M107" s="91" t="s">
        <v>733</v>
      </c>
    </row>
    <row r="108" spans="2:13" x14ac:dyDescent="0.3">
      <c r="B108" s="71"/>
      <c r="C108"/>
      <c r="K108" s="184" t="s">
        <v>1250</v>
      </c>
      <c r="L108" s="90" t="s">
        <v>1250</v>
      </c>
      <c r="M108" s="91" t="s">
        <v>1250</v>
      </c>
    </row>
    <row r="109" spans="2:13" x14ac:dyDescent="0.3">
      <c r="B109" s="71"/>
      <c r="C109"/>
      <c r="K109" s="184" t="s">
        <v>1049</v>
      </c>
      <c r="L109" s="90" t="s">
        <v>1250</v>
      </c>
      <c r="M109" s="91" t="s">
        <v>1250</v>
      </c>
    </row>
    <row r="110" spans="2:13" x14ac:dyDescent="0.3">
      <c r="B110" s="71"/>
      <c r="C110"/>
      <c r="K110" s="180" t="s">
        <v>1044</v>
      </c>
      <c r="L110" s="90" t="s">
        <v>1250</v>
      </c>
      <c r="M110" s="91" t="s">
        <v>1250</v>
      </c>
    </row>
    <row r="111" spans="2:13" x14ac:dyDescent="0.3">
      <c r="B111" s="71"/>
      <c r="C111"/>
      <c r="K111" s="184" t="s">
        <v>1051</v>
      </c>
      <c r="L111" s="90" t="s">
        <v>1250</v>
      </c>
      <c r="M111" s="91" t="s">
        <v>1250</v>
      </c>
    </row>
    <row r="112" spans="2:13" x14ac:dyDescent="0.3">
      <c r="B112" s="71"/>
      <c r="C112"/>
      <c r="K112" s="184" t="s">
        <v>242</v>
      </c>
      <c r="L112" s="90" t="s">
        <v>56</v>
      </c>
      <c r="M112" s="91" t="s">
        <v>1321</v>
      </c>
    </row>
    <row r="113" spans="2:13" x14ac:dyDescent="0.3">
      <c r="B113" s="71"/>
      <c r="C113"/>
      <c r="K113" s="89" t="s">
        <v>1251</v>
      </c>
      <c r="L113" s="90" t="s">
        <v>56</v>
      </c>
      <c r="M113" s="91" t="s">
        <v>1321</v>
      </c>
    </row>
    <row r="114" spans="2:13" x14ac:dyDescent="0.3">
      <c r="B114" s="71"/>
      <c r="C114"/>
      <c r="K114" s="89" t="s">
        <v>543</v>
      </c>
      <c r="L114" s="90" t="s">
        <v>56</v>
      </c>
      <c r="M114" s="91" t="s">
        <v>1321</v>
      </c>
    </row>
    <row r="115" spans="2:13" x14ac:dyDescent="0.3">
      <c r="B115" s="71"/>
      <c r="C115"/>
      <c r="K115" s="184" t="s">
        <v>683</v>
      </c>
      <c r="L115" s="90" t="s">
        <v>56</v>
      </c>
      <c r="M115" s="91" t="s">
        <v>1321</v>
      </c>
    </row>
    <row r="116" spans="2:13" x14ac:dyDescent="0.3">
      <c r="B116" s="71"/>
      <c r="C116"/>
      <c r="K116" s="89" t="s">
        <v>900</v>
      </c>
      <c r="L116" s="90" t="s">
        <v>56</v>
      </c>
      <c r="M116" s="91" t="s">
        <v>1321</v>
      </c>
    </row>
    <row r="117" spans="2:13" x14ac:dyDescent="0.3">
      <c r="B117" s="71"/>
      <c r="C117"/>
      <c r="K117" s="89" t="s">
        <v>245</v>
      </c>
      <c r="L117" s="90" t="s">
        <v>56</v>
      </c>
      <c r="M117" s="91" t="s">
        <v>1321</v>
      </c>
    </row>
    <row r="118" spans="2:13" x14ac:dyDescent="0.3">
      <c r="B118" s="71"/>
      <c r="C118"/>
      <c r="K118" s="89" t="s">
        <v>788</v>
      </c>
      <c r="L118" s="90" t="s">
        <v>56</v>
      </c>
      <c r="M118" s="91" t="s">
        <v>1321</v>
      </c>
    </row>
    <row r="119" spans="2:13" x14ac:dyDescent="0.3">
      <c r="B119" s="71"/>
      <c r="C119"/>
      <c r="K119" s="184" t="s">
        <v>119</v>
      </c>
      <c r="L119" s="90" t="s">
        <v>1239</v>
      </c>
      <c r="M119" s="91" t="s">
        <v>119</v>
      </c>
    </row>
    <row r="120" spans="2:13" x14ac:dyDescent="0.3">
      <c r="B120" s="71"/>
      <c r="C120"/>
      <c r="K120" s="89" t="s">
        <v>251</v>
      </c>
      <c r="L120" s="90" t="s">
        <v>1239</v>
      </c>
      <c r="M120" s="91" t="s">
        <v>119</v>
      </c>
    </row>
    <row r="121" spans="2:13" x14ac:dyDescent="0.3">
      <c r="B121" s="71"/>
      <c r="C121"/>
      <c r="K121" s="89" t="s">
        <v>902</v>
      </c>
      <c r="L121" s="90" t="s">
        <v>1239</v>
      </c>
      <c r="M121" s="91" t="s">
        <v>119</v>
      </c>
    </row>
    <row r="122" spans="2:13" x14ac:dyDescent="0.3">
      <c r="B122" s="71"/>
      <c r="C122"/>
      <c r="K122" s="180" t="s">
        <v>1096</v>
      </c>
      <c r="L122" s="90" t="s">
        <v>1239</v>
      </c>
      <c r="M122" s="91" t="s">
        <v>119</v>
      </c>
    </row>
    <row r="123" spans="2:13" x14ac:dyDescent="0.3">
      <c r="B123" s="71"/>
      <c r="C123"/>
      <c r="K123" s="180" t="s">
        <v>1101</v>
      </c>
      <c r="L123" s="90" t="s">
        <v>1239</v>
      </c>
      <c r="M123" s="91" t="s">
        <v>119</v>
      </c>
    </row>
    <row r="124" spans="2:13" x14ac:dyDescent="0.3">
      <c r="B124" s="71"/>
      <c r="C124"/>
      <c r="K124" s="180" t="s">
        <v>1109</v>
      </c>
      <c r="L124" s="90" t="s">
        <v>1239</v>
      </c>
      <c r="M124" s="91" t="s">
        <v>119</v>
      </c>
    </row>
    <row r="125" spans="2:13" x14ac:dyDescent="0.3">
      <c r="B125" s="71"/>
      <c r="C125"/>
      <c r="K125" s="89" t="s">
        <v>256</v>
      </c>
      <c r="L125" s="90" t="s">
        <v>1237</v>
      </c>
      <c r="M125" s="91" t="s">
        <v>20</v>
      </c>
    </row>
    <row r="126" spans="2:13" x14ac:dyDescent="0.3">
      <c r="B126" s="71"/>
      <c r="C126"/>
      <c r="K126" s="184" t="s">
        <v>1046</v>
      </c>
      <c r="L126" s="90" t="s">
        <v>1250</v>
      </c>
      <c r="M126" s="91" t="s">
        <v>1250</v>
      </c>
    </row>
    <row r="127" spans="2:13" x14ac:dyDescent="0.3">
      <c r="B127" s="71"/>
      <c r="C127"/>
      <c r="K127" s="89" t="s">
        <v>388</v>
      </c>
      <c r="L127" s="90" t="s">
        <v>57</v>
      </c>
      <c r="M127" s="91" t="s">
        <v>19</v>
      </c>
    </row>
    <row r="128" spans="2:13" x14ac:dyDescent="0.3">
      <c r="B128" s="71"/>
      <c r="C128"/>
      <c r="K128" s="89" t="s">
        <v>987</v>
      </c>
      <c r="L128" s="90" t="s">
        <v>57</v>
      </c>
      <c r="M128" s="91" t="s">
        <v>19</v>
      </c>
    </row>
    <row r="129" spans="2:13" x14ac:dyDescent="0.3">
      <c r="B129" s="71"/>
      <c r="C129"/>
      <c r="K129" s="89" t="s">
        <v>391</v>
      </c>
      <c r="L129" s="90" t="s">
        <v>57</v>
      </c>
      <c r="M129" s="91" t="s">
        <v>19</v>
      </c>
    </row>
    <row r="130" spans="2:13" x14ac:dyDescent="0.3">
      <c r="B130" s="71"/>
      <c r="C130"/>
      <c r="K130" s="89" t="s">
        <v>853</v>
      </c>
      <c r="L130" s="90" t="s">
        <v>57</v>
      </c>
      <c r="M130" s="91" t="s">
        <v>19</v>
      </c>
    </row>
    <row r="131" spans="2:13" x14ac:dyDescent="0.3">
      <c r="B131" s="71"/>
      <c r="C131"/>
      <c r="K131" s="184" t="s">
        <v>1154</v>
      </c>
      <c r="L131" s="90" t="s">
        <v>1235</v>
      </c>
      <c r="M131" s="91" t="s">
        <v>1154</v>
      </c>
    </row>
    <row r="132" spans="2:13" x14ac:dyDescent="0.3">
      <c r="B132" s="71"/>
      <c r="C132"/>
      <c r="K132" s="184" t="s">
        <v>1162</v>
      </c>
      <c r="L132" s="90" t="s">
        <v>1235</v>
      </c>
      <c r="M132" s="91" t="s">
        <v>1154</v>
      </c>
    </row>
    <row r="133" spans="2:13" x14ac:dyDescent="0.3">
      <c r="B133" s="71"/>
      <c r="C133"/>
      <c r="K133" s="89" t="s">
        <v>437</v>
      </c>
      <c r="L133" s="90" t="s">
        <v>1244</v>
      </c>
      <c r="M133" s="91" t="s">
        <v>1245</v>
      </c>
    </row>
    <row r="134" spans="2:13" x14ac:dyDescent="0.3">
      <c r="B134" s="71"/>
      <c r="C134"/>
      <c r="K134" s="89" t="s">
        <v>807</v>
      </c>
      <c r="L134" s="90" t="s">
        <v>1244</v>
      </c>
      <c r="M134" s="91" t="s">
        <v>1245</v>
      </c>
    </row>
    <row r="135" spans="2:13" x14ac:dyDescent="0.3">
      <c r="B135" s="71"/>
      <c r="C135"/>
      <c r="K135" s="89" t="s">
        <v>407</v>
      </c>
      <c r="L135" s="90" t="s">
        <v>1244</v>
      </c>
      <c r="M135" s="91" t="s">
        <v>1245</v>
      </c>
    </row>
    <row r="136" spans="2:13" x14ac:dyDescent="0.3">
      <c r="B136" s="71"/>
      <c r="C136"/>
      <c r="K136" s="184" t="s">
        <v>462</v>
      </c>
      <c r="L136" s="90" t="s">
        <v>55</v>
      </c>
      <c r="M136" s="91" t="s">
        <v>116</v>
      </c>
    </row>
    <row r="137" spans="2:13" x14ac:dyDescent="0.3">
      <c r="B137" s="71"/>
      <c r="C137"/>
      <c r="K137" s="89" t="s">
        <v>438</v>
      </c>
      <c r="L137" s="90" t="s">
        <v>52</v>
      </c>
      <c r="M137" s="91" t="s">
        <v>116</v>
      </c>
    </row>
    <row r="138" spans="2:13" x14ac:dyDescent="0.3">
      <c r="B138" s="71"/>
      <c r="C138"/>
      <c r="K138" s="89" t="s">
        <v>478</v>
      </c>
      <c r="L138" s="90" t="s">
        <v>52</v>
      </c>
      <c r="M138" s="91" t="s">
        <v>116</v>
      </c>
    </row>
    <row r="139" spans="2:13" x14ac:dyDescent="0.3">
      <c r="B139" s="71"/>
      <c r="C139"/>
      <c r="K139" s="184" t="s">
        <v>541</v>
      </c>
      <c r="L139" s="90" t="s">
        <v>52</v>
      </c>
      <c r="M139" s="91" t="s">
        <v>116</v>
      </c>
    </row>
    <row r="140" spans="2:13" x14ac:dyDescent="0.3">
      <c r="B140" s="71"/>
      <c r="C140"/>
      <c r="K140" s="89" t="s">
        <v>481</v>
      </c>
      <c r="L140" s="90" t="s">
        <v>56</v>
      </c>
      <c r="M140" s="91" t="s">
        <v>116</v>
      </c>
    </row>
    <row r="141" spans="2:13" x14ac:dyDescent="0.3">
      <c r="B141" s="71"/>
      <c r="C141"/>
      <c r="K141" s="184" t="s">
        <v>1121</v>
      </c>
      <c r="L141" s="90" t="s">
        <v>1239</v>
      </c>
      <c r="M141" s="91" t="s">
        <v>116</v>
      </c>
    </row>
    <row r="142" spans="2:13" x14ac:dyDescent="0.3">
      <c r="B142" s="71"/>
      <c r="C142"/>
      <c r="K142" s="89" t="s">
        <v>260</v>
      </c>
      <c r="L142" s="90" t="s">
        <v>1239</v>
      </c>
      <c r="M142" s="91" t="s">
        <v>116</v>
      </c>
    </row>
    <row r="143" spans="2:13" x14ac:dyDescent="0.3">
      <c r="B143" s="71"/>
      <c r="C143"/>
      <c r="K143" s="184" t="s">
        <v>1123</v>
      </c>
      <c r="L143" s="90" t="s">
        <v>1239</v>
      </c>
      <c r="M143" s="91" t="s">
        <v>116</v>
      </c>
    </row>
    <row r="144" spans="2:13" x14ac:dyDescent="0.3">
      <c r="B144" s="71"/>
      <c r="C144"/>
      <c r="K144" s="180" t="s">
        <v>1127</v>
      </c>
      <c r="L144" s="90" t="s">
        <v>1239</v>
      </c>
      <c r="M144" s="91" t="s">
        <v>116</v>
      </c>
    </row>
    <row r="145" spans="2:13" x14ac:dyDescent="0.3">
      <c r="B145" s="71"/>
      <c r="C145"/>
      <c r="K145" s="89" t="s">
        <v>632</v>
      </c>
      <c r="L145" s="90" t="s">
        <v>54</v>
      </c>
      <c r="M145" s="91" t="s">
        <v>116</v>
      </c>
    </row>
    <row r="146" spans="2:13" x14ac:dyDescent="0.3">
      <c r="B146" s="71"/>
      <c r="C146"/>
      <c r="K146" s="184" t="s">
        <v>506</v>
      </c>
      <c r="L146" s="90" t="s">
        <v>54</v>
      </c>
      <c r="M146" s="91" t="s">
        <v>116</v>
      </c>
    </row>
    <row r="147" spans="2:13" x14ac:dyDescent="0.3">
      <c r="B147" s="71"/>
      <c r="C147"/>
      <c r="K147" s="89" t="s">
        <v>429</v>
      </c>
      <c r="L147" s="90" t="s">
        <v>1252</v>
      </c>
      <c r="M147" s="91" t="s">
        <v>116</v>
      </c>
    </row>
    <row r="148" spans="2:13" x14ac:dyDescent="0.3">
      <c r="B148" s="71"/>
      <c r="C148"/>
      <c r="K148" s="89" t="s">
        <v>348</v>
      </c>
      <c r="L148" s="90" t="s">
        <v>51</v>
      </c>
      <c r="M148" s="91" t="s">
        <v>116</v>
      </c>
    </row>
    <row r="149" spans="2:13" x14ac:dyDescent="0.3">
      <c r="B149" s="71"/>
      <c r="C149"/>
      <c r="K149" s="89" t="s">
        <v>764</v>
      </c>
      <c r="L149" s="90" t="s">
        <v>55</v>
      </c>
      <c r="M149" s="91" t="s">
        <v>116</v>
      </c>
    </row>
    <row r="150" spans="2:13" x14ac:dyDescent="0.3">
      <c r="B150" s="71"/>
      <c r="C150"/>
      <c r="K150" s="184" t="s">
        <v>1039</v>
      </c>
      <c r="L150" s="90" t="s">
        <v>1237</v>
      </c>
      <c r="M150" s="91" t="s">
        <v>116</v>
      </c>
    </row>
    <row r="151" spans="2:13" x14ac:dyDescent="0.3">
      <c r="B151" s="71"/>
      <c r="C151"/>
      <c r="K151" s="184" t="s">
        <v>1299</v>
      </c>
      <c r="L151" s="90" t="s">
        <v>1239</v>
      </c>
      <c r="M151" s="91" t="s">
        <v>116</v>
      </c>
    </row>
    <row r="152" spans="2:13" x14ac:dyDescent="0.3">
      <c r="B152" s="71"/>
      <c r="C152"/>
      <c r="K152" s="180" t="s">
        <v>1033</v>
      </c>
      <c r="L152" s="90" t="s">
        <v>1237</v>
      </c>
      <c r="M152" s="91" t="s">
        <v>116</v>
      </c>
    </row>
    <row r="153" spans="2:13" x14ac:dyDescent="0.3">
      <c r="B153" s="71"/>
      <c r="C153"/>
      <c r="K153" s="184" t="s">
        <v>1557</v>
      </c>
      <c r="L153" s="90" t="s">
        <v>1252</v>
      </c>
      <c r="M153" s="91" t="s">
        <v>116</v>
      </c>
    </row>
    <row r="154" spans="2:13" x14ac:dyDescent="0.3">
      <c r="B154" s="71"/>
      <c r="C154"/>
      <c r="K154" s="89" t="s">
        <v>737</v>
      </c>
      <c r="L154" s="90" t="s">
        <v>51</v>
      </c>
      <c r="M154" s="91" t="s">
        <v>116</v>
      </c>
    </row>
    <row r="155" spans="2:13" x14ac:dyDescent="0.3">
      <c r="B155" s="71"/>
      <c r="C155"/>
      <c r="K155" s="184" t="s">
        <v>1497</v>
      </c>
      <c r="L155" s="90" t="s">
        <v>51</v>
      </c>
      <c r="M155" s="91" t="s">
        <v>116</v>
      </c>
    </row>
    <row r="156" spans="2:13" x14ac:dyDescent="0.3">
      <c r="B156" s="71"/>
      <c r="C156"/>
      <c r="K156" s="89" t="s">
        <v>274</v>
      </c>
      <c r="L156" s="90" t="s">
        <v>1244</v>
      </c>
      <c r="M156" s="91" t="s">
        <v>116</v>
      </c>
    </row>
    <row r="157" spans="2:13" x14ac:dyDescent="0.3">
      <c r="B157" s="71"/>
      <c r="C157"/>
      <c r="K157" s="89" t="s">
        <v>786</v>
      </c>
      <c r="L157" s="90" t="s">
        <v>52</v>
      </c>
      <c r="M157" s="91" t="s">
        <v>116</v>
      </c>
    </row>
    <row r="158" spans="2:13" x14ac:dyDescent="0.3">
      <c r="B158" s="71"/>
      <c r="C158"/>
      <c r="K158" s="184" t="s">
        <v>1037</v>
      </c>
      <c r="L158" s="90" t="s">
        <v>1237</v>
      </c>
      <c r="M158" s="91" t="s">
        <v>116</v>
      </c>
    </row>
    <row r="159" spans="2:13" x14ac:dyDescent="0.3">
      <c r="B159" s="71"/>
      <c r="C159"/>
      <c r="K159" s="184" t="s">
        <v>1632</v>
      </c>
      <c r="L159" s="90" t="s">
        <v>1237</v>
      </c>
      <c r="M159" s="91" t="s">
        <v>116</v>
      </c>
    </row>
    <row r="160" spans="2:13" x14ac:dyDescent="0.3">
      <c r="B160" s="71"/>
      <c r="C160"/>
      <c r="K160" s="184" t="s">
        <v>1309</v>
      </c>
      <c r="L160" s="90" t="s">
        <v>1239</v>
      </c>
      <c r="M160" s="91" t="s">
        <v>150</v>
      </c>
    </row>
    <row r="161" spans="2:13" x14ac:dyDescent="0.3">
      <c r="B161" s="71"/>
      <c r="C161"/>
      <c r="K161" s="180" t="s">
        <v>249</v>
      </c>
      <c r="L161" s="90" t="s">
        <v>1239</v>
      </c>
      <c r="M161" s="91" t="s">
        <v>150</v>
      </c>
    </row>
    <row r="162" spans="2:13" x14ac:dyDescent="0.3">
      <c r="B162" s="71"/>
      <c r="C162"/>
      <c r="K162" s="89" t="s">
        <v>546</v>
      </c>
      <c r="L162" s="90" t="s">
        <v>1239</v>
      </c>
      <c r="M162" s="91" t="s">
        <v>150</v>
      </c>
    </row>
    <row r="163" spans="2:13" x14ac:dyDescent="0.3">
      <c r="B163" s="71"/>
      <c r="C163"/>
      <c r="K163" s="89" t="s">
        <v>934</v>
      </c>
      <c r="L163" s="90" t="s">
        <v>54</v>
      </c>
      <c r="M163" s="91" t="s">
        <v>1253</v>
      </c>
    </row>
    <row r="164" spans="2:13" x14ac:dyDescent="0.3">
      <c r="B164" s="71"/>
      <c r="C164"/>
      <c r="K164" s="184" t="s">
        <v>1193</v>
      </c>
      <c r="L164" s="90" t="s">
        <v>1237</v>
      </c>
      <c r="M164" s="91" t="s">
        <v>1322</v>
      </c>
    </row>
    <row r="165" spans="2:13" x14ac:dyDescent="0.3">
      <c r="B165" s="71"/>
      <c r="C165"/>
      <c r="K165" s="184" t="s">
        <v>995</v>
      </c>
      <c r="L165" s="90" t="s">
        <v>1237</v>
      </c>
      <c r="M165" s="91" t="s">
        <v>1322</v>
      </c>
    </row>
    <row r="166" spans="2:13" x14ac:dyDescent="0.3">
      <c r="B166" s="71"/>
      <c r="C166"/>
      <c r="K166" s="184" t="s">
        <v>999</v>
      </c>
      <c r="L166" s="90" t="s">
        <v>1237</v>
      </c>
      <c r="M166" s="91" t="s">
        <v>1241</v>
      </c>
    </row>
    <row r="167" spans="2:13" x14ac:dyDescent="0.3">
      <c r="B167" s="71"/>
      <c r="C167"/>
      <c r="K167" s="89" t="s">
        <v>278</v>
      </c>
      <c r="L167" s="90" t="s">
        <v>1244</v>
      </c>
      <c r="M167" s="91" t="s">
        <v>1254</v>
      </c>
    </row>
    <row r="168" spans="2:13" x14ac:dyDescent="0.3">
      <c r="B168" s="71"/>
      <c r="C168"/>
      <c r="K168" s="89" t="s">
        <v>532</v>
      </c>
      <c r="L168" s="90" t="s">
        <v>55</v>
      </c>
      <c r="M168" s="91" t="s">
        <v>1323</v>
      </c>
    </row>
    <row r="169" spans="2:13" x14ac:dyDescent="0.3">
      <c r="B169" s="71"/>
      <c r="C169"/>
      <c r="K169" s="184" t="s">
        <v>8</v>
      </c>
      <c r="L169" s="90" t="s">
        <v>1204</v>
      </c>
      <c r="M169" s="91" t="s">
        <v>1204</v>
      </c>
    </row>
    <row r="170" spans="2:13" x14ac:dyDescent="0.3">
      <c r="B170" s="71"/>
      <c r="C170"/>
      <c r="K170" s="180" t="s">
        <v>1129</v>
      </c>
      <c r="L170" s="90" t="s">
        <v>1239</v>
      </c>
      <c r="M170" s="91" t="s">
        <v>116</v>
      </c>
    </row>
    <row r="171" spans="2:13" x14ac:dyDescent="0.3">
      <c r="B171" s="71"/>
      <c r="C171"/>
      <c r="K171" s="89" t="s">
        <v>410</v>
      </c>
      <c r="L171" s="90" t="s">
        <v>1244</v>
      </c>
      <c r="M171" s="91" t="s">
        <v>116</v>
      </c>
    </row>
    <row r="172" spans="2:13" x14ac:dyDescent="0.3">
      <c r="B172" s="71"/>
      <c r="C172"/>
      <c r="K172" s="89" t="s">
        <v>836</v>
      </c>
      <c r="L172" s="90" t="s">
        <v>54</v>
      </c>
      <c r="M172" s="91" t="s">
        <v>116</v>
      </c>
    </row>
    <row r="173" spans="2:13" x14ac:dyDescent="0.3">
      <c r="B173" s="71"/>
      <c r="C173"/>
      <c r="K173" s="89" t="s">
        <v>931</v>
      </c>
      <c r="L173" s="90" t="s">
        <v>54</v>
      </c>
      <c r="M173" s="91" t="s">
        <v>116</v>
      </c>
    </row>
    <row r="174" spans="2:13" x14ac:dyDescent="0.3">
      <c r="B174" s="71"/>
      <c r="C174"/>
      <c r="K174" s="89" t="s">
        <v>309</v>
      </c>
      <c r="L174" s="90" t="s">
        <v>54</v>
      </c>
      <c r="M174" s="91" t="s">
        <v>116</v>
      </c>
    </row>
    <row r="175" spans="2:13" x14ac:dyDescent="0.3">
      <c r="B175" s="71"/>
      <c r="C175"/>
      <c r="K175" s="89" t="s">
        <v>426</v>
      </c>
      <c r="L175" s="90" t="s">
        <v>54</v>
      </c>
      <c r="M175" s="91" t="s">
        <v>116</v>
      </c>
    </row>
    <row r="176" spans="2:13" x14ac:dyDescent="0.3">
      <c r="B176" s="71"/>
      <c r="C176"/>
      <c r="K176" s="89" t="s">
        <v>841</v>
      </c>
      <c r="L176" s="90" t="s">
        <v>1252</v>
      </c>
      <c r="M176" s="91" t="s">
        <v>116</v>
      </c>
    </row>
    <row r="177" spans="2:13" x14ac:dyDescent="0.3">
      <c r="B177" s="71"/>
      <c r="C177"/>
      <c r="K177" s="89" t="s">
        <v>937</v>
      </c>
      <c r="L177" s="90" t="s">
        <v>1252</v>
      </c>
      <c r="M177" s="91" t="s">
        <v>116</v>
      </c>
    </row>
    <row r="178" spans="2:13" x14ac:dyDescent="0.3">
      <c r="B178" s="71"/>
      <c r="C178"/>
      <c r="K178" s="89" t="s">
        <v>313</v>
      </c>
      <c r="L178" s="90" t="s">
        <v>1252</v>
      </c>
      <c r="M178" s="91" t="s">
        <v>116</v>
      </c>
    </row>
    <row r="179" spans="2:13" x14ac:dyDescent="0.3">
      <c r="B179" s="71"/>
      <c r="C179"/>
      <c r="K179" s="89" t="s">
        <v>509</v>
      </c>
      <c r="L179" s="90" t="s">
        <v>1252</v>
      </c>
      <c r="M179" s="91" t="s">
        <v>116</v>
      </c>
    </row>
    <row r="180" spans="2:13" x14ac:dyDescent="0.3">
      <c r="B180" s="71"/>
      <c r="C180"/>
      <c r="K180" s="89" t="s">
        <v>560</v>
      </c>
      <c r="L180" s="90" t="s">
        <v>1252</v>
      </c>
      <c r="M180" s="91" t="s">
        <v>116</v>
      </c>
    </row>
    <row r="181" spans="2:13" x14ac:dyDescent="0.3">
      <c r="B181" s="71"/>
      <c r="C181"/>
      <c r="K181" s="89" t="s">
        <v>865</v>
      </c>
      <c r="L181" s="90" t="s">
        <v>1421</v>
      </c>
      <c r="M181" s="91" t="s">
        <v>8</v>
      </c>
    </row>
    <row r="182" spans="2:13" x14ac:dyDescent="0.3">
      <c r="B182" s="71"/>
      <c r="C182"/>
      <c r="K182" s="89" t="s">
        <v>351</v>
      </c>
      <c r="L182" s="90" t="s">
        <v>1421</v>
      </c>
      <c r="M182" s="91" t="s">
        <v>8</v>
      </c>
    </row>
    <row r="183" spans="2:13" x14ac:dyDescent="0.3">
      <c r="B183" s="71"/>
      <c r="C183"/>
      <c r="K183" s="89" t="s">
        <v>600</v>
      </c>
      <c r="L183" s="90" t="s">
        <v>52</v>
      </c>
      <c r="M183" s="91" t="s">
        <v>116</v>
      </c>
    </row>
    <row r="184" spans="2:13" x14ac:dyDescent="0.3">
      <c r="B184" s="71"/>
      <c r="C184"/>
      <c r="K184" s="89" t="s">
        <v>783</v>
      </c>
      <c r="L184" s="90" t="s">
        <v>52</v>
      </c>
      <c r="M184" s="91" t="s">
        <v>116</v>
      </c>
    </row>
    <row r="185" spans="2:13" x14ac:dyDescent="0.3">
      <c r="B185" s="71"/>
      <c r="C185"/>
      <c r="K185" s="89" t="s">
        <v>897</v>
      </c>
      <c r="L185" s="90" t="s">
        <v>52</v>
      </c>
      <c r="M185" s="91" t="s">
        <v>116</v>
      </c>
    </row>
    <row r="186" spans="2:13" x14ac:dyDescent="0.3">
      <c r="B186" s="71"/>
      <c r="C186"/>
      <c r="K186" s="89" t="s">
        <v>237</v>
      </c>
      <c r="L186" s="90" t="s">
        <v>52</v>
      </c>
      <c r="M186" s="91" t="s">
        <v>116</v>
      </c>
    </row>
    <row r="187" spans="2:13" x14ac:dyDescent="0.3">
      <c r="B187" s="71"/>
      <c r="C187"/>
      <c r="K187" s="89" t="s">
        <v>398</v>
      </c>
      <c r="L187" s="90" t="s">
        <v>52</v>
      </c>
      <c r="M187" s="91" t="s">
        <v>116</v>
      </c>
    </row>
    <row r="188" spans="2:13" x14ac:dyDescent="0.3">
      <c r="B188" s="71"/>
      <c r="C188"/>
      <c r="K188" s="89" t="s">
        <v>1255</v>
      </c>
      <c r="L188" s="90" t="s">
        <v>52</v>
      </c>
      <c r="M188" s="91" t="s">
        <v>116</v>
      </c>
    </row>
    <row r="189" spans="2:13" x14ac:dyDescent="0.3">
      <c r="B189" s="71"/>
      <c r="C189"/>
      <c r="K189" s="184" t="s">
        <v>1035</v>
      </c>
      <c r="L189" s="90" t="s">
        <v>1237</v>
      </c>
      <c r="M189" s="91" t="s">
        <v>116</v>
      </c>
    </row>
    <row r="190" spans="2:13" x14ac:dyDescent="0.3">
      <c r="B190" s="71"/>
      <c r="C190"/>
      <c r="K190" s="89" t="s">
        <v>667</v>
      </c>
      <c r="L190" s="90" t="s">
        <v>55</v>
      </c>
      <c r="M190" s="91" t="s">
        <v>116</v>
      </c>
    </row>
    <row r="191" spans="2:13" x14ac:dyDescent="0.3">
      <c r="B191" s="71"/>
      <c r="C191"/>
      <c r="K191" s="89" t="s">
        <v>943</v>
      </c>
      <c r="L191" s="90" t="s">
        <v>55</v>
      </c>
      <c r="M191" s="91" t="s">
        <v>116</v>
      </c>
    </row>
    <row r="192" spans="2:13" x14ac:dyDescent="0.3">
      <c r="C192"/>
      <c r="K192" s="89" t="s">
        <v>382</v>
      </c>
      <c r="L192" s="90" t="s">
        <v>55</v>
      </c>
      <c r="M192" s="91" t="s">
        <v>116</v>
      </c>
    </row>
    <row r="193" spans="3:13" x14ac:dyDescent="0.3">
      <c r="C193"/>
      <c r="K193" s="89" t="s">
        <v>1256</v>
      </c>
      <c r="L193" s="90" t="s">
        <v>55</v>
      </c>
      <c r="M193" s="91" t="s">
        <v>116</v>
      </c>
    </row>
    <row r="194" spans="3:13" x14ac:dyDescent="0.3">
      <c r="C194"/>
      <c r="K194" s="254" t="s">
        <v>531</v>
      </c>
      <c r="L194" s="157" t="s">
        <v>55</v>
      </c>
      <c r="M194" s="91" t="s">
        <v>116</v>
      </c>
    </row>
    <row r="195" spans="3:13" x14ac:dyDescent="0.3">
      <c r="C195"/>
      <c r="K195" s="186" t="s">
        <v>591</v>
      </c>
      <c r="L195" s="90" t="s">
        <v>55</v>
      </c>
      <c r="M195" s="91" t="s">
        <v>116</v>
      </c>
    </row>
    <row r="196" spans="3:13" x14ac:dyDescent="0.3">
      <c r="C196"/>
      <c r="K196" t="s">
        <v>1125</v>
      </c>
      <c r="L196" s="90" t="s">
        <v>1239</v>
      </c>
      <c r="M196" s="91" t="s">
        <v>116</v>
      </c>
    </row>
    <row r="197" spans="3:13" x14ac:dyDescent="0.3">
      <c r="C197"/>
      <c r="K197" s="186" t="s">
        <v>797</v>
      </c>
      <c r="L197" s="90" t="s">
        <v>1239</v>
      </c>
      <c r="M197" s="91" t="s">
        <v>116</v>
      </c>
    </row>
    <row r="198" spans="3:13" x14ac:dyDescent="0.3">
      <c r="C198"/>
      <c r="K198" s="186" t="s">
        <v>402</v>
      </c>
      <c r="L198" s="90" t="s">
        <v>1239</v>
      </c>
      <c r="M198" s="91" t="s">
        <v>116</v>
      </c>
    </row>
    <row r="199" spans="3:13" x14ac:dyDescent="0.3">
      <c r="C199"/>
      <c r="K199" s="186" t="s">
        <v>486</v>
      </c>
      <c r="L199" s="90" t="s">
        <v>1239</v>
      </c>
      <c r="M199" s="91" t="s">
        <v>116</v>
      </c>
    </row>
    <row r="200" spans="3:13" x14ac:dyDescent="0.3">
      <c r="C200"/>
      <c r="K200" s="186" t="s">
        <v>863</v>
      </c>
      <c r="L200" s="90" t="s">
        <v>1239</v>
      </c>
      <c r="M200" s="91" t="s">
        <v>116</v>
      </c>
    </row>
    <row r="201" spans="3:13" x14ac:dyDescent="0.3">
      <c r="C201"/>
      <c r="K201" s="186" t="s">
        <v>952</v>
      </c>
      <c r="L201" s="90" t="s">
        <v>1239</v>
      </c>
      <c r="M201" s="91" t="s">
        <v>116</v>
      </c>
    </row>
    <row r="202" spans="3:13" x14ac:dyDescent="0.3">
      <c r="C202"/>
      <c r="K202" s="186" t="s">
        <v>448</v>
      </c>
      <c r="L202" s="255" t="s">
        <v>1239</v>
      </c>
      <c r="M202" s="255" t="s">
        <v>116</v>
      </c>
    </row>
    <row r="203" spans="3:13" x14ac:dyDescent="0.3">
      <c r="C203"/>
      <c r="K203" t="s">
        <v>1310</v>
      </c>
      <c r="L203" t="s">
        <v>1239</v>
      </c>
      <c r="M203" t="s">
        <v>116</v>
      </c>
    </row>
    <row r="204" spans="3:13" x14ac:dyDescent="0.3">
      <c r="C204"/>
      <c r="K204" s="186" t="s">
        <v>660</v>
      </c>
      <c r="L204" t="s">
        <v>1421</v>
      </c>
      <c r="M204" t="s">
        <v>14</v>
      </c>
    </row>
    <row r="205" spans="3:13" x14ac:dyDescent="0.3">
      <c r="C205"/>
      <c r="K205" s="186" t="s">
        <v>965</v>
      </c>
      <c r="L205" t="s">
        <v>1421</v>
      </c>
      <c r="M205" t="s">
        <v>14</v>
      </c>
    </row>
    <row r="206" spans="3:13" x14ac:dyDescent="0.3">
      <c r="C206"/>
      <c r="K206" s="186" t="s">
        <v>368</v>
      </c>
      <c r="L206" t="s">
        <v>1421</v>
      </c>
      <c r="M206" t="s">
        <v>14</v>
      </c>
    </row>
    <row r="207" spans="3:13" x14ac:dyDescent="0.3">
      <c r="C207"/>
      <c r="K207" s="186" t="s">
        <v>583</v>
      </c>
      <c r="L207" t="s">
        <v>1421</v>
      </c>
      <c r="M207" t="s">
        <v>14</v>
      </c>
    </row>
    <row r="208" spans="3:13" x14ac:dyDescent="0.3">
      <c r="C208"/>
      <c r="K208" s="186" t="s">
        <v>527</v>
      </c>
      <c r="L208" t="s">
        <v>1421</v>
      </c>
      <c r="M208" t="s">
        <v>14</v>
      </c>
    </row>
    <row r="209" spans="3:13" x14ac:dyDescent="0.3">
      <c r="C209"/>
      <c r="K209" s="186" t="s">
        <v>1257</v>
      </c>
      <c r="L209" t="s">
        <v>1421</v>
      </c>
      <c r="M209" t="s">
        <v>14</v>
      </c>
    </row>
    <row r="210" spans="3:13" x14ac:dyDescent="0.3">
      <c r="C210"/>
      <c r="K210" t="s">
        <v>1387</v>
      </c>
      <c r="L210" t="s">
        <v>1421</v>
      </c>
      <c r="M210" t="s">
        <v>14</v>
      </c>
    </row>
    <row r="211" spans="3:13" x14ac:dyDescent="0.3">
      <c r="C211"/>
      <c r="K211" s="186" t="s">
        <v>240</v>
      </c>
      <c r="L211" t="s">
        <v>1237</v>
      </c>
      <c r="M211" t="s">
        <v>1422</v>
      </c>
    </row>
    <row r="212" spans="3:13" x14ac:dyDescent="0.3">
      <c r="K212" s="186" t="s">
        <v>461</v>
      </c>
      <c r="L212" t="s">
        <v>55</v>
      </c>
      <c r="M212" t="s">
        <v>116</v>
      </c>
    </row>
    <row r="213" spans="3:13" x14ac:dyDescent="0.3">
      <c r="K213" s="71" t="s">
        <v>1136</v>
      </c>
      <c r="L213" t="s">
        <v>1244</v>
      </c>
      <c r="M213" t="s">
        <v>15</v>
      </c>
    </row>
    <row r="214" spans="3:13" x14ac:dyDescent="0.3">
      <c r="K214" s="186" t="s">
        <v>263</v>
      </c>
      <c r="L214" t="s">
        <v>1244</v>
      </c>
      <c r="M214" t="s">
        <v>15</v>
      </c>
    </row>
    <row r="215" spans="3:13" x14ac:dyDescent="0.3">
      <c r="K215" s="186" t="s">
        <v>404</v>
      </c>
      <c r="L215" t="s">
        <v>1244</v>
      </c>
      <c r="M215" t="s">
        <v>15</v>
      </c>
    </row>
    <row r="216" spans="3:13" x14ac:dyDescent="0.3">
      <c r="K216" t="s">
        <v>1514</v>
      </c>
      <c r="L216" t="s">
        <v>1239</v>
      </c>
      <c r="M216" t="s">
        <v>195</v>
      </c>
    </row>
    <row r="217" spans="3:13" x14ac:dyDescent="0.3">
      <c r="K217" s="71" t="s">
        <v>1091</v>
      </c>
      <c r="L217" t="s">
        <v>1239</v>
      </c>
      <c r="M217" t="s">
        <v>195</v>
      </c>
    </row>
    <row r="218" spans="3:13" x14ac:dyDescent="0.3">
      <c r="K218" s="71" t="s">
        <v>634</v>
      </c>
      <c r="L218" t="s">
        <v>54</v>
      </c>
      <c r="M218" t="s">
        <v>1253</v>
      </c>
    </row>
    <row r="219" spans="3:13" x14ac:dyDescent="0.3">
      <c r="K219" s="186" t="s">
        <v>284</v>
      </c>
      <c r="L219" t="s">
        <v>1244</v>
      </c>
      <c r="M219" t="s">
        <v>1425</v>
      </c>
    </row>
    <row r="220" spans="3:13" x14ac:dyDescent="0.3">
      <c r="K220" s="186" t="s">
        <v>1258</v>
      </c>
      <c r="L220" t="s">
        <v>54</v>
      </c>
      <c r="M220" t="s">
        <v>1253</v>
      </c>
    </row>
    <row r="221" spans="3:13" x14ac:dyDescent="0.3">
      <c r="K221" t="s">
        <v>1113</v>
      </c>
      <c r="L221" t="s">
        <v>1239</v>
      </c>
      <c r="M221" t="s">
        <v>137</v>
      </c>
    </row>
    <row r="222" spans="3:13" x14ac:dyDescent="0.3">
      <c r="K222" s="71" t="s">
        <v>1115</v>
      </c>
      <c r="L222" t="s">
        <v>1239</v>
      </c>
      <c r="M222" t="s">
        <v>137</v>
      </c>
    </row>
    <row r="223" spans="3:13" x14ac:dyDescent="0.3">
      <c r="K223" s="186" t="s">
        <v>281</v>
      </c>
      <c r="L223" t="s">
        <v>1244</v>
      </c>
      <c r="M223" t="s">
        <v>1425</v>
      </c>
    </row>
    <row r="224" spans="3:13" x14ac:dyDescent="0.3">
      <c r="K224" s="186" t="s">
        <v>735</v>
      </c>
      <c r="L224" t="s">
        <v>1244</v>
      </c>
      <c r="M224" t="s">
        <v>17</v>
      </c>
    </row>
    <row r="225" spans="11:13" x14ac:dyDescent="0.3">
      <c r="K225" s="186" t="s">
        <v>518</v>
      </c>
      <c r="L225" t="s">
        <v>1244</v>
      </c>
      <c r="M225" t="s">
        <v>17</v>
      </c>
    </row>
    <row r="226" spans="11:13" x14ac:dyDescent="0.3">
      <c r="K226" s="186" t="s">
        <v>447</v>
      </c>
      <c r="L226" t="s">
        <v>1204</v>
      </c>
      <c r="M226" t="s">
        <v>17</v>
      </c>
    </row>
    <row r="227" spans="11:13" x14ac:dyDescent="0.3">
      <c r="K227" s="71" t="s">
        <v>1333</v>
      </c>
      <c r="L227" t="s">
        <v>55</v>
      </c>
      <c r="M227" t="s">
        <v>1323</v>
      </c>
    </row>
    <row r="228" spans="11:13" x14ac:dyDescent="0.3">
      <c r="K228" s="186" t="s">
        <v>386</v>
      </c>
      <c r="L228" t="s">
        <v>55</v>
      </c>
      <c r="M228" t="s">
        <v>1323</v>
      </c>
    </row>
    <row r="229" spans="11:13" x14ac:dyDescent="0.3">
      <c r="K229" s="186" t="s">
        <v>465</v>
      </c>
      <c r="L229" t="s">
        <v>55</v>
      </c>
      <c r="M229" t="s">
        <v>1323</v>
      </c>
    </row>
    <row r="230" spans="11:13" x14ac:dyDescent="0.3">
      <c r="K230" s="186" t="s">
        <v>975</v>
      </c>
      <c r="L230" t="s">
        <v>55</v>
      </c>
      <c r="M230" t="s">
        <v>1323</v>
      </c>
    </row>
    <row r="231" spans="11:13" x14ac:dyDescent="0.3">
      <c r="K231" s="186" t="s">
        <v>384</v>
      </c>
      <c r="L231" t="s">
        <v>55</v>
      </c>
      <c r="M231" t="s">
        <v>1323</v>
      </c>
    </row>
    <row r="232" spans="11:13" x14ac:dyDescent="0.3">
      <c r="K232" s="186" t="s">
        <v>887</v>
      </c>
      <c r="L232" t="s">
        <v>55</v>
      </c>
      <c r="M232" t="s">
        <v>1323</v>
      </c>
    </row>
    <row r="233" spans="11:13" x14ac:dyDescent="0.3">
      <c r="K233" t="s">
        <v>1165</v>
      </c>
      <c r="L233" t="s">
        <v>1235</v>
      </c>
      <c r="M233" t="s">
        <v>1165</v>
      </c>
    </row>
    <row r="234" spans="11:13" x14ac:dyDescent="0.3">
      <c r="K234" t="s">
        <v>1168</v>
      </c>
      <c r="L234" t="s">
        <v>1235</v>
      </c>
      <c r="M234" t="s">
        <v>1168</v>
      </c>
    </row>
    <row r="235" spans="11:13" x14ac:dyDescent="0.3">
      <c r="K235" s="186" t="s">
        <v>387</v>
      </c>
      <c r="L235" t="s">
        <v>1244</v>
      </c>
      <c r="M235" t="s">
        <v>1424</v>
      </c>
    </row>
    <row r="236" spans="11:13" x14ac:dyDescent="0.3">
      <c r="K236" s="186" t="s">
        <v>672</v>
      </c>
      <c r="L236" t="s">
        <v>1244</v>
      </c>
      <c r="M236" t="s">
        <v>1424</v>
      </c>
    </row>
    <row r="237" spans="11:13" x14ac:dyDescent="0.3">
      <c r="K237" s="186" t="s">
        <v>467</v>
      </c>
      <c r="L237" t="s">
        <v>1244</v>
      </c>
      <c r="M237" t="s">
        <v>1424</v>
      </c>
    </row>
    <row r="238" spans="11:13" x14ac:dyDescent="0.3">
      <c r="K238" t="s">
        <v>1478</v>
      </c>
      <c r="L238" t="s">
        <v>1244</v>
      </c>
      <c r="M238" t="s">
        <v>1424</v>
      </c>
    </row>
    <row r="239" spans="11:13" x14ac:dyDescent="0.3">
      <c r="K239" t="s">
        <v>770</v>
      </c>
      <c r="L239" t="s">
        <v>1244</v>
      </c>
      <c r="M239" t="s">
        <v>1424</v>
      </c>
    </row>
    <row r="240" spans="11:13" x14ac:dyDescent="0.3">
      <c r="K240" s="186" t="s">
        <v>484</v>
      </c>
      <c r="L240" t="s">
        <v>1239</v>
      </c>
      <c r="M240" t="s">
        <v>119</v>
      </c>
    </row>
    <row r="241" spans="11:13" x14ac:dyDescent="0.3">
      <c r="K241" s="186" t="s">
        <v>869</v>
      </c>
      <c r="L241" t="s">
        <v>1239</v>
      </c>
      <c r="M241" t="s">
        <v>119</v>
      </c>
    </row>
    <row r="242" spans="11:13" x14ac:dyDescent="0.3">
      <c r="K242" t="s">
        <v>959</v>
      </c>
      <c r="L242" t="s">
        <v>54</v>
      </c>
      <c r="M242" t="s">
        <v>1253</v>
      </c>
    </row>
    <row r="243" spans="11:13" x14ac:dyDescent="0.3">
      <c r="K243" s="186" t="s">
        <v>320</v>
      </c>
      <c r="L243" t="s">
        <v>1252</v>
      </c>
      <c r="M243" t="s">
        <v>1253</v>
      </c>
    </row>
    <row r="244" spans="11:13" x14ac:dyDescent="0.3">
      <c r="K244" s="186" t="s">
        <v>843</v>
      </c>
      <c r="L244" t="s">
        <v>1252</v>
      </c>
      <c r="M244" t="s">
        <v>1253</v>
      </c>
    </row>
    <row r="245" spans="11:13" x14ac:dyDescent="0.3">
      <c r="K245" s="186" t="s">
        <v>939</v>
      </c>
      <c r="L245" t="s">
        <v>1252</v>
      </c>
      <c r="M245" t="s">
        <v>1253</v>
      </c>
    </row>
    <row r="246" spans="11:13" x14ac:dyDescent="0.3">
      <c r="K246" s="186" t="s">
        <v>315</v>
      </c>
      <c r="L246" t="s">
        <v>1252</v>
      </c>
      <c r="M246" t="s">
        <v>1253</v>
      </c>
    </row>
    <row r="247" spans="11:13" x14ac:dyDescent="0.3">
      <c r="K247" s="186" t="s">
        <v>430</v>
      </c>
      <c r="L247" t="s">
        <v>1252</v>
      </c>
      <c r="M247" t="s">
        <v>1253</v>
      </c>
    </row>
    <row r="248" spans="11:13" x14ac:dyDescent="0.3">
      <c r="K248" s="186" t="s">
        <v>510</v>
      </c>
      <c r="L248" t="s">
        <v>1252</v>
      </c>
      <c r="M248" t="s">
        <v>1253</v>
      </c>
    </row>
    <row r="249" spans="11:13" x14ac:dyDescent="0.3">
      <c r="K249" s="186" t="s">
        <v>561</v>
      </c>
      <c r="L249" t="s">
        <v>1252</v>
      </c>
      <c r="M249" t="s">
        <v>1253</v>
      </c>
    </row>
    <row r="250" spans="11:13" x14ac:dyDescent="0.3">
      <c r="K250" s="186" t="s">
        <v>722</v>
      </c>
      <c r="L250" t="s">
        <v>1252</v>
      </c>
      <c r="M250" t="s">
        <v>1253</v>
      </c>
    </row>
    <row r="251" spans="11:13" x14ac:dyDescent="0.3">
      <c r="K251" s="186" t="s">
        <v>358</v>
      </c>
      <c r="L251" t="s">
        <v>51</v>
      </c>
      <c r="M251" t="s">
        <v>1253</v>
      </c>
    </row>
    <row r="252" spans="11:13" x14ac:dyDescent="0.3">
      <c r="K252" s="186" t="s">
        <v>866</v>
      </c>
      <c r="L252" t="s">
        <v>51</v>
      </c>
      <c r="M252" t="s">
        <v>1253</v>
      </c>
    </row>
    <row r="253" spans="11:13" x14ac:dyDescent="0.3">
      <c r="K253" s="186" t="s">
        <v>428</v>
      </c>
      <c r="L253" t="s">
        <v>54</v>
      </c>
      <c r="M253" t="s">
        <v>1253</v>
      </c>
    </row>
    <row r="254" spans="11:13" x14ac:dyDescent="0.3">
      <c r="K254" s="186" t="s">
        <v>508</v>
      </c>
      <c r="L254" t="s">
        <v>54</v>
      </c>
      <c r="M254" t="s">
        <v>1253</v>
      </c>
    </row>
    <row r="255" spans="11:13" x14ac:dyDescent="0.3">
      <c r="K255" s="186" t="s">
        <v>838</v>
      </c>
      <c r="L255" t="s">
        <v>54</v>
      </c>
      <c r="M255" t="s">
        <v>1253</v>
      </c>
    </row>
    <row r="256" spans="11:13" x14ac:dyDescent="0.3">
      <c r="K256" s="186" t="s">
        <v>932</v>
      </c>
      <c r="L256" t="s">
        <v>54</v>
      </c>
      <c r="M256" t="s">
        <v>1253</v>
      </c>
    </row>
    <row r="257" spans="11:13" x14ac:dyDescent="0.3">
      <c r="K257" s="186" t="s">
        <v>311</v>
      </c>
      <c r="L257" t="s">
        <v>54</v>
      </c>
      <c r="M257" t="s">
        <v>1253</v>
      </c>
    </row>
    <row r="258" spans="11:13" x14ac:dyDescent="0.3">
      <c r="K258" t="s">
        <v>1313</v>
      </c>
      <c r="L258" t="s">
        <v>54</v>
      </c>
      <c r="M258" t="s">
        <v>1253</v>
      </c>
    </row>
    <row r="259" spans="11:13" x14ac:dyDescent="0.3">
      <c r="K259" s="186" t="s">
        <v>1259</v>
      </c>
      <c r="L259" t="s">
        <v>54</v>
      </c>
      <c r="M259" t="s">
        <v>1253</v>
      </c>
    </row>
    <row r="260" spans="11:13" x14ac:dyDescent="0.3">
      <c r="K260" s="71" t="s">
        <v>1369</v>
      </c>
      <c r="L260" t="s">
        <v>54</v>
      </c>
      <c r="M260" t="s">
        <v>1253</v>
      </c>
    </row>
    <row r="261" spans="11:13" x14ac:dyDescent="0.3">
      <c r="K261" t="s">
        <v>716</v>
      </c>
      <c r="L261" t="s">
        <v>54</v>
      </c>
      <c r="M261" t="s">
        <v>1253</v>
      </c>
    </row>
    <row r="262" spans="11:13" x14ac:dyDescent="0.3">
      <c r="K262" s="186" t="s">
        <v>524</v>
      </c>
      <c r="L262" t="s">
        <v>51</v>
      </c>
      <c r="M262" t="s">
        <v>1253</v>
      </c>
    </row>
    <row r="263" spans="11:13" x14ac:dyDescent="0.3">
      <c r="K263" s="186" t="s">
        <v>955</v>
      </c>
      <c r="L263" t="s">
        <v>51</v>
      </c>
      <c r="M263" t="s">
        <v>1253</v>
      </c>
    </row>
    <row r="264" spans="11:13" x14ac:dyDescent="0.3">
      <c r="K264" s="186" t="s">
        <v>353</v>
      </c>
      <c r="L264" t="s">
        <v>51</v>
      </c>
      <c r="M264" t="s">
        <v>1253</v>
      </c>
    </row>
    <row r="265" spans="11:13" x14ac:dyDescent="0.3">
      <c r="K265" s="186" t="s">
        <v>450</v>
      </c>
      <c r="L265" t="s">
        <v>51</v>
      </c>
      <c r="M265" t="s">
        <v>1253</v>
      </c>
    </row>
    <row r="266" spans="11:13" x14ac:dyDescent="0.3">
      <c r="K266" s="186" t="s">
        <v>521</v>
      </c>
      <c r="L266" t="s">
        <v>51</v>
      </c>
      <c r="M266" t="s">
        <v>1253</v>
      </c>
    </row>
    <row r="267" spans="11:13" x14ac:dyDescent="0.3">
      <c r="K267" s="186" t="s">
        <v>578</v>
      </c>
      <c r="L267" t="s">
        <v>51</v>
      </c>
      <c r="M267" t="s">
        <v>1253</v>
      </c>
    </row>
    <row r="268" spans="11:13" x14ac:dyDescent="0.3">
      <c r="K268" s="186" t="s">
        <v>742</v>
      </c>
      <c r="L268" t="s">
        <v>51</v>
      </c>
      <c r="M268" t="s">
        <v>1253</v>
      </c>
    </row>
    <row r="269" spans="11:13" x14ac:dyDescent="0.3">
      <c r="K269" s="186" t="s">
        <v>873</v>
      </c>
      <c r="L269" t="s">
        <v>51</v>
      </c>
      <c r="M269" t="s">
        <v>1253</v>
      </c>
    </row>
    <row r="270" spans="11:13" x14ac:dyDescent="0.3">
      <c r="K270" s="186" t="s">
        <v>957</v>
      </c>
      <c r="L270" t="s">
        <v>51</v>
      </c>
      <c r="M270" t="s">
        <v>1253</v>
      </c>
    </row>
    <row r="271" spans="11:13" x14ac:dyDescent="0.3">
      <c r="K271" s="186" t="s">
        <v>580</v>
      </c>
      <c r="L271" t="s">
        <v>51</v>
      </c>
      <c r="M271" t="s">
        <v>1253</v>
      </c>
    </row>
    <row r="272" spans="11:13" x14ac:dyDescent="0.3">
      <c r="K272" s="186" t="s">
        <v>362</v>
      </c>
      <c r="L272" t="s">
        <v>51</v>
      </c>
      <c r="M272" t="s">
        <v>1253</v>
      </c>
    </row>
    <row r="273" spans="11:13" x14ac:dyDescent="0.3">
      <c r="K273" s="186" t="s">
        <v>522</v>
      </c>
      <c r="L273" t="s">
        <v>51</v>
      </c>
      <c r="M273" t="s">
        <v>1253</v>
      </c>
    </row>
    <row r="274" spans="11:13" x14ac:dyDescent="0.3">
      <c r="K274" s="71" t="s">
        <v>581</v>
      </c>
      <c r="L274" t="s">
        <v>51</v>
      </c>
      <c r="M274" t="s">
        <v>1253</v>
      </c>
    </row>
    <row r="275" spans="11:13" x14ac:dyDescent="0.3">
      <c r="K275" s="186" t="s">
        <v>739</v>
      </c>
      <c r="L275" t="s">
        <v>51</v>
      </c>
      <c r="M275" t="s">
        <v>1253</v>
      </c>
    </row>
    <row r="276" spans="11:13" x14ac:dyDescent="0.3">
      <c r="K276" s="186" t="s">
        <v>977</v>
      </c>
      <c r="L276" t="s">
        <v>55</v>
      </c>
      <c r="M276" t="s">
        <v>1323</v>
      </c>
    </row>
    <row r="277" spans="11:13" x14ac:dyDescent="0.3">
      <c r="K277" s="186" t="s">
        <v>464</v>
      </c>
      <c r="L277" t="s">
        <v>55</v>
      </c>
      <c r="M277" t="s">
        <v>1323</v>
      </c>
    </row>
    <row r="278" spans="11:13" x14ac:dyDescent="0.3">
      <c r="K278" s="71" t="s">
        <v>1174</v>
      </c>
      <c r="L278" t="s">
        <v>1260</v>
      </c>
      <c r="M278" t="s">
        <v>8</v>
      </c>
    </row>
    <row r="279" spans="11:13" x14ac:dyDescent="0.3">
      <c r="K279" t="s">
        <v>1179</v>
      </c>
      <c r="L279" t="s">
        <v>1260</v>
      </c>
      <c r="M279" t="s">
        <v>8</v>
      </c>
    </row>
    <row r="280" spans="11:13" x14ac:dyDescent="0.3">
      <c r="K280" t="s">
        <v>1218</v>
      </c>
      <c r="L280" t="s">
        <v>1240</v>
      </c>
      <c r="M280" t="s">
        <v>1240</v>
      </c>
    </row>
    <row r="281" spans="11:13" x14ac:dyDescent="0.3">
      <c r="K281" t="s">
        <v>990</v>
      </c>
      <c r="L281" t="s">
        <v>1237</v>
      </c>
      <c r="M281" t="s">
        <v>1240</v>
      </c>
    </row>
    <row r="282" spans="11:13" x14ac:dyDescent="0.3">
      <c r="K282" t="s">
        <v>1043</v>
      </c>
      <c r="L282" t="s">
        <v>1237</v>
      </c>
      <c r="M282" t="s">
        <v>1240</v>
      </c>
    </row>
    <row r="283" spans="11:13" x14ac:dyDescent="0.3">
      <c r="K283" t="s">
        <v>1172</v>
      </c>
      <c r="L283" t="s">
        <v>1237</v>
      </c>
      <c r="M283" t="s">
        <v>1240</v>
      </c>
    </row>
    <row r="284" spans="11:13" x14ac:dyDescent="0.3">
      <c r="K284" t="s">
        <v>1017</v>
      </c>
      <c r="L284" t="s">
        <v>1237</v>
      </c>
      <c r="M284" t="s">
        <v>1241</v>
      </c>
    </row>
    <row r="285" spans="11:13" x14ac:dyDescent="0.3">
      <c r="K285" t="s">
        <v>1611</v>
      </c>
      <c r="L285" t="s">
        <v>1237</v>
      </c>
      <c r="M285" t="s">
        <v>1261</v>
      </c>
    </row>
    <row r="286" spans="11:13" x14ac:dyDescent="0.3">
      <c r="K286" s="71" t="s">
        <v>1185</v>
      </c>
      <c r="L286" t="s">
        <v>1242</v>
      </c>
      <c r="M286" t="s">
        <v>1261</v>
      </c>
    </row>
    <row r="287" spans="11:13" x14ac:dyDescent="0.3">
      <c r="K287" t="s">
        <v>1204</v>
      </c>
      <c r="L287" t="s">
        <v>1204</v>
      </c>
      <c r="M287" t="s">
        <v>1262</v>
      </c>
    </row>
    <row r="288" spans="11:13" x14ac:dyDescent="0.3">
      <c r="K288" t="s">
        <v>1206</v>
      </c>
      <c r="L288" t="s">
        <v>1204</v>
      </c>
      <c r="M288" t="s">
        <v>1262</v>
      </c>
    </row>
    <row r="289" spans="11:13" x14ac:dyDescent="0.3">
      <c r="K289" t="s">
        <v>1189</v>
      </c>
      <c r="L289" t="s">
        <v>1204</v>
      </c>
      <c r="M289" t="s">
        <v>1262</v>
      </c>
    </row>
    <row r="290" spans="11:13" x14ac:dyDescent="0.3">
      <c r="K290" s="71" t="s">
        <v>1187</v>
      </c>
      <c r="L290" t="s">
        <v>1204</v>
      </c>
      <c r="M290" t="s">
        <v>1262</v>
      </c>
    </row>
    <row r="291" spans="11:13" x14ac:dyDescent="0.3">
      <c r="K291" t="s">
        <v>1147</v>
      </c>
      <c r="L291" t="s">
        <v>1237</v>
      </c>
      <c r="M291" t="s">
        <v>16</v>
      </c>
    </row>
    <row r="292" spans="11:13" x14ac:dyDescent="0.3">
      <c r="K292" s="186" t="s">
        <v>330</v>
      </c>
      <c r="L292" t="s">
        <v>1237</v>
      </c>
      <c r="M292" t="s">
        <v>16</v>
      </c>
    </row>
    <row r="293" spans="11:13" x14ac:dyDescent="0.3">
      <c r="K293" s="186" t="s">
        <v>944</v>
      </c>
      <c r="L293" t="s">
        <v>1237</v>
      </c>
      <c r="M293" t="s">
        <v>16</v>
      </c>
    </row>
    <row r="294" spans="11:13" x14ac:dyDescent="0.3">
      <c r="K294" t="s">
        <v>1150</v>
      </c>
      <c r="L294" t="s">
        <v>1237</v>
      </c>
      <c r="M294" t="s">
        <v>16</v>
      </c>
    </row>
    <row r="295" spans="11:13" x14ac:dyDescent="0.3">
      <c r="K295" s="186" t="s">
        <v>855</v>
      </c>
      <c r="L295" t="s">
        <v>1237</v>
      </c>
      <c r="M295" t="s">
        <v>16</v>
      </c>
    </row>
    <row r="296" spans="11:13" x14ac:dyDescent="0.3">
      <c r="K296" s="71" t="s">
        <v>1263</v>
      </c>
      <c r="L296" t="s">
        <v>1237</v>
      </c>
      <c r="M296" t="s">
        <v>16</v>
      </c>
    </row>
    <row r="297" spans="11:13" x14ac:dyDescent="0.3">
      <c r="K297" t="s">
        <v>1311</v>
      </c>
      <c r="L297" t="s">
        <v>1237</v>
      </c>
      <c r="M297" t="s">
        <v>16</v>
      </c>
    </row>
    <row r="298" spans="11:13" x14ac:dyDescent="0.3">
      <c r="K298" t="s">
        <v>1392</v>
      </c>
      <c r="L298" t="s">
        <v>1237</v>
      </c>
      <c r="M298" t="s">
        <v>16</v>
      </c>
    </row>
    <row r="299" spans="11:13" x14ac:dyDescent="0.3">
      <c r="K299" t="s">
        <v>1400</v>
      </c>
      <c r="L299" t="s">
        <v>1237</v>
      </c>
      <c r="M299" t="s">
        <v>16</v>
      </c>
    </row>
    <row r="300" spans="11:13" x14ac:dyDescent="0.3">
      <c r="K300" s="186" t="s">
        <v>332</v>
      </c>
      <c r="L300" t="s">
        <v>1237</v>
      </c>
      <c r="M300" t="s">
        <v>16</v>
      </c>
    </row>
    <row r="301" spans="11:13" x14ac:dyDescent="0.3">
      <c r="K301" s="186" t="s">
        <v>512</v>
      </c>
      <c r="L301" t="s">
        <v>1237</v>
      </c>
      <c r="M301" t="s">
        <v>16</v>
      </c>
    </row>
    <row r="302" spans="11:13" x14ac:dyDescent="0.3">
      <c r="K302" s="186" t="s">
        <v>565</v>
      </c>
      <c r="L302" t="s">
        <v>1237</v>
      </c>
      <c r="M302" t="s">
        <v>16</v>
      </c>
    </row>
  </sheetData>
  <sortState xmlns:xlrd2="http://schemas.microsoft.com/office/spreadsheetml/2017/richdata2" ref="K4:M302">
    <sortCondition ref="K4:K302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2708-CDB1-4134-A3F2-98A754A6814D}">
  <sheetPr>
    <tabColor theme="5" tint="-0.499984740745262"/>
  </sheetPr>
  <dimension ref="A1:O5"/>
  <sheetViews>
    <sheetView workbookViewId="0">
      <selection sqref="A1:O4"/>
    </sheetView>
  </sheetViews>
  <sheetFormatPr defaultRowHeight="14.4" x14ac:dyDescent="0.3"/>
  <cols>
    <col min="9" max="9" width="10.5546875" bestFit="1" customWidth="1"/>
  </cols>
  <sheetData>
    <row r="1" spans="1:15" x14ac:dyDescent="0.3">
      <c r="A1" s="71">
        <v>30</v>
      </c>
      <c r="B1" s="71">
        <v>901</v>
      </c>
      <c r="C1" s="71" t="s">
        <v>1420</v>
      </c>
      <c r="D1" s="71"/>
      <c r="E1" s="71" t="s">
        <v>604</v>
      </c>
      <c r="F1" s="71">
        <v>1</v>
      </c>
      <c r="G1" s="185" t="s">
        <v>1385</v>
      </c>
      <c r="H1" s="185"/>
      <c r="I1" s="185">
        <v>46174</v>
      </c>
      <c r="J1" s="71"/>
      <c r="M1" s="71"/>
      <c r="N1" s="71"/>
      <c r="O1" s="71" t="s">
        <v>1044</v>
      </c>
    </row>
    <row r="2" spans="1:15" x14ac:dyDescent="0.3">
      <c r="A2" s="71">
        <v>30</v>
      </c>
      <c r="B2" s="71">
        <v>902</v>
      </c>
      <c r="C2" s="71" t="s">
        <v>1417</v>
      </c>
      <c r="D2" s="71"/>
      <c r="E2" s="71" t="s">
        <v>604</v>
      </c>
      <c r="F2" s="71">
        <v>1</v>
      </c>
      <c r="G2" s="185" t="s">
        <v>1385</v>
      </c>
      <c r="H2" s="185"/>
      <c r="I2" s="185">
        <v>43983</v>
      </c>
      <c r="J2" s="71"/>
      <c r="M2" s="71"/>
      <c r="N2" s="71"/>
      <c r="O2" s="71" t="s">
        <v>1044</v>
      </c>
    </row>
    <row r="3" spans="1:15" x14ac:dyDescent="0.3">
      <c r="A3" s="71">
        <v>30</v>
      </c>
      <c r="B3" s="71">
        <v>903</v>
      </c>
      <c r="C3" s="71" t="s">
        <v>1418</v>
      </c>
      <c r="D3" s="71"/>
      <c r="E3" s="71" t="s">
        <v>604</v>
      </c>
      <c r="F3" s="71">
        <v>1</v>
      </c>
      <c r="G3" s="185" t="s">
        <v>1385</v>
      </c>
      <c r="H3" s="185"/>
      <c r="I3" s="185">
        <v>43983</v>
      </c>
      <c r="J3" s="71"/>
      <c r="M3" s="71"/>
      <c r="N3" s="71"/>
      <c r="O3" s="71" t="s">
        <v>1044</v>
      </c>
    </row>
    <row r="4" spans="1:15" x14ac:dyDescent="0.3">
      <c r="A4" s="71">
        <v>6</v>
      </c>
      <c r="B4" s="71">
        <v>9004</v>
      </c>
      <c r="C4" s="71" t="s">
        <v>1419</v>
      </c>
      <c r="D4" s="71"/>
      <c r="E4" s="71" t="s">
        <v>296</v>
      </c>
      <c r="F4" s="71">
        <v>1</v>
      </c>
      <c r="G4" s="185" t="s">
        <v>1385</v>
      </c>
      <c r="H4" s="185"/>
      <c r="I4" s="185">
        <v>46156</v>
      </c>
      <c r="J4" s="71"/>
      <c r="M4" s="71"/>
      <c r="N4" s="71"/>
      <c r="O4" s="71" t="s">
        <v>351</v>
      </c>
    </row>
    <row r="5" spans="1:15" x14ac:dyDescent="0.3">
      <c r="A5" s="71"/>
      <c r="B5" s="71"/>
      <c r="C5" s="71"/>
      <c r="D5" s="71"/>
      <c r="E5" s="71"/>
      <c r="F5" s="71"/>
      <c r="G5" s="185"/>
      <c r="H5" s="185"/>
      <c r="I5" s="185"/>
      <c r="O5" s="71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BA5B-7D96-4942-AB5A-DEE65D10DACA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824591.85000000068</v>
      </c>
      <c r="C2" s="45">
        <v>814188.22999999928</v>
      </c>
      <c r="D2" s="45">
        <v>873310.75000000151</v>
      </c>
      <c r="E2" s="45">
        <v>879927.82999999844</v>
      </c>
      <c r="F2" s="45">
        <v>917257.08999999915</v>
      </c>
      <c r="G2" s="45">
        <v>870638.73000000161</v>
      </c>
      <c r="H2" s="45">
        <v>908816.17999999749</v>
      </c>
      <c r="I2" s="45">
        <v>941156.19000000099</v>
      </c>
      <c r="J2" s="45">
        <v>867551.850000003</v>
      </c>
      <c r="K2" s="45">
        <v>995231.14000000129</v>
      </c>
      <c r="L2" s="45">
        <v>1006286.5700000011</v>
      </c>
      <c r="M2" s="45">
        <v>1229800.5799999861</v>
      </c>
      <c r="N2" s="46">
        <v>11128756.989999991</v>
      </c>
      <c r="P2" s="2" t="s">
        <v>24</v>
      </c>
    </row>
    <row r="3" spans="1:16" x14ac:dyDescent="0.3">
      <c r="A3" s="54" t="s">
        <v>1279</v>
      </c>
      <c r="B3" s="55">
        <v>533307.85000000009</v>
      </c>
      <c r="C3" s="55">
        <v>483833.9700000005</v>
      </c>
      <c r="D3" s="55">
        <v>532642.84000000311</v>
      </c>
      <c r="E3" s="55">
        <v>531607.05000000109</v>
      </c>
      <c r="F3" s="55">
        <v>612791.27000000654</v>
      </c>
      <c r="G3" s="55">
        <v>599324.82999999961</v>
      </c>
      <c r="H3" s="55">
        <v>581748.03999999654</v>
      </c>
      <c r="I3" s="55">
        <v>546775.48000000336</v>
      </c>
      <c r="J3" s="55">
        <v>503107.66000000405</v>
      </c>
      <c r="K3" s="55">
        <v>550545.02000000305</v>
      </c>
      <c r="L3" s="55">
        <v>528270.39000000164</v>
      </c>
      <c r="M3" s="55">
        <v>487534.92000000278</v>
      </c>
      <c r="N3" s="56">
        <v>6491489.3200000143</v>
      </c>
      <c r="P3" t="s">
        <v>201</v>
      </c>
    </row>
    <row r="4" spans="1:16" x14ac:dyDescent="0.3">
      <c r="A4" s="54" t="s">
        <v>1280</v>
      </c>
      <c r="B4" s="55">
        <v>528074.68000001134</v>
      </c>
      <c r="C4" s="55">
        <v>498212.08000000898</v>
      </c>
      <c r="D4" s="55">
        <v>556223.70000001043</v>
      </c>
      <c r="E4" s="55">
        <v>563445.920000021</v>
      </c>
      <c r="F4" s="55">
        <v>598843.72000002791</v>
      </c>
      <c r="G4" s="55">
        <v>620546.60000001208</v>
      </c>
      <c r="H4" s="55">
        <v>637391.60999997647</v>
      </c>
      <c r="I4" s="55">
        <v>612067.25000000896</v>
      </c>
      <c r="J4" s="55">
        <v>566089.33000001137</v>
      </c>
      <c r="K4" s="55">
        <v>595456.08000002452</v>
      </c>
      <c r="L4" s="55">
        <v>639767.97000001231</v>
      </c>
      <c r="M4" s="55">
        <v>870224.96999999089</v>
      </c>
      <c r="N4" s="56">
        <v>7286343.9100000123</v>
      </c>
      <c r="P4" t="s">
        <v>201</v>
      </c>
    </row>
    <row r="5" spans="1:16" x14ac:dyDescent="0.3">
      <c r="A5" s="54" t="s">
        <v>1281</v>
      </c>
      <c r="B5" s="55">
        <v>123074.28999999994</v>
      </c>
      <c r="C5" s="55">
        <v>110910.70000000011</v>
      </c>
      <c r="D5" s="55">
        <v>128395.05000000056</v>
      </c>
      <c r="E5" s="55">
        <v>123047.17000000023</v>
      </c>
      <c r="F5" s="55">
        <v>132107.83000000007</v>
      </c>
      <c r="G5" s="55">
        <v>122967.53000000068</v>
      </c>
      <c r="H5" s="55">
        <v>119955.52000000014</v>
      </c>
      <c r="I5" s="55">
        <v>126992.2400000004</v>
      </c>
      <c r="J5" s="55">
        <v>119072.67000000019</v>
      </c>
      <c r="K5" s="55">
        <v>135760.74000000177</v>
      </c>
      <c r="L5" s="55">
        <v>131818.64999999982</v>
      </c>
      <c r="M5" s="55">
        <v>161573.37999999983</v>
      </c>
      <c r="N5" s="56">
        <v>1535675.7700000103</v>
      </c>
      <c r="P5" t="s">
        <v>201</v>
      </c>
    </row>
    <row r="6" spans="1:16" x14ac:dyDescent="0.3">
      <c r="A6" s="54" t="s">
        <v>1282</v>
      </c>
      <c r="B6" s="55">
        <v>423285.55000000063</v>
      </c>
      <c r="C6" s="55">
        <v>426072.56000000075</v>
      </c>
      <c r="D6" s="55">
        <v>527288.02000000828</v>
      </c>
      <c r="E6" s="55">
        <v>440892.81000000163</v>
      </c>
      <c r="F6" s="55">
        <v>450737.5800000031</v>
      </c>
      <c r="G6" s="55">
        <v>393009.14999999828</v>
      </c>
      <c r="H6" s="55">
        <v>391397.72000001074</v>
      </c>
      <c r="I6" s="55">
        <v>441713.53000000882</v>
      </c>
      <c r="J6" s="55">
        <v>409801.33000000671</v>
      </c>
      <c r="K6" s="55">
        <v>421241.62000000087</v>
      </c>
      <c r="L6" s="55">
        <v>467556.59000000276</v>
      </c>
      <c r="M6" s="55">
        <v>722886.70999998669</v>
      </c>
      <c r="N6" s="56">
        <v>5515883.1700000279</v>
      </c>
      <c r="P6" t="s">
        <v>201</v>
      </c>
    </row>
    <row r="7" spans="1:16" x14ac:dyDescent="0.3">
      <c r="A7" s="54" t="s">
        <v>1283</v>
      </c>
      <c r="B7" s="55">
        <v>134850.37999999881</v>
      </c>
      <c r="C7" s="55">
        <v>135401.6399999994</v>
      </c>
      <c r="D7" s="55">
        <v>172595.07999999908</v>
      </c>
      <c r="E7" s="55">
        <v>398563.53000000241</v>
      </c>
      <c r="F7" s="55">
        <v>148431.08999999956</v>
      </c>
      <c r="G7" s="55">
        <v>154657.95999999912</v>
      </c>
      <c r="H7" s="55">
        <v>157195.20000000199</v>
      </c>
      <c r="I7" s="55">
        <v>152005.88999999897</v>
      </c>
      <c r="J7" s="55">
        <v>134169.73999999888</v>
      </c>
      <c r="K7" s="55">
        <v>146717.17999999906</v>
      </c>
      <c r="L7" s="55">
        <v>147751.57999999961</v>
      </c>
      <c r="M7" s="55">
        <v>216502.090000002</v>
      </c>
      <c r="N7" s="56">
        <v>2098841.3600000124</v>
      </c>
      <c r="P7" t="s">
        <v>201</v>
      </c>
    </row>
    <row r="8" spans="1:16" x14ac:dyDescent="0.3">
      <c r="A8" s="57" t="s">
        <v>63</v>
      </c>
      <c r="B8" s="58">
        <v>106165.84999999998</v>
      </c>
      <c r="C8" s="58">
        <v>101798.49000000011</v>
      </c>
      <c r="D8" s="58">
        <v>114544.12999999989</v>
      </c>
      <c r="E8" s="58">
        <v>101867.91000000008</v>
      </c>
      <c r="F8" s="58">
        <v>124543.43999999994</v>
      </c>
      <c r="G8" s="58">
        <v>117009.51000000001</v>
      </c>
      <c r="H8" s="58">
        <v>115168.42000000011</v>
      </c>
      <c r="I8" s="58">
        <v>133703.7399999999</v>
      </c>
      <c r="J8" s="58">
        <v>117049.85999999999</v>
      </c>
      <c r="K8" s="58">
        <v>118688.26999999989</v>
      </c>
      <c r="L8" s="58">
        <v>114262.38000000002</v>
      </c>
      <c r="M8" s="58">
        <v>112397.08999999997</v>
      </c>
      <c r="N8" s="59">
        <v>1377199.0899999992</v>
      </c>
      <c r="P8" t="s">
        <v>63</v>
      </c>
    </row>
    <row r="9" spans="1:16" x14ac:dyDescent="0.3">
      <c r="A9" s="54" t="s">
        <v>1284</v>
      </c>
      <c r="B9" s="55">
        <v>9624.0400000000009</v>
      </c>
      <c r="C9" s="55">
        <v>10290.739999999994</v>
      </c>
      <c r="D9" s="55">
        <v>12220.589999999995</v>
      </c>
      <c r="E9" s="55">
        <v>7004.51</v>
      </c>
      <c r="F9" s="55">
        <v>30375.749999999982</v>
      </c>
      <c r="G9" s="55">
        <v>11555.789999999995</v>
      </c>
      <c r="H9" s="55">
        <v>7990.3599999999933</v>
      </c>
      <c r="I9" s="55">
        <v>12933.299999999987</v>
      </c>
      <c r="J9" s="55">
        <v>15780.120000000006</v>
      </c>
      <c r="K9" s="55">
        <v>15268.879999999997</v>
      </c>
      <c r="L9" s="55">
        <v>15328.390000000003</v>
      </c>
      <c r="M9" s="55">
        <v>5012.880000000001</v>
      </c>
      <c r="N9" s="56">
        <v>153385.34999999989</v>
      </c>
      <c r="P9" t="s">
        <v>201</v>
      </c>
    </row>
    <row r="10" spans="1:16" x14ac:dyDescent="0.3">
      <c r="A10" s="60" t="s">
        <v>1285</v>
      </c>
      <c r="B10" s="61">
        <v>250299.30999999883</v>
      </c>
      <c r="C10" s="61">
        <v>231736.19999999946</v>
      </c>
      <c r="D10" s="61">
        <v>265217.88000000105</v>
      </c>
      <c r="E10" s="61">
        <v>258979.66999999931</v>
      </c>
      <c r="F10" s="61">
        <v>293139.32000000105</v>
      </c>
      <c r="G10" s="61">
        <v>284419.87999999971</v>
      </c>
      <c r="H10" s="61">
        <v>277582.99000000308</v>
      </c>
      <c r="I10" s="61">
        <v>260527.83000000153</v>
      </c>
      <c r="J10" s="61">
        <v>239931.87000000113</v>
      </c>
      <c r="K10" s="61">
        <v>249799.63999999946</v>
      </c>
      <c r="L10" s="61">
        <v>249988.07999999984</v>
      </c>
      <c r="M10" s="61">
        <v>313883.81999999977</v>
      </c>
      <c r="N10" s="62">
        <v>3175506.4900000161</v>
      </c>
      <c r="P10" t="s">
        <v>1286</v>
      </c>
    </row>
    <row r="11" spans="1:16" x14ac:dyDescent="0.3">
      <c r="A11" s="54" t="s">
        <v>1287</v>
      </c>
      <c r="B11" s="55">
        <v>225501.53000000049</v>
      </c>
      <c r="C11" s="55">
        <v>216388.80000000066</v>
      </c>
      <c r="D11" s="55">
        <v>238253.62000000145</v>
      </c>
      <c r="E11" s="55">
        <v>225867.17000000252</v>
      </c>
      <c r="F11" s="55">
        <v>236503.57000000283</v>
      </c>
      <c r="G11" s="55">
        <v>220136.54000000231</v>
      </c>
      <c r="H11" s="55">
        <v>231083.17000000339</v>
      </c>
      <c r="I11" s="55">
        <v>236365.94999999998</v>
      </c>
      <c r="J11" s="55">
        <v>223425.48999999856</v>
      </c>
      <c r="K11" s="55">
        <v>235878.83000000191</v>
      </c>
      <c r="L11" s="55">
        <v>241778.60000000207</v>
      </c>
      <c r="M11" s="55">
        <v>253367.24000000185</v>
      </c>
      <c r="N11" s="56">
        <v>2784550.5100000291</v>
      </c>
      <c r="P11" t="s">
        <v>201</v>
      </c>
    </row>
    <row r="12" spans="1:16" x14ac:dyDescent="0.3">
      <c r="A12" s="63" t="s">
        <v>1288</v>
      </c>
      <c r="B12" s="64">
        <v>648037.77000000107</v>
      </c>
      <c r="C12" s="64">
        <v>573054.11000000208</v>
      </c>
      <c r="D12" s="64">
        <v>660746.74999999872</v>
      </c>
      <c r="E12" s="64">
        <v>666149.26000000245</v>
      </c>
      <c r="F12" s="64">
        <v>642863.29999999877</v>
      </c>
      <c r="G12" s="64">
        <v>573183.950000001</v>
      </c>
      <c r="H12" s="64">
        <v>689454.79999999923</v>
      </c>
      <c r="I12" s="64">
        <v>681174.41999999969</v>
      </c>
      <c r="J12" s="64">
        <v>700443.17999999819</v>
      </c>
      <c r="K12" s="64">
        <v>650068.87000000093</v>
      </c>
      <c r="L12" s="64">
        <v>650165.78000000166</v>
      </c>
      <c r="M12" s="64">
        <v>755275.05999999878</v>
      </c>
      <c r="N12" s="65">
        <v>7890617.2500000028</v>
      </c>
      <c r="P12" t="s">
        <v>1288</v>
      </c>
    </row>
    <row r="13" spans="1:16" x14ac:dyDescent="0.3">
      <c r="A13" s="60" t="s">
        <v>1289</v>
      </c>
      <c r="B13" s="61">
        <v>240678.7999999992</v>
      </c>
      <c r="C13" s="61">
        <v>223752.60999999952</v>
      </c>
      <c r="D13" s="61">
        <v>242392.14000000007</v>
      </c>
      <c r="E13" s="61">
        <v>225964.1899999998</v>
      </c>
      <c r="F13" s="61">
        <v>226717.41999999931</v>
      </c>
      <c r="G13" s="61">
        <v>224785.67999999918</v>
      </c>
      <c r="H13" s="61">
        <v>245678.58000000109</v>
      </c>
      <c r="I13" s="61">
        <v>237217.69000000117</v>
      </c>
      <c r="J13" s="61">
        <v>240902.39000000109</v>
      </c>
      <c r="K13" s="61">
        <v>249460.03999999957</v>
      </c>
      <c r="L13" s="61">
        <v>250142.78000000014</v>
      </c>
      <c r="M13" s="61">
        <v>264807.80000000139</v>
      </c>
      <c r="N13" s="62">
        <v>2872500.1200000062</v>
      </c>
      <c r="P13" t="s">
        <v>1286</v>
      </c>
    </row>
    <row r="14" spans="1:16" x14ac:dyDescent="0.3">
      <c r="A14" s="54" t="s">
        <v>67</v>
      </c>
      <c r="B14" s="55">
        <v>236557.80000000016</v>
      </c>
      <c r="C14" s="55">
        <v>203550.28000000061</v>
      </c>
      <c r="D14" s="55">
        <v>236071.19000000125</v>
      </c>
      <c r="E14" s="55">
        <v>207729.02000000025</v>
      </c>
      <c r="F14" s="55">
        <v>226069.57999999952</v>
      </c>
      <c r="G14" s="55">
        <v>212158.47000000015</v>
      </c>
      <c r="H14" s="55">
        <v>221385.75000000215</v>
      </c>
      <c r="I14" s="55">
        <v>207940.93000000186</v>
      </c>
      <c r="J14" s="55">
        <v>217541.53000000215</v>
      </c>
      <c r="K14" s="55">
        <v>213831.64000000019</v>
      </c>
      <c r="L14" s="55">
        <v>219630.3199999996</v>
      </c>
      <c r="M14" s="55">
        <v>217626.45000000083</v>
      </c>
      <c r="N14" s="56">
        <v>2620092.9600000232</v>
      </c>
      <c r="P14" t="s">
        <v>201</v>
      </c>
    </row>
    <row r="15" spans="1:16" x14ac:dyDescent="0.3">
      <c r="A15" s="48" t="s">
        <v>1290</v>
      </c>
      <c r="B15" s="49">
        <v>2663.46</v>
      </c>
      <c r="C15" s="49">
        <v>2579.9999999999995</v>
      </c>
      <c r="D15" s="49">
        <v>2515</v>
      </c>
      <c r="E15" s="49">
        <v>2697.5599999999995</v>
      </c>
      <c r="F15" s="49">
        <v>2677.079999999999</v>
      </c>
      <c r="G15" s="49">
        <v>2479.08</v>
      </c>
      <c r="H15" s="49">
        <v>2667.18</v>
      </c>
      <c r="I15" s="49">
        <v>2572.8200000000002</v>
      </c>
      <c r="J15" s="49">
        <v>2755.9100000000003</v>
      </c>
      <c r="K15" s="49">
        <v>2531.69</v>
      </c>
      <c r="L15" s="49">
        <v>2519.08</v>
      </c>
      <c r="M15" s="49">
        <v>2996.9900000000007</v>
      </c>
      <c r="N15" s="50">
        <v>31655.85</v>
      </c>
      <c r="P15" t="s">
        <v>201</v>
      </c>
    </row>
    <row r="16" spans="1:16" x14ac:dyDescent="0.3">
      <c r="A16" s="57" t="s">
        <v>83</v>
      </c>
      <c r="B16" s="58">
        <v>211002.05999999982</v>
      </c>
      <c r="C16" s="58">
        <v>184526.83999999982</v>
      </c>
      <c r="D16" s="58">
        <v>199662.8299999997</v>
      </c>
      <c r="E16" s="58">
        <v>195582.83000000022</v>
      </c>
      <c r="F16" s="58">
        <v>226982.42999999985</v>
      </c>
      <c r="G16" s="58">
        <v>227015.10999999949</v>
      </c>
      <c r="H16" s="58">
        <v>250713.96999999991</v>
      </c>
      <c r="I16" s="58">
        <v>252053.61999999991</v>
      </c>
      <c r="J16" s="58">
        <v>239941.94999999978</v>
      </c>
      <c r="K16" s="58">
        <v>248402.12999999995</v>
      </c>
      <c r="L16" s="58">
        <v>237593.77000000016</v>
      </c>
      <c r="M16" s="58">
        <v>258294.97999999975</v>
      </c>
      <c r="N16" s="59">
        <v>2731772.5200000005</v>
      </c>
      <c r="P16" t="s">
        <v>83</v>
      </c>
    </row>
    <row r="17" spans="1:16" x14ac:dyDescent="0.3">
      <c r="A17" s="54" t="s">
        <v>1291</v>
      </c>
      <c r="B17" s="55">
        <v>61535.599999999977</v>
      </c>
      <c r="C17" s="55">
        <v>54261.409999999931</v>
      </c>
      <c r="D17" s="55">
        <v>65471.459999999875</v>
      </c>
      <c r="E17" s="55">
        <v>63983.599999999984</v>
      </c>
      <c r="F17" s="55">
        <v>68136.729999999909</v>
      </c>
      <c r="G17" s="55">
        <v>60050.509999999951</v>
      </c>
      <c r="H17" s="55">
        <v>58254.819999999942</v>
      </c>
      <c r="I17" s="55">
        <v>53990.589999999873</v>
      </c>
      <c r="J17" s="55">
        <v>57037.459999999832</v>
      </c>
      <c r="K17" s="55">
        <v>57658.720000000008</v>
      </c>
      <c r="L17" s="55">
        <v>53469.119999999995</v>
      </c>
      <c r="M17" s="55">
        <v>49292.979999999865</v>
      </c>
      <c r="N17" s="56">
        <v>703142.99999999814</v>
      </c>
      <c r="P17" t="s">
        <v>201</v>
      </c>
    </row>
    <row r="18" spans="1:16" x14ac:dyDescent="0.3">
      <c r="A18" s="60" t="s">
        <v>1292</v>
      </c>
      <c r="B18" s="61">
        <v>23942.359999999997</v>
      </c>
      <c r="C18" s="61">
        <v>33741.989999999991</v>
      </c>
      <c r="D18" s="61">
        <v>74523.639999999898</v>
      </c>
      <c r="E18" s="61">
        <v>92656.09</v>
      </c>
      <c r="F18" s="61">
        <v>21328.370000000006</v>
      </c>
      <c r="G18" s="61">
        <v>16738.329999999984</v>
      </c>
      <c r="H18" s="61">
        <v>19945.710000000021</v>
      </c>
      <c r="I18" s="61">
        <v>20845.559999999961</v>
      </c>
      <c r="J18" s="61">
        <v>24623.81</v>
      </c>
      <c r="K18" s="61">
        <v>21839.140000000007</v>
      </c>
      <c r="L18" s="61">
        <v>21533.749999999989</v>
      </c>
      <c r="M18" s="61">
        <v>18427.079999999994</v>
      </c>
      <c r="N18" s="62">
        <v>390145.82999999996</v>
      </c>
      <c r="P18" t="s">
        <v>1286</v>
      </c>
    </row>
    <row r="19" spans="1:16" ht="15.6" customHeight="1" x14ac:dyDescent="0.3">
      <c r="A19" s="57" t="s">
        <v>92</v>
      </c>
      <c r="B19" s="58">
        <v>88975.070000000022</v>
      </c>
      <c r="C19" s="58">
        <v>90874.569999999978</v>
      </c>
      <c r="D19" s="58">
        <v>101072.24000000002</v>
      </c>
      <c r="E19" s="58">
        <v>82499.609999999971</v>
      </c>
      <c r="F19" s="58">
        <v>99406.940000000104</v>
      </c>
      <c r="G19" s="58">
        <v>97410.019999999931</v>
      </c>
      <c r="H19" s="58">
        <v>95174.57000000008</v>
      </c>
      <c r="I19" s="58">
        <v>100833.84000000007</v>
      </c>
      <c r="J19" s="58">
        <v>97801.59</v>
      </c>
      <c r="K19" s="58">
        <v>100742.54999999997</v>
      </c>
      <c r="L19" s="58">
        <v>101118.45000000001</v>
      </c>
      <c r="M19" s="58">
        <v>102671.54999999997</v>
      </c>
      <c r="N19" s="59">
        <v>1158580.9999999998</v>
      </c>
      <c r="P19" t="s">
        <v>92</v>
      </c>
    </row>
    <row r="20" spans="1:16" x14ac:dyDescent="0.3">
      <c r="A20" s="51" t="s">
        <v>64</v>
      </c>
      <c r="B20" s="52">
        <v>4672168.2499999721</v>
      </c>
      <c r="C20" s="52">
        <v>4395175.2199999513</v>
      </c>
      <c r="D20" s="52">
        <v>5003146.910000029</v>
      </c>
      <c r="E20" s="52">
        <v>5068465.7299999734</v>
      </c>
      <c r="F20" s="52">
        <v>5058912.5099999662</v>
      </c>
      <c r="G20" s="52">
        <v>4808087.6700000139</v>
      </c>
      <c r="H20" s="52">
        <v>5011604.5899999198</v>
      </c>
      <c r="I20" s="52">
        <v>5020870.8700000066</v>
      </c>
      <c r="J20" s="52">
        <v>4777027.7400000095</v>
      </c>
      <c r="K20" s="52">
        <v>5009122.1799999876</v>
      </c>
      <c r="L20" s="52">
        <v>5078982.2499999627</v>
      </c>
      <c r="M20" s="52">
        <v>6042576.5700000748</v>
      </c>
      <c r="N20" s="52">
        <v>59946140.489999868</v>
      </c>
    </row>
    <row r="21" spans="1:16" x14ac:dyDescent="0.3">
      <c r="B21" s="53">
        <f t="shared" ref="B21:G21" si="0">B19+B16+B8</f>
        <v>406142.97999999981</v>
      </c>
      <c r="C21" s="53">
        <f t="shared" si="0"/>
        <v>377199.89999999991</v>
      </c>
      <c r="D21" s="53">
        <f t="shared" si="0"/>
        <v>415279.1999999996</v>
      </c>
      <c r="E21" s="53">
        <f t="shared" si="0"/>
        <v>379950.35000000027</v>
      </c>
      <c r="F21" s="53">
        <f t="shared" si="0"/>
        <v>450932.80999999988</v>
      </c>
      <c r="G21" s="53">
        <f t="shared" si="0"/>
        <v>441434.63999999943</v>
      </c>
      <c r="H21" s="53">
        <f t="shared" ref="H21" si="1">H19+H16+H8</f>
        <v>461056.96000000008</v>
      </c>
      <c r="I21" s="53">
        <f t="shared" ref="I21:N21" si="2">I19+I16+I8</f>
        <v>486591.19999999984</v>
      </c>
      <c r="J21" s="53">
        <f t="shared" si="2"/>
        <v>454793.39999999979</v>
      </c>
      <c r="K21" s="53">
        <f t="shared" si="2"/>
        <v>467832.94999999984</v>
      </c>
      <c r="L21" s="53">
        <f t="shared" si="2"/>
        <v>452974.60000000021</v>
      </c>
      <c r="M21" s="53">
        <f t="shared" si="2"/>
        <v>473363.6199999997</v>
      </c>
      <c r="N21" s="53">
        <f t="shared" si="2"/>
        <v>5267552.6099999994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18ED-BD31-484F-B6F7-EFD05DA8557D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472296.9300000004</v>
      </c>
      <c r="C2" s="45">
        <v>445331.34000000014</v>
      </c>
      <c r="D2" s="45">
        <v>483643.4599999999</v>
      </c>
      <c r="E2" s="45">
        <v>493821.77000000031</v>
      </c>
      <c r="F2" s="45">
        <v>519102.58999999962</v>
      </c>
      <c r="G2" s="45">
        <v>477297.4500000003</v>
      </c>
      <c r="H2" s="45">
        <v>517494.59999999986</v>
      </c>
      <c r="I2" s="45">
        <v>495395.7</v>
      </c>
      <c r="J2" s="45">
        <v>454508.25999999995</v>
      </c>
      <c r="K2" s="45">
        <v>480000.14000000025</v>
      </c>
      <c r="L2" s="45">
        <v>449350.79000000004</v>
      </c>
      <c r="M2" s="45">
        <v>530708.88999999978</v>
      </c>
      <c r="N2" s="46">
        <v>5818951.9199999943</v>
      </c>
      <c r="P2" s="2" t="s">
        <v>24</v>
      </c>
    </row>
    <row r="3" spans="1:16" x14ac:dyDescent="0.3">
      <c r="A3" s="54" t="s">
        <v>1279</v>
      </c>
      <c r="B3" s="55">
        <v>275558.81999999995</v>
      </c>
      <c r="C3" s="55">
        <v>256559.34999999974</v>
      </c>
      <c r="D3" s="55">
        <v>287097.72999999963</v>
      </c>
      <c r="E3" s="55">
        <v>291862.45</v>
      </c>
      <c r="F3" s="55">
        <v>326613.63000000006</v>
      </c>
      <c r="G3" s="55">
        <v>325953.08000000054</v>
      </c>
      <c r="H3" s="55">
        <v>322388.12999999995</v>
      </c>
      <c r="I3" s="55">
        <v>295989.21999999991</v>
      </c>
      <c r="J3" s="55">
        <v>256545.91999999981</v>
      </c>
      <c r="K3" s="55">
        <v>279020.32999999973</v>
      </c>
      <c r="L3" s="55">
        <v>254806.61999999985</v>
      </c>
      <c r="M3" s="55">
        <v>226259.04999999976</v>
      </c>
      <c r="N3" s="56">
        <v>3398654.3300000024</v>
      </c>
      <c r="P3" t="s">
        <v>201</v>
      </c>
    </row>
    <row r="4" spans="1:16" x14ac:dyDescent="0.3">
      <c r="A4" s="54" t="s">
        <v>1280</v>
      </c>
      <c r="B4" s="55">
        <v>327180.66999999911</v>
      </c>
      <c r="C4" s="55">
        <v>308100.82000000041</v>
      </c>
      <c r="D4" s="55">
        <v>352466.18000000081</v>
      </c>
      <c r="E4" s="55">
        <v>353207.85999999993</v>
      </c>
      <c r="F4" s="55">
        <v>364516.26000000094</v>
      </c>
      <c r="G4" s="55">
        <v>384042.90000000712</v>
      </c>
      <c r="H4" s="55">
        <v>397392.31000000163</v>
      </c>
      <c r="I4" s="55">
        <v>368390.46000000171</v>
      </c>
      <c r="J4" s="55">
        <v>327903.02000000043</v>
      </c>
      <c r="K4" s="55">
        <v>348467.60000000277</v>
      </c>
      <c r="L4" s="55">
        <v>361806.98000000027</v>
      </c>
      <c r="M4" s="55">
        <v>482455.50000000093</v>
      </c>
      <c r="N4" s="56">
        <v>4375930.5600000536</v>
      </c>
      <c r="P4" t="s">
        <v>201</v>
      </c>
    </row>
    <row r="5" spans="1:16" x14ac:dyDescent="0.3">
      <c r="A5" s="54" t="s">
        <v>1281</v>
      </c>
      <c r="B5" s="55">
        <v>74431.109999999753</v>
      </c>
      <c r="C5" s="55">
        <v>67045.469999999768</v>
      </c>
      <c r="D5" s="55">
        <v>75341.029999999751</v>
      </c>
      <c r="E5" s="55">
        <v>73631.999999999782</v>
      </c>
      <c r="F5" s="55">
        <v>77822.779999999737</v>
      </c>
      <c r="G5" s="55">
        <v>75544.259999999864</v>
      </c>
      <c r="H5" s="55">
        <v>72193.859999999724</v>
      </c>
      <c r="I5" s="55">
        <v>75018.549999999683</v>
      </c>
      <c r="J5" s="55">
        <v>69185.239999999598</v>
      </c>
      <c r="K5" s="55">
        <v>77402.869999999733</v>
      </c>
      <c r="L5" s="55">
        <v>71077.399999999674</v>
      </c>
      <c r="M5" s="55">
        <v>79714.859999999651</v>
      </c>
      <c r="N5" s="56">
        <v>888409.43000000389</v>
      </c>
      <c r="P5" t="s">
        <v>201</v>
      </c>
    </row>
    <row r="6" spans="1:16" x14ac:dyDescent="0.3">
      <c r="A6" s="54" t="s">
        <v>1282</v>
      </c>
      <c r="B6" s="55">
        <v>259380.15999999957</v>
      </c>
      <c r="C6" s="55">
        <v>272377.62999999989</v>
      </c>
      <c r="D6" s="55">
        <v>310951.14999999898</v>
      </c>
      <c r="E6" s="55">
        <v>282556.19999999978</v>
      </c>
      <c r="F6" s="55">
        <v>278490.73999999941</v>
      </c>
      <c r="G6" s="55">
        <v>249035.19000000146</v>
      </c>
      <c r="H6" s="55">
        <v>257825.40999999948</v>
      </c>
      <c r="I6" s="55">
        <v>274058.13999999943</v>
      </c>
      <c r="J6" s="55">
        <v>253503.07999999929</v>
      </c>
      <c r="K6" s="55">
        <v>262298.37999999907</v>
      </c>
      <c r="L6" s="55">
        <v>279961.49999999965</v>
      </c>
      <c r="M6" s="55">
        <v>415539.83999999904</v>
      </c>
      <c r="N6" s="56">
        <v>3395977.4200000251</v>
      </c>
      <c r="P6" t="s">
        <v>201</v>
      </c>
    </row>
    <row r="7" spans="1:16" x14ac:dyDescent="0.3">
      <c r="A7" s="54" t="s">
        <v>1283</v>
      </c>
      <c r="B7" s="55">
        <v>82694.749999999782</v>
      </c>
      <c r="C7" s="55">
        <v>90179.729999999676</v>
      </c>
      <c r="D7" s="55">
        <v>110844.87999999971</v>
      </c>
      <c r="E7" s="55">
        <v>288988.04999999958</v>
      </c>
      <c r="F7" s="55">
        <v>92768.399999999703</v>
      </c>
      <c r="G7" s="55">
        <v>101328.26999999923</v>
      </c>
      <c r="H7" s="55">
        <v>110524.52999999962</v>
      </c>
      <c r="I7" s="55">
        <v>95877.649999999572</v>
      </c>
      <c r="J7" s="55">
        <v>85099.079999999653</v>
      </c>
      <c r="K7" s="55">
        <v>101458.28999999966</v>
      </c>
      <c r="L7" s="55">
        <v>100897.88999999952</v>
      </c>
      <c r="M7" s="55">
        <v>141571.67999999959</v>
      </c>
      <c r="N7" s="56">
        <v>1402233.2000000053</v>
      </c>
      <c r="P7" t="s">
        <v>201</v>
      </c>
    </row>
    <row r="8" spans="1:16" x14ac:dyDescent="0.3">
      <c r="A8" s="57" t="s">
        <v>63</v>
      </c>
      <c r="B8" s="58">
        <v>39745.040000000008</v>
      </c>
      <c r="C8" s="58">
        <v>33947.910000000003</v>
      </c>
      <c r="D8" s="58">
        <v>43183.310000000019</v>
      </c>
      <c r="E8" s="58">
        <v>44045.200000000026</v>
      </c>
      <c r="F8" s="58">
        <v>55752.019999999975</v>
      </c>
      <c r="G8" s="58">
        <v>52612.42</v>
      </c>
      <c r="H8" s="58">
        <v>54752.640000000014</v>
      </c>
      <c r="I8" s="58">
        <v>59063.79000000003</v>
      </c>
      <c r="J8" s="58">
        <v>50213.400000000031</v>
      </c>
      <c r="K8" s="58">
        <v>47274.619999999966</v>
      </c>
      <c r="L8" s="58">
        <v>44286.990000000013</v>
      </c>
      <c r="M8" s="58">
        <v>51332.290000000037</v>
      </c>
      <c r="N8" s="59">
        <v>576209.63000000012</v>
      </c>
      <c r="P8" t="s">
        <v>63</v>
      </c>
    </row>
    <row r="9" spans="1:16" x14ac:dyDescent="0.3">
      <c r="A9" s="54" t="s">
        <v>1284</v>
      </c>
      <c r="B9" s="55">
        <v>4658.4700000000021</v>
      </c>
      <c r="C9" s="55">
        <v>5770.6800000000021</v>
      </c>
      <c r="D9" s="55">
        <v>7565.3000000000029</v>
      </c>
      <c r="E9" s="55">
        <v>5700.6000000000013</v>
      </c>
      <c r="F9" s="55">
        <v>18455.189999999999</v>
      </c>
      <c r="G9" s="55">
        <v>5473.05</v>
      </c>
      <c r="H9" s="55">
        <v>6648.1300000000019</v>
      </c>
      <c r="I9" s="55">
        <v>11328.82</v>
      </c>
      <c r="J9" s="55">
        <v>12432.75</v>
      </c>
      <c r="K9" s="55">
        <v>12079.520000000002</v>
      </c>
      <c r="L9" s="55">
        <v>15471.180000000004</v>
      </c>
      <c r="M9" s="55">
        <v>9225.380000000001</v>
      </c>
      <c r="N9" s="56">
        <v>114809.06999999979</v>
      </c>
      <c r="P9" t="s">
        <v>201</v>
      </c>
    </row>
    <row r="10" spans="1:16" x14ac:dyDescent="0.3">
      <c r="A10" s="60" t="s">
        <v>1285</v>
      </c>
      <c r="B10" s="61">
        <v>175177.91999999961</v>
      </c>
      <c r="C10" s="61">
        <v>168334.98999999935</v>
      </c>
      <c r="D10" s="61">
        <v>186926.15999999933</v>
      </c>
      <c r="E10" s="61">
        <v>183305.86999999944</v>
      </c>
      <c r="F10" s="61">
        <v>210000.8699999993</v>
      </c>
      <c r="G10" s="61">
        <v>205305.44999999925</v>
      </c>
      <c r="H10" s="61">
        <v>199735.1099999992</v>
      </c>
      <c r="I10" s="61">
        <v>185109.52999999939</v>
      </c>
      <c r="J10" s="61">
        <v>175086.4499999994</v>
      </c>
      <c r="K10" s="61">
        <v>180822.98999999961</v>
      </c>
      <c r="L10" s="61">
        <v>170822.7599999996</v>
      </c>
      <c r="M10" s="61">
        <v>208895.66999999923</v>
      </c>
      <c r="N10" s="62">
        <v>2249523.7700000135</v>
      </c>
      <c r="P10" t="s">
        <v>1286</v>
      </c>
    </row>
    <row r="11" spans="1:16" x14ac:dyDescent="0.3">
      <c r="A11" s="54" t="s">
        <v>1287</v>
      </c>
      <c r="B11" s="55">
        <v>127557.06999999934</v>
      </c>
      <c r="C11" s="55">
        <v>120728.23999999936</v>
      </c>
      <c r="D11" s="55">
        <v>133968.07999999958</v>
      </c>
      <c r="E11" s="55">
        <v>127667.72999999992</v>
      </c>
      <c r="F11" s="55">
        <v>133108.40999999989</v>
      </c>
      <c r="G11" s="55">
        <v>130590.46000000008</v>
      </c>
      <c r="H11" s="55">
        <v>132609.77999999947</v>
      </c>
      <c r="I11" s="55">
        <v>132479.59999999948</v>
      </c>
      <c r="J11" s="55">
        <v>123382.25999999951</v>
      </c>
      <c r="K11" s="55">
        <v>123544.64999999981</v>
      </c>
      <c r="L11" s="55">
        <v>130162.55999999944</v>
      </c>
      <c r="M11" s="55">
        <v>130963.06999999969</v>
      </c>
      <c r="N11" s="56">
        <v>1546761.9100000195</v>
      </c>
      <c r="P11" t="s">
        <v>201</v>
      </c>
    </row>
    <row r="12" spans="1:16" x14ac:dyDescent="0.3">
      <c r="A12" s="63" t="s">
        <v>1288</v>
      </c>
      <c r="B12" s="64">
        <v>459703.47999999963</v>
      </c>
      <c r="C12" s="64">
        <v>433472.79999999993</v>
      </c>
      <c r="D12" s="64">
        <v>486466.68999999948</v>
      </c>
      <c r="E12" s="64">
        <v>471087.56000000052</v>
      </c>
      <c r="F12" s="64">
        <v>448515.08999999985</v>
      </c>
      <c r="G12" s="64">
        <v>389191.40999999957</v>
      </c>
      <c r="H12" s="64">
        <v>455596.17</v>
      </c>
      <c r="I12" s="64">
        <v>478006.01000000013</v>
      </c>
      <c r="J12" s="64">
        <v>457732.74000000028</v>
      </c>
      <c r="K12" s="64">
        <v>426335.9500000003</v>
      </c>
      <c r="L12" s="64">
        <v>411729.70999999973</v>
      </c>
      <c r="M12" s="64">
        <v>450383.5900000002</v>
      </c>
      <c r="N12" s="65">
        <v>5368221.2000000142</v>
      </c>
      <c r="P12" t="s">
        <v>1288</v>
      </c>
    </row>
    <row r="13" spans="1:16" x14ac:dyDescent="0.3">
      <c r="A13" s="60" t="s">
        <v>1289</v>
      </c>
      <c r="B13" s="61">
        <v>166606.83999999985</v>
      </c>
      <c r="C13" s="61">
        <v>157311.95999999988</v>
      </c>
      <c r="D13" s="61">
        <v>181182.48999999979</v>
      </c>
      <c r="E13" s="61">
        <v>168710.86999999982</v>
      </c>
      <c r="F13" s="61">
        <v>176237.69999999969</v>
      </c>
      <c r="G13" s="61">
        <v>169581.66999999934</v>
      </c>
      <c r="H13" s="61">
        <v>177352.01999999984</v>
      </c>
      <c r="I13" s="61">
        <v>180868.35999999967</v>
      </c>
      <c r="J13" s="61">
        <v>178000.37999999966</v>
      </c>
      <c r="K13" s="61">
        <v>181855.63999999958</v>
      </c>
      <c r="L13" s="61">
        <v>163243.77999999971</v>
      </c>
      <c r="M13" s="61">
        <v>174854.47999999986</v>
      </c>
      <c r="N13" s="62">
        <v>2075806.1900000053</v>
      </c>
      <c r="P13" t="s">
        <v>1286</v>
      </c>
    </row>
    <row r="14" spans="1:16" x14ac:dyDescent="0.3">
      <c r="A14" s="54" t="s">
        <v>67</v>
      </c>
      <c r="B14" s="55">
        <v>153907.17999999941</v>
      </c>
      <c r="C14" s="55">
        <v>132496.48999999923</v>
      </c>
      <c r="D14" s="55">
        <v>155371.87999999931</v>
      </c>
      <c r="E14" s="55">
        <v>137113.8999999995</v>
      </c>
      <c r="F14" s="55">
        <v>147146.31999999948</v>
      </c>
      <c r="G14" s="55">
        <v>128764.7299999995</v>
      </c>
      <c r="H14" s="55">
        <v>149867.47999999954</v>
      </c>
      <c r="I14" s="55">
        <v>139842.25999999949</v>
      </c>
      <c r="J14" s="55">
        <v>132491.41999999955</v>
      </c>
      <c r="K14" s="55">
        <v>138583.00999999949</v>
      </c>
      <c r="L14" s="55">
        <v>138390.42999999956</v>
      </c>
      <c r="M14" s="55">
        <v>134129.11999999953</v>
      </c>
      <c r="N14" s="56">
        <v>1688104.2200000179</v>
      </c>
      <c r="P14" t="s">
        <v>201</v>
      </c>
    </row>
    <row r="15" spans="1:16" x14ac:dyDescent="0.3">
      <c r="A15" s="48" t="s">
        <v>1290</v>
      </c>
      <c r="B15" s="49">
        <v>3343.2</v>
      </c>
      <c r="C15" s="49">
        <v>2901.3999999999996</v>
      </c>
      <c r="D15" s="49">
        <v>3240.7</v>
      </c>
      <c r="E15" s="49">
        <v>3462.08</v>
      </c>
      <c r="F15" s="49">
        <v>3472.88</v>
      </c>
      <c r="G15" s="49">
        <v>3254.1999999999994</v>
      </c>
      <c r="H15" s="49">
        <v>4013.6799999999994</v>
      </c>
      <c r="I15" s="49">
        <v>3492.88</v>
      </c>
      <c r="J15" s="49">
        <v>3066.4999999999991</v>
      </c>
      <c r="K15" s="49">
        <v>3441.3</v>
      </c>
      <c r="L15" s="49">
        <v>3035.91</v>
      </c>
      <c r="M15" s="49">
        <v>3202.49</v>
      </c>
      <c r="N15" s="50">
        <v>39927.220000000008</v>
      </c>
      <c r="P15" t="s">
        <v>201</v>
      </c>
    </row>
    <row r="16" spans="1:16" x14ac:dyDescent="0.3">
      <c r="A16" s="57" t="s">
        <v>83</v>
      </c>
      <c r="B16" s="58">
        <v>135458.26999999999</v>
      </c>
      <c r="C16" s="58">
        <v>124425.70999999995</v>
      </c>
      <c r="D16" s="58">
        <v>125476.22999999998</v>
      </c>
      <c r="E16" s="58">
        <v>132430.50999999986</v>
      </c>
      <c r="F16" s="58">
        <v>151011.84999999998</v>
      </c>
      <c r="G16" s="58">
        <v>155826.88000000003</v>
      </c>
      <c r="H16" s="58">
        <v>165719.31000000008</v>
      </c>
      <c r="I16" s="58">
        <v>157259.34000000011</v>
      </c>
      <c r="J16" s="58">
        <v>141494.79999999996</v>
      </c>
      <c r="K16" s="58">
        <v>146975.91999999995</v>
      </c>
      <c r="L16" s="58">
        <v>121525.17999999992</v>
      </c>
      <c r="M16" s="58">
        <v>140065.01000000007</v>
      </c>
      <c r="N16" s="59">
        <v>1697669.0099999993</v>
      </c>
      <c r="P16" t="s">
        <v>83</v>
      </c>
    </row>
    <row r="17" spans="1:16" x14ac:dyDescent="0.3">
      <c r="A17" s="54" t="s">
        <v>1291</v>
      </c>
      <c r="B17" s="55">
        <v>33795.649999999987</v>
      </c>
      <c r="C17" s="55">
        <v>34219.329999999994</v>
      </c>
      <c r="D17" s="55">
        <v>38333.329999999994</v>
      </c>
      <c r="E17" s="55">
        <v>35925.020000000004</v>
      </c>
      <c r="F17" s="55">
        <v>39046.310000000012</v>
      </c>
      <c r="G17" s="55">
        <v>36787.379999999961</v>
      </c>
      <c r="H17" s="55">
        <v>35896.620000000003</v>
      </c>
      <c r="I17" s="55">
        <v>35326.15</v>
      </c>
      <c r="J17" s="55">
        <v>34524.32</v>
      </c>
      <c r="K17" s="55">
        <v>32462.12000000001</v>
      </c>
      <c r="L17" s="55">
        <v>33568.899999999994</v>
      </c>
      <c r="M17" s="55">
        <v>31599.610000000011</v>
      </c>
      <c r="N17" s="56">
        <v>421484.73999999953</v>
      </c>
      <c r="P17" t="s">
        <v>201</v>
      </c>
    </row>
    <row r="18" spans="1:16" x14ac:dyDescent="0.3">
      <c r="A18" s="60" t="s">
        <v>1292</v>
      </c>
      <c r="B18" s="61">
        <v>18158.770000000004</v>
      </c>
      <c r="C18" s="61">
        <v>20141.720000000008</v>
      </c>
      <c r="D18" s="61">
        <v>51812.770000000004</v>
      </c>
      <c r="E18" s="61">
        <v>77176.45</v>
      </c>
      <c r="F18" s="61">
        <v>12885.860000000008</v>
      </c>
      <c r="G18" s="61">
        <v>12366.900000000005</v>
      </c>
      <c r="H18" s="61">
        <v>12810.610000000004</v>
      </c>
      <c r="I18" s="61">
        <v>15377.84</v>
      </c>
      <c r="J18" s="61">
        <v>17579.870000000003</v>
      </c>
      <c r="K18" s="61">
        <v>15943.080000000005</v>
      </c>
      <c r="L18" s="61">
        <v>17418.160000000007</v>
      </c>
      <c r="M18" s="61">
        <v>21333.430000000004</v>
      </c>
      <c r="N18" s="62">
        <v>293005.45999999973</v>
      </c>
      <c r="P18" t="s">
        <v>1286</v>
      </c>
    </row>
    <row r="19" spans="1:16" ht="15.6" customHeight="1" x14ac:dyDescent="0.3">
      <c r="A19" s="57" t="s">
        <v>92</v>
      </c>
      <c r="B19" s="58">
        <v>29623.520000000011</v>
      </c>
      <c r="C19" s="58">
        <v>29019.909999999996</v>
      </c>
      <c r="D19" s="58">
        <v>32173.459999999995</v>
      </c>
      <c r="E19" s="58">
        <v>31878.25</v>
      </c>
      <c r="F19" s="58">
        <v>35938.089999999989</v>
      </c>
      <c r="G19" s="58">
        <v>36114.500000000015</v>
      </c>
      <c r="H19" s="58">
        <v>35152.65</v>
      </c>
      <c r="I19" s="58">
        <v>30917.64</v>
      </c>
      <c r="J19" s="58">
        <v>28603.18</v>
      </c>
      <c r="K19" s="58">
        <v>34734.44</v>
      </c>
      <c r="L19" s="58">
        <v>29573</v>
      </c>
      <c r="M19" s="58">
        <v>36511.039999999994</v>
      </c>
      <c r="N19" s="59">
        <v>390239.68000000005</v>
      </c>
      <c r="P19" t="s">
        <v>92</v>
      </c>
    </row>
    <row r="20" spans="1:16" x14ac:dyDescent="0.3">
      <c r="A20" s="51" t="s">
        <v>64</v>
      </c>
      <c r="B20" s="52">
        <v>2839277.8500000052</v>
      </c>
      <c r="C20" s="52">
        <v>2702365.4800000004</v>
      </c>
      <c r="D20" s="52">
        <v>3066044.8300000052</v>
      </c>
      <c r="E20" s="52">
        <v>3202572.3699999978</v>
      </c>
      <c r="F20" s="52">
        <v>3090884.9899999988</v>
      </c>
      <c r="G20" s="52">
        <v>2939070.1999999955</v>
      </c>
      <c r="H20" s="52">
        <v>3107973.0400000047</v>
      </c>
      <c r="I20" s="52">
        <v>3033801.9400000046</v>
      </c>
      <c r="J20" s="52">
        <v>2801352.6700000037</v>
      </c>
      <c r="K20" s="52">
        <v>2892700.8500000034</v>
      </c>
      <c r="L20" s="52">
        <v>2797129.7400000012</v>
      </c>
      <c r="M20" s="52">
        <v>3268745.0000000028</v>
      </c>
      <c r="N20" s="52">
        <v>35741918.960000016</v>
      </c>
    </row>
    <row r="21" spans="1:16" x14ac:dyDescent="0.3">
      <c r="B21" s="53">
        <f t="shared" ref="B21:N21" si="0">B19+B16+B8</f>
        <v>204826.83000000002</v>
      </c>
      <c r="C21" s="53">
        <f t="shared" si="0"/>
        <v>187393.52999999994</v>
      </c>
      <c r="D21" s="53">
        <f t="shared" si="0"/>
        <v>200833</v>
      </c>
      <c r="E21" s="53">
        <f t="shared" si="0"/>
        <v>208353.9599999999</v>
      </c>
      <c r="F21" s="53">
        <f t="shared" si="0"/>
        <v>242701.95999999996</v>
      </c>
      <c r="G21" s="53">
        <f t="shared" si="0"/>
        <v>244553.80000000005</v>
      </c>
      <c r="H21" s="53">
        <f t="shared" si="0"/>
        <v>255624.60000000009</v>
      </c>
      <c r="I21" s="53">
        <f t="shared" si="0"/>
        <v>247240.77000000014</v>
      </c>
      <c r="J21" s="53">
        <f t="shared" si="0"/>
        <v>220311.37999999998</v>
      </c>
      <c r="K21" s="53">
        <f t="shared" si="0"/>
        <v>228984.97999999992</v>
      </c>
      <c r="L21" s="53">
        <f t="shared" si="0"/>
        <v>195385.16999999995</v>
      </c>
      <c r="M21" s="53">
        <f t="shared" si="0"/>
        <v>227908.34000000008</v>
      </c>
      <c r="N21" s="53">
        <f t="shared" si="0"/>
        <v>2664118.3199999994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8290-41EF-4878-858C-29A529586482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500341.97000000009</v>
      </c>
      <c r="C2" s="45">
        <v>491054.19999999995</v>
      </c>
      <c r="D2" s="45">
        <v>534090.08000000019</v>
      </c>
      <c r="E2" s="45">
        <v>514404.60999999964</v>
      </c>
      <c r="F2" s="45">
        <v>563234.27000000025</v>
      </c>
      <c r="G2" s="45">
        <v>514292.99999999977</v>
      </c>
      <c r="H2" s="45">
        <v>503441.94000000029</v>
      </c>
      <c r="I2" s="45">
        <v>528234.9700000002</v>
      </c>
      <c r="J2" s="45">
        <v>486154.13000000041</v>
      </c>
      <c r="K2" s="45">
        <v>509265.75999999978</v>
      </c>
      <c r="L2" s="45">
        <v>534264.98999999976</v>
      </c>
      <c r="M2" s="45">
        <v>683557.45999999961</v>
      </c>
      <c r="N2" s="46">
        <v>6362337.3800000018</v>
      </c>
      <c r="P2" s="2" t="s">
        <v>24</v>
      </c>
    </row>
    <row r="3" spans="1:16" x14ac:dyDescent="0.3">
      <c r="A3" s="54" t="s">
        <v>1279</v>
      </c>
      <c r="B3" s="55">
        <v>348592.31000000011</v>
      </c>
      <c r="C3" s="55">
        <v>326782.53999999998</v>
      </c>
      <c r="D3" s="55">
        <v>365000.56999999989</v>
      </c>
      <c r="E3" s="55">
        <v>350327.95999999996</v>
      </c>
      <c r="F3" s="55">
        <v>396809.02</v>
      </c>
      <c r="G3" s="55">
        <v>392425.77</v>
      </c>
      <c r="H3" s="55">
        <v>392622.1399999999</v>
      </c>
      <c r="I3" s="55">
        <v>376196.45000000059</v>
      </c>
      <c r="J3" s="55">
        <v>352182.00999999966</v>
      </c>
      <c r="K3" s="55">
        <v>358003.1599999998</v>
      </c>
      <c r="L3" s="55">
        <v>341148.13</v>
      </c>
      <c r="M3" s="55">
        <v>291859.53999999963</v>
      </c>
      <c r="N3" s="56">
        <v>4291949.6000000015</v>
      </c>
      <c r="P3" t="s">
        <v>201</v>
      </c>
    </row>
    <row r="4" spans="1:16" x14ac:dyDescent="0.3">
      <c r="A4" s="54" t="s">
        <v>1280</v>
      </c>
      <c r="B4" s="55">
        <v>330654.13999999873</v>
      </c>
      <c r="C4" s="55">
        <v>302497.04999999917</v>
      </c>
      <c r="D4" s="55">
        <v>348112.70999999961</v>
      </c>
      <c r="E4" s="55">
        <v>331750.01999999885</v>
      </c>
      <c r="F4" s="55">
        <v>367524.38000000035</v>
      </c>
      <c r="G4" s="55">
        <v>372165.84000000544</v>
      </c>
      <c r="H4" s="55">
        <v>370992.29999999877</v>
      </c>
      <c r="I4" s="55">
        <v>372092.66999999934</v>
      </c>
      <c r="J4" s="55">
        <v>343197.37999999849</v>
      </c>
      <c r="K4" s="55">
        <v>361769.6100000008</v>
      </c>
      <c r="L4" s="55">
        <v>372053.72999999928</v>
      </c>
      <c r="M4" s="55">
        <v>426732.9499999996</v>
      </c>
      <c r="N4" s="56">
        <v>4299542.7800001074</v>
      </c>
      <c r="P4" t="s">
        <v>201</v>
      </c>
    </row>
    <row r="5" spans="1:16" x14ac:dyDescent="0.3">
      <c r="A5" s="54" t="s">
        <v>1281</v>
      </c>
      <c r="B5" s="55">
        <v>74497.909999999669</v>
      </c>
      <c r="C5" s="55">
        <v>73801.869999999661</v>
      </c>
      <c r="D5" s="55">
        <v>86360.689999999726</v>
      </c>
      <c r="E5" s="55">
        <v>82882.329999999696</v>
      </c>
      <c r="F5" s="55">
        <v>88819.7399999997</v>
      </c>
      <c r="G5" s="55">
        <v>80565.939999999857</v>
      </c>
      <c r="H5" s="55">
        <v>79711.499999999651</v>
      </c>
      <c r="I5" s="55">
        <v>88084.479999999574</v>
      </c>
      <c r="J5" s="55">
        <v>81214.269999999582</v>
      </c>
      <c r="K5" s="55">
        <v>80654.479999999661</v>
      </c>
      <c r="L5" s="55">
        <v>84860.429999999556</v>
      </c>
      <c r="M5" s="55">
        <v>107488.28999999951</v>
      </c>
      <c r="N5" s="56">
        <v>1008941.9300000046</v>
      </c>
      <c r="P5" t="s">
        <v>201</v>
      </c>
    </row>
    <row r="6" spans="1:16" x14ac:dyDescent="0.3">
      <c r="A6" s="54" t="s">
        <v>1282</v>
      </c>
      <c r="B6" s="55">
        <v>372901.33999999985</v>
      </c>
      <c r="C6" s="55">
        <v>383342.59999999934</v>
      </c>
      <c r="D6" s="55">
        <v>465086.14999999932</v>
      </c>
      <c r="E6" s="55">
        <v>372108.52000000019</v>
      </c>
      <c r="F6" s="55">
        <v>416297.32999999949</v>
      </c>
      <c r="G6" s="55">
        <v>348741.96000000049</v>
      </c>
      <c r="H6" s="55">
        <v>351827.61999999941</v>
      </c>
      <c r="I6" s="55">
        <v>418010.31000000017</v>
      </c>
      <c r="J6" s="55">
        <v>389871.34999999916</v>
      </c>
      <c r="K6" s="55">
        <v>394850.89999999979</v>
      </c>
      <c r="L6" s="55">
        <v>447301.43999999989</v>
      </c>
      <c r="M6" s="55">
        <v>600946.37999999977</v>
      </c>
      <c r="N6" s="56">
        <v>4961285.9000000115</v>
      </c>
      <c r="P6" t="s">
        <v>201</v>
      </c>
    </row>
    <row r="7" spans="1:16" x14ac:dyDescent="0.3">
      <c r="A7" s="54" t="s">
        <v>1283</v>
      </c>
      <c r="B7" s="55">
        <v>85799.309999999867</v>
      </c>
      <c r="C7" s="55">
        <v>85823.78999999979</v>
      </c>
      <c r="D7" s="55">
        <v>106172.08999999995</v>
      </c>
      <c r="E7" s="55">
        <v>186587.14999999962</v>
      </c>
      <c r="F7" s="55">
        <v>89568.559999999794</v>
      </c>
      <c r="G7" s="55">
        <v>95674.409999999276</v>
      </c>
      <c r="H7" s="55">
        <v>101547.12999999977</v>
      </c>
      <c r="I7" s="55">
        <v>94648.019999999757</v>
      </c>
      <c r="J7" s="55">
        <v>84700.059999999779</v>
      </c>
      <c r="K7" s="55">
        <v>97961.719999999827</v>
      </c>
      <c r="L7" s="55">
        <v>106680.92999999985</v>
      </c>
      <c r="M7" s="55">
        <v>112801.44999999975</v>
      </c>
      <c r="N7" s="56">
        <v>1247964.6199999962</v>
      </c>
      <c r="P7" t="s">
        <v>201</v>
      </c>
    </row>
    <row r="8" spans="1:16" x14ac:dyDescent="0.3">
      <c r="A8" s="57" t="s">
        <v>63</v>
      </c>
      <c r="B8" s="58">
        <v>28543.940000000002</v>
      </c>
      <c r="C8" s="58">
        <v>25978.76</v>
      </c>
      <c r="D8" s="58">
        <v>35728.770000000019</v>
      </c>
      <c r="E8" s="58">
        <v>29063.570000000007</v>
      </c>
      <c r="F8" s="58">
        <v>36066.80999999999</v>
      </c>
      <c r="G8" s="58">
        <v>37298.54</v>
      </c>
      <c r="H8" s="58">
        <v>32794.97</v>
      </c>
      <c r="I8" s="58">
        <v>40870.700000000012</v>
      </c>
      <c r="J8" s="58">
        <v>40325.790000000015</v>
      </c>
      <c r="K8" s="58">
        <v>38347.220000000008</v>
      </c>
      <c r="L8" s="58">
        <v>32554.46</v>
      </c>
      <c r="M8" s="58">
        <v>33153.050000000017</v>
      </c>
      <c r="N8" s="59">
        <v>410726.5799999999</v>
      </c>
      <c r="P8" t="s">
        <v>63</v>
      </c>
    </row>
    <row r="9" spans="1:16" x14ac:dyDescent="0.3">
      <c r="A9" s="54" t="s">
        <v>1284</v>
      </c>
      <c r="B9" s="55">
        <v>4247.4600000000019</v>
      </c>
      <c r="C9" s="55">
        <v>3372.5000000000009</v>
      </c>
      <c r="D9" s="55">
        <v>4386.97</v>
      </c>
      <c r="E9" s="55">
        <v>3987.0600000000013</v>
      </c>
      <c r="F9" s="55">
        <v>8776.0600000000013</v>
      </c>
      <c r="G9" s="55">
        <v>4039.3900000000008</v>
      </c>
      <c r="H9" s="55">
        <v>4043.3700000000017</v>
      </c>
      <c r="I9" s="55">
        <v>4376.0800000000017</v>
      </c>
      <c r="J9" s="55">
        <v>4772.9000000000015</v>
      </c>
      <c r="K9" s="55">
        <v>3388.2900000000013</v>
      </c>
      <c r="L9" s="55">
        <v>3403.2800000000011</v>
      </c>
      <c r="M9" s="55">
        <v>3042.9100000000008</v>
      </c>
      <c r="N9" s="56">
        <v>51836.270000000004</v>
      </c>
      <c r="P9" t="s">
        <v>201</v>
      </c>
    </row>
    <row r="10" spans="1:16" x14ac:dyDescent="0.3">
      <c r="A10" s="60" t="s">
        <v>1285</v>
      </c>
      <c r="B10" s="61">
        <v>167868.83999999982</v>
      </c>
      <c r="C10" s="61">
        <v>155797.20999999988</v>
      </c>
      <c r="D10" s="61">
        <v>182888.84999999963</v>
      </c>
      <c r="E10" s="61">
        <v>168789.29999999976</v>
      </c>
      <c r="F10" s="61">
        <v>182058.31999999977</v>
      </c>
      <c r="G10" s="61">
        <v>185079.33999999939</v>
      </c>
      <c r="H10" s="61">
        <v>179633.11999999968</v>
      </c>
      <c r="I10" s="61">
        <v>176726.06999999957</v>
      </c>
      <c r="J10" s="61">
        <v>168467.96999999968</v>
      </c>
      <c r="K10" s="61">
        <v>173118.12999999983</v>
      </c>
      <c r="L10" s="61">
        <v>170976.57999999975</v>
      </c>
      <c r="M10" s="61">
        <v>186203.44999999972</v>
      </c>
      <c r="N10" s="62">
        <v>2097607.1799999997</v>
      </c>
      <c r="P10" t="s">
        <v>1286</v>
      </c>
    </row>
    <row r="11" spans="1:16" x14ac:dyDescent="0.3">
      <c r="A11" s="54" t="s">
        <v>1287</v>
      </c>
      <c r="B11" s="55">
        <v>164346.01999999932</v>
      </c>
      <c r="C11" s="55">
        <v>160237.3599999994</v>
      </c>
      <c r="D11" s="55">
        <v>169271.05000000042</v>
      </c>
      <c r="E11" s="55">
        <v>161513.97999999978</v>
      </c>
      <c r="F11" s="55">
        <v>170093.38000000012</v>
      </c>
      <c r="G11" s="55">
        <v>162891.28000000009</v>
      </c>
      <c r="H11" s="55">
        <v>161887.42999999964</v>
      </c>
      <c r="I11" s="55">
        <v>172474.76999999967</v>
      </c>
      <c r="J11" s="55">
        <v>166441.73999999964</v>
      </c>
      <c r="K11" s="55">
        <v>171202.8600000001</v>
      </c>
      <c r="L11" s="55">
        <v>176345.26999999949</v>
      </c>
      <c r="M11" s="55">
        <v>178622.34000000003</v>
      </c>
      <c r="N11" s="56">
        <v>2015327.4800000188</v>
      </c>
      <c r="P11" t="s">
        <v>201</v>
      </c>
    </row>
    <row r="12" spans="1:16" x14ac:dyDescent="0.3">
      <c r="A12" s="63" t="s">
        <v>1288</v>
      </c>
      <c r="B12" s="64">
        <v>334778.57999999984</v>
      </c>
      <c r="C12" s="64">
        <v>310265.48</v>
      </c>
      <c r="D12" s="64">
        <v>349453.95999999973</v>
      </c>
      <c r="E12" s="64">
        <v>347400.58000000007</v>
      </c>
      <c r="F12" s="64">
        <v>343417.13000000024</v>
      </c>
      <c r="G12" s="64">
        <v>315606.98000000039</v>
      </c>
      <c r="H12" s="64">
        <v>357930.08000000025</v>
      </c>
      <c r="I12" s="64">
        <v>367066.76000000024</v>
      </c>
      <c r="J12" s="64">
        <v>378974.05999999988</v>
      </c>
      <c r="K12" s="64">
        <v>348281.60999999987</v>
      </c>
      <c r="L12" s="64">
        <v>346212.89000000019</v>
      </c>
      <c r="M12" s="64">
        <v>410319.47999999986</v>
      </c>
      <c r="N12" s="65">
        <v>4209707.5900000026</v>
      </c>
      <c r="P12" t="s">
        <v>1288</v>
      </c>
    </row>
    <row r="13" spans="1:16" x14ac:dyDescent="0.3">
      <c r="A13" s="60" t="s">
        <v>1289</v>
      </c>
      <c r="B13" s="61">
        <v>121440.63999999997</v>
      </c>
      <c r="C13" s="61">
        <v>107171.27000000002</v>
      </c>
      <c r="D13" s="61">
        <v>129389.23000000004</v>
      </c>
      <c r="E13" s="61">
        <v>113474.06000000004</v>
      </c>
      <c r="F13" s="61">
        <v>117541.37000000005</v>
      </c>
      <c r="G13" s="61">
        <v>115263.6199999996</v>
      </c>
      <c r="H13" s="61">
        <v>116777.10999999996</v>
      </c>
      <c r="I13" s="61">
        <v>120469.94000000003</v>
      </c>
      <c r="J13" s="61">
        <v>121846.36000000007</v>
      </c>
      <c r="K13" s="61">
        <v>119988.34000000003</v>
      </c>
      <c r="L13" s="61">
        <v>115280.11000000002</v>
      </c>
      <c r="M13" s="61">
        <v>119645.54000000007</v>
      </c>
      <c r="N13" s="62">
        <v>1418287.589999998</v>
      </c>
      <c r="P13" t="s">
        <v>1286</v>
      </c>
    </row>
    <row r="14" spans="1:16" x14ac:dyDescent="0.3">
      <c r="A14" s="54" t="s">
        <v>67</v>
      </c>
      <c r="B14" s="55">
        <v>148102.83999999968</v>
      </c>
      <c r="C14" s="55">
        <v>135209.02999999956</v>
      </c>
      <c r="D14" s="55">
        <v>148174.3199999996</v>
      </c>
      <c r="E14" s="55">
        <v>124388.40999999957</v>
      </c>
      <c r="F14" s="55">
        <v>132663.63999999969</v>
      </c>
      <c r="G14" s="55">
        <v>124923.61999999957</v>
      </c>
      <c r="H14" s="55">
        <v>126536.15999999958</v>
      </c>
      <c r="I14" s="55">
        <v>124888.84999999966</v>
      </c>
      <c r="J14" s="55">
        <v>125887.74999999977</v>
      </c>
      <c r="K14" s="55">
        <v>131734.07999999984</v>
      </c>
      <c r="L14" s="55">
        <v>146693.59999999957</v>
      </c>
      <c r="M14" s="55">
        <v>138897.43999999954</v>
      </c>
      <c r="N14" s="56">
        <v>1608099.7400000033</v>
      </c>
      <c r="P14" t="s">
        <v>201</v>
      </c>
    </row>
    <row r="15" spans="1:16" x14ac:dyDescent="0.3">
      <c r="A15" s="48" t="s">
        <v>1290</v>
      </c>
      <c r="B15" s="49">
        <v>940.43000000000006</v>
      </c>
      <c r="C15" s="49">
        <v>964.3900000000001</v>
      </c>
      <c r="D15" s="49">
        <v>952.41000000000008</v>
      </c>
      <c r="E15" s="49">
        <v>1006.3199999999999</v>
      </c>
      <c r="F15" s="49">
        <v>1090.1799999999998</v>
      </c>
      <c r="G15" s="49">
        <v>988.34999999999991</v>
      </c>
      <c r="H15" s="49">
        <v>1299.83</v>
      </c>
      <c r="I15" s="49">
        <v>1409.8199999999997</v>
      </c>
      <c r="J15" s="49">
        <v>1247.92</v>
      </c>
      <c r="K15" s="49">
        <v>1036.27</v>
      </c>
      <c r="L15" s="49">
        <v>1166.21</v>
      </c>
      <c r="M15" s="49">
        <v>1305.83</v>
      </c>
      <c r="N15" s="50">
        <v>13407.96</v>
      </c>
      <c r="P15" t="s">
        <v>201</v>
      </c>
    </row>
    <row r="16" spans="1:16" x14ac:dyDescent="0.3">
      <c r="A16" s="57" t="s">
        <v>83</v>
      </c>
      <c r="B16" s="58">
        <v>62238.560000000012</v>
      </c>
      <c r="C16" s="58">
        <v>55988.210000000006</v>
      </c>
      <c r="D16" s="58">
        <v>61794.349999999977</v>
      </c>
      <c r="E16" s="58">
        <v>56131.359999999986</v>
      </c>
      <c r="F16" s="58">
        <v>62867.199999999983</v>
      </c>
      <c r="G16" s="58">
        <v>73125.219999999987</v>
      </c>
      <c r="H16" s="58">
        <v>73053.66</v>
      </c>
      <c r="I16" s="58">
        <v>75424.029999999984</v>
      </c>
      <c r="J16" s="58">
        <v>70614.350000000006</v>
      </c>
      <c r="K16" s="58">
        <v>73082.98</v>
      </c>
      <c r="L16" s="58">
        <v>68477.360000000044</v>
      </c>
      <c r="M16" s="58">
        <v>83156.640000000029</v>
      </c>
      <c r="N16" s="59">
        <v>815953.91999999993</v>
      </c>
      <c r="P16" t="s">
        <v>83</v>
      </c>
    </row>
    <row r="17" spans="1:16" x14ac:dyDescent="0.3">
      <c r="A17" s="54" t="s">
        <v>1291</v>
      </c>
      <c r="B17" s="55">
        <v>27644.449999999997</v>
      </c>
      <c r="C17" s="55">
        <v>23299.72</v>
      </c>
      <c r="D17" s="55">
        <v>27299.27</v>
      </c>
      <c r="E17" s="55">
        <v>27143.469999999994</v>
      </c>
      <c r="F17" s="55">
        <v>29419.319999999996</v>
      </c>
      <c r="G17" s="55">
        <v>28150.990000000013</v>
      </c>
      <c r="H17" s="55">
        <v>27214.329999999994</v>
      </c>
      <c r="I17" s="55">
        <v>23958.299999999996</v>
      </c>
      <c r="J17" s="55">
        <v>24337.949999999997</v>
      </c>
      <c r="K17" s="55">
        <v>24822.37999999999</v>
      </c>
      <c r="L17" s="55">
        <v>22825.39</v>
      </c>
      <c r="M17" s="55">
        <v>21887.27</v>
      </c>
      <c r="N17" s="56">
        <v>308002.83999999985</v>
      </c>
      <c r="P17" t="s">
        <v>201</v>
      </c>
    </row>
    <row r="18" spans="1:16" x14ac:dyDescent="0.3">
      <c r="A18" s="60" t="s">
        <v>1292</v>
      </c>
      <c r="B18" s="61">
        <v>11742.660000000003</v>
      </c>
      <c r="C18" s="61">
        <v>13803.230000000003</v>
      </c>
      <c r="D18" s="61">
        <v>32331.659999999996</v>
      </c>
      <c r="E18" s="61">
        <v>38104.14</v>
      </c>
      <c r="F18" s="61">
        <v>9416.7800000000025</v>
      </c>
      <c r="G18" s="61">
        <v>8764.3700000000026</v>
      </c>
      <c r="H18" s="61">
        <v>10426.390000000005</v>
      </c>
      <c r="I18" s="61">
        <v>10599.310000000005</v>
      </c>
      <c r="J18" s="61">
        <v>12662.690000000008</v>
      </c>
      <c r="K18" s="61">
        <v>12781.700000000004</v>
      </c>
      <c r="L18" s="61">
        <v>10840.360000000008</v>
      </c>
      <c r="M18" s="61">
        <v>10331.500000000005</v>
      </c>
      <c r="N18" s="62">
        <v>181804.7899999998</v>
      </c>
      <c r="P18" t="s">
        <v>1286</v>
      </c>
    </row>
    <row r="19" spans="1:16" ht="15.6" customHeight="1" x14ac:dyDescent="0.3">
      <c r="A19" s="57" t="s">
        <v>92</v>
      </c>
      <c r="B19" s="58">
        <v>1010.7700000000001</v>
      </c>
      <c r="C19" s="58">
        <v>146.11999999999998</v>
      </c>
      <c r="D19" s="58">
        <v>32.200000000000003</v>
      </c>
      <c r="E19" s="58">
        <v>404.1</v>
      </c>
      <c r="F19" s="58">
        <v>51.82</v>
      </c>
      <c r="G19" s="58">
        <v>13.9</v>
      </c>
      <c r="H19" s="58">
        <v>722.62</v>
      </c>
      <c r="I19" s="58">
        <v>6.43</v>
      </c>
      <c r="J19" s="58"/>
      <c r="K19" s="58">
        <v>26.25</v>
      </c>
      <c r="L19" s="58">
        <v>4.54</v>
      </c>
      <c r="M19" s="58">
        <v>194.92999999999998</v>
      </c>
      <c r="N19" s="59">
        <v>2613.6800000000003</v>
      </c>
      <c r="P19" t="s">
        <v>92</v>
      </c>
    </row>
    <row r="20" spans="1:16" x14ac:dyDescent="0.3">
      <c r="A20" s="51" t="s">
        <v>64</v>
      </c>
      <c r="B20" s="52">
        <v>2785692.169999999</v>
      </c>
      <c r="C20" s="52">
        <v>2655535.3300000033</v>
      </c>
      <c r="D20" s="52">
        <v>3046525.3300000033</v>
      </c>
      <c r="E20" s="52">
        <v>2909466.9399999976</v>
      </c>
      <c r="F20" s="52">
        <v>3015715.3099999949</v>
      </c>
      <c r="G20" s="52">
        <v>2860012.5199999972</v>
      </c>
      <c r="H20" s="52">
        <v>2892461.7000000034</v>
      </c>
      <c r="I20" s="52">
        <v>2995537.9600000083</v>
      </c>
      <c r="J20" s="52">
        <v>2852898.6800000016</v>
      </c>
      <c r="K20" s="52">
        <v>2900315.7400000021</v>
      </c>
      <c r="L20" s="52">
        <v>2981089.6999999969</v>
      </c>
      <c r="M20" s="52">
        <v>3410146.4500000086</v>
      </c>
      <c r="N20" s="52">
        <v>35305397.830000028</v>
      </c>
    </row>
    <row r="21" spans="1:16" x14ac:dyDescent="0.3">
      <c r="B21" s="53">
        <f t="shared" ref="B21:N21" si="0">B19+B16+B8</f>
        <v>91793.270000000019</v>
      </c>
      <c r="C21" s="53">
        <f t="shared" si="0"/>
        <v>82113.090000000011</v>
      </c>
      <c r="D21" s="53">
        <f t="shared" si="0"/>
        <v>97555.319999999992</v>
      </c>
      <c r="E21" s="53">
        <f t="shared" si="0"/>
        <v>85599.03</v>
      </c>
      <c r="F21" s="53">
        <f t="shared" si="0"/>
        <v>98985.829999999973</v>
      </c>
      <c r="G21" s="53">
        <f t="shared" si="0"/>
        <v>110437.65999999997</v>
      </c>
      <c r="H21" s="53">
        <f t="shared" si="0"/>
        <v>106571.25</v>
      </c>
      <c r="I21" s="53">
        <f t="shared" si="0"/>
        <v>116301.15999999999</v>
      </c>
      <c r="J21" s="53">
        <f t="shared" si="0"/>
        <v>110940.14000000001</v>
      </c>
      <c r="K21" s="53">
        <f t="shared" si="0"/>
        <v>111456.45000000001</v>
      </c>
      <c r="L21" s="53">
        <f t="shared" si="0"/>
        <v>101036.36000000004</v>
      </c>
      <c r="M21" s="53">
        <f t="shared" si="0"/>
        <v>116504.62000000004</v>
      </c>
      <c r="N21" s="53">
        <f t="shared" si="0"/>
        <v>1229294.18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6570-4965-4D52-B7B8-063762F096E6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424669.99000000017</v>
      </c>
      <c r="C2" s="45">
        <v>393706.93999999994</v>
      </c>
      <c r="D2" s="45">
        <v>451766.64000000013</v>
      </c>
      <c r="E2" s="45">
        <v>414476.46999999986</v>
      </c>
      <c r="F2" s="45">
        <v>441341.91999999969</v>
      </c>
      <c r="G2" s="45">
        <v>424914.1100000001</v>
      </c>
      <c r="H2" s="45">
        <v>411874.35000000009</v>
      </c>
      <c r="I2" s="45">
        <v>433843.48999999976</v>
      </c>
      <c r="J2" s="45">
        <v>402505.43000000023</v>
      </c>
      <c r="K2" s="45">
        <v>443708.31000000006</v>
      </c>
      <c r="L2" s="45">
        <v>458517.33999999997</v>
      </c>
      <c r="M2" s="45">
        <v>548479.43000000028</v>
      </c>
      <c r="N2" s="46">
        <v>5249804.4200000055</v>
      </c>
      <c r="P2" s="2" t="s">
        <v>24</v>
      </c>
    </row>
    <row r="3" spans="1:16" x14ac:dyDescent="0.3">
      <c r="A3" s="54" t="s">
        <v>1279</v>
      </c>
      <c r="B3" s="55">
        <v>251495.94000000003</v>
      </c>
      <c r="C3" s="55">
        <v>236071.14000000007</v>
      </c>
      <c r="D3" s="55">
        <v>256468.41999999987</v>
      </c>
      <c r="E3" s="55">
        <v>259913.37000000017</v>
      </c>
      <c r="F3" s="55">
        <v>291109.98999999993</v>
      </c>
      <c r="G3" s="55">
        <v>283880.02000000025</v>
      </c>
      <c r="H3" s="55">
        <v>282294.71999999997</v>
      </c>
      <c r="I3" s="55">
        <v>266023.05000000016</v>
      </c>
      <c r="J3" s="55">
        <v>250381.51999999981</v>
      </c>
      <c r="K3" s="55">
        <v>251784.45999999996</v>
      </c>
      <c r="L3" s="55">
        <v>244386.79999999976</v>
      </c>
      <c r="M3" s="55">
        <v>220700.00999999989</v>
      </c>
      <c r="N3" s="56">
        <v>3094509.4399999981</v>
      </c>
      <c r="P3" t="s">
        <v>201</v>
      </c>
    </row>
    <row r="4" spans="1:16" x14ac:dyDescent="0.3">
      <c r="A4" s="54" t="s">
        <v>1280</v>
      </c>
      <c r="B4" s="55">
        <v>254046.41999999844</v>
      </c>
      <c r="C4" s="55">
        <v>231262.42999999825</v>
      </c>
      <c r="D4" s="55">
        <v>265437.3699999993</v>
      </c>
      <c r="E4" s="55">
        <v>258045.2699999992</v>
      </c>
      <c r="F4" s="55">
        <v>279213.13999999862</v>
      </c>
      <c r="G4" s="55">
        <v>284398.09000000567</v>
      </c>
      <c r="H4" s="55">
        <v>288448.62999999803</v>
      </c>
      <c r="I4" s="55">
        <v>281527.12999999907</v>
      </c>
      <c r="J4" s="55">
        <v>265054.28999999829</v>
      </c>
      <c r="K4" s="55">
        <v>281880.12999999919</v>
      </c>
      <c r="L4" s="55">
        <v>298168.27999999921</v>
      </c>
      <c r="M4" s="55">
        <v>345253.47999999812</v>
      </c>
      <c r="N4" s="56">
        <v>3332734.66000007</v>
      </c>
      <c r="P4" t="s">
        <v>201</v>
      </c>
    </row>
    <row r="5" spans="1:16" x14ac:dyDescent="0.3">
      <c r="A5" s="54" t="s">
        <v>1281</v>
      </c>
      <c r="B5" s="55">
        <v>50950.859999999811</v>
      </c>
      <c r="C5" s="55">
        <v>46196.069999999832</v>
      </c>
      <c r="D5" s="55">
        <v>50332.589999999851</v>
      </c>
      <c r="E5" s="55">
        <v>48608.519999999829</v>
      </c>
      <c r="F5" s="55">
        <v>55657.659999999822</v>
      </c>
      <c r="G5" s="55">
        <v>50536.249999999774</v>
      </c>
      <c r="H5" s="55">
        <v>50923.979999999829</v>
      </c>
      <c r="I5" s="55">
        <v>54058.519999999844</v>
      </c>
      <c r="J5" s="55">
        <v>48973.959999999795</v>
      </c>
      <c r="K5" s="55">
        <v>53924.869999999777</v>
      </c>
      <c r="L5" s="55">
        <v>55029.139999999788</v>
      </c>
      <c r="M5" s="55">
        <v>68054.819999999643</v>
      </c>
      <c r="N5" s="56">
        <v>633247.23999999918</v>
      </c>
      <c r="P5" t="s">
        <v>201</v>
      </c>
    </row>
    <row r="6" spans="1:16" x14ac:dyDescent="0.3">
      <c r="A6" s="54" t="s">
        <v>1282</v>
      </c>
      <c r="B6" s="55">
        <v>270578.76999999979</v>
      </c>
      <c r="C6" s="55">
        <v>279353.24999999977</v>
      </c>
      <c r="D6" s="55">
        <v>327325.75999999949</v>
      </c>
      <c r="E6" s="55">
        <v>267630.01000000036</v>
      </c>
      <c r="F6" s="55">
        <v>294668.24999999977</v>
      </c>
      <c r="G6" s="55">
        <v>260022.09000000055</v>
      </c>
      <c r="H6" s="55">
        <v>256082.30999999965</v>
      </c>
      <c r="I6" s="55">
        <v>293070.15000000002</v>
      </c>
      <c r="J6" s="55">
        <v>273634.33999999979</v>
      </c>
      <c r="K6" s="55">
        <v>284377.48000000004</v>
      </c>
      <c r="L6" s="55">
        <v>300927.87999999942</v>
      </c>
      <c r="M6" s="55">
        <v>396910.43000000028</v>
      </c>
      <c r="N6" s="56">
        <v>3504580.7200000025</v>
      </c>
      <c r="P6" t="s">
        <v>201</v>
      </c>
    </row>
    <row r="7" spans="1:16" x14ac:dyDescent="0.3">
      <c r="A7" s="54" t="s">
        <v>1283</v>
      </c>
      <c r="B7" s="55">
        <v>62263.559999999983</v>
      </c>
      <c r="C7" s="55">
        <v>62138.919999999955</v>
      </c>
      <c r="D7" s="55">
        <v>74186.28999999995</v>
      </c>
      <c r="E7" s="55">
        <v>126265.7699999999</v>
      </c>
      <c r="F7" s="55">
        <v>70319.639999999927</v>
      </c>
      <c r="G7" s="55">
        <v>74610.20999999941</v>
      </c>
      <c r="H7" s="55">
        <v>82853.85999999987</v>
      </c>
      <c r="I7" s="55">
        <v>73453.569999999934</v>
      </c>
      <c r="J7" s="55">
        <v>66358.039999999877</v>
      </c>
      <c r="K7" s="55">
        <v>69114.329999999885</v>
      </c>
      <c r="L7" s="55">
        <v>79378.639999999839</v>
      </c>
      <c r="M7" s="55">
        <v>82820.709999999846</v>
      </c>
      <c r="N7" s="56">
        <v>923763.53999999457</v>
      </c>
      <c r="P7" t="s">
        <v>201</v>
      </c>
    </row>
    <row r="8" spans="1:16" x14ac:dyDescent="0.3">
      <c r="A8" s="57" t="s">
        <v>63</v>
      </c>
      <c r="B8" s="58">
        <v>30446.799999999999</v>
      </c>
      <c r="C8" s="58">
        <v>29120.950000000004</v>
      </c>
      <c r="D8" s="58">
        <v>33299.050000000003</v>
      </c>
      <c r="E8" s="58">
        <v>29667.61</v>
      </c>
      <c r="F8" s="58">
        <v>36463.569999999992</v>
      </c>
      <c r="G8" s="58">
        <v>39280.670000000013</v>
      </c>
      <c r="H8" s="58">
        <v>43942.820000000022</v>
      </c>
      <c r="I8" s="58">
        <v>44331.669999999991</v>
      </c>
      <c r="J8" s="58">
        <v>47568.37000000001</v>
      </c>
      <c r="K8" s="58">
        <v>35449.540000000015</v>
      </c>
      <c r="L8" s="58">
        <v>35990.43</v>
      </c>
      <c r="M8" s="58">
        <v>30239.990000000013</v>
      </c>
      <c r="N8" s="59">
        <v>435801.46999999974</v>
      </c>
      <c r="P8" t="s">
        <v>63</v>
      </c>
    </row>
    <row r="9" spans="1:16" x14ac:dyDescent="0.3">
      <c r="A9" s="54" t="s">
        <v>1284</v>
      </c>
      <c r="B9" s="55">
        <v>1725.4400000000005</v>
      </c>
      <c r="C9" s="55">
        <v>1961.8800000000003</v>
      </c>
      <c r="D9" s="55">
        <v>1647.32</v>
      </c>
      <c r="E9" s="55">
        <v>1326.2000000000003</v>
      </c>
      <c r="F9" s="55">
        <v>5905.6100000000006</v>
      </c>
      <c r="G9" s="55">
        <v>2121.6200000000008</v>
      </c>
      <c r="H9" s="55">
        <v>2491.3300000000008</v>
      </c>
      <c r="I9" s="55">
        <v>3255.170000000001</v>
      </c>
      <c r="J9" s="55">
        <v>4173.2200000000021</v>
      </c>
      <c r="K9" s="55">
        <v>2774.63</v>
      </c>
      <c r="L9" s="55">
        <v>3036.9900000000007</v>
      </c>
      <c r="M9" s="55">
        <v>1450.9800000000002</v>
      </c>
      <c r="N9" s="56">
        <v>31870.390000000021</v>
      </c>
      <c r="P9" t="s">
        <v>201</v>
      </c>
    </row>
    <row r="10" spans="1:16" x14ac:dyDescent="0.3">
      <c r="A10" s="60" t="s">
        <v>1285</v>
      </c>
      <c r="B10" s="61">
        <v>146518.79999999981</v>
      </c>
      <c r="C10" s="61">
        <v>135906.47999999975</v>
      </c>
      <c r="D10" s="61">
        <v>157756.37999999963</v>
      </c>
      <c r="E10" s="61">
        <v>142404.67999999976</v>
      </c>
      <c r="F10" s="61">
        <v>169667.41999999981</v>
      </c>
      <c r="G10" s="61">
        <v>163018.5599999991</v>
      </c>
      <c r="H10" s="61">
        <v>165865.63999999975</v>
      </c>
      <c r="I10" s="61">
        <v>156573.56999999975</v>
      </c>
      <c r="J10" s="61">
        <v>146350.51999999976</v>
      </c>
      <c r="K10" s="61">
        <v>151969.22999999981</v>
      </c>
      <c r="L10" s="61">
        <v>149051.62999999971</v>
      </c>
      <c r="M10" s="61">
        <v>165031.18999999948</v>
      </c>
      <c r="N10" s="62">
        <v>1850114.0999999999</v>
      </c>
      <c r="P10" t="s">
        <v>1286</v>
      </c>
    </row>
    <row r="11" spans="1:16" x14ac:dyDescent="0.3">
      <c r="A11" s="54" t="s">
        <v>1287</v>
      </c>
      <c r="B11" s="55">
        <v>104660.8199999995</v>
      </c>
      <c r="C11" s="55">
        <v>102024.64999999946</v>
      </c>
      <c r="D11" s="55">
        <v>106399.60999999972</v>
      </c>
      <c r="E11" s="55">
        <v>101974.27999999959</v>
      </c>
      <c r="F11" s="55">
        <v>111972.66999999961</v>
      </c>
      <c r="G11" s="55">
        <v>106672.60999999971</v>
      </c>
      <c r="H11" s="55">
        <v>109480.3199999996</v>
      </c>
      <c r="I11" s="55">
        <v>110456.80999999965</v>
      </c>
      <c r="J11" s="55">
        <v>108625.30999999939</v>
      </c>
      <c r="K11" s="55">
        <v>111603.85999999959</v>
      </c>
      <c r="L11" s="55">
        <v>113038.8499999996</v>
      </c>
      <c r="M11" s="55">
        <v>119800.84999999969</v>
      </c>
      <c r="N11" s="56">
        <v>1306710.6400000101</v>
      </c>
      <c r="P11" t="s">
        <v>201</v>
      </c>
    </row>
    <row r="12" spans="1:16" x14ac:dyDescent="0.3">
      <c r="A12" s="63" t="s">
        <v>1288</v>
      </c>
      <c r="B12" s="64">
        <v>318676.92000000004</v>
      </c>
      <c r="C12" s="64">
        <v>303314.41000000003</v>
      </c>
      <c r="D12" s="64">
        <v>339785.50000000017</v>
      </c>
      <c r="E12" s="64">
        <v>333942.92000000051</v>
      </c>
      <c r="F12" s="64">
        <v>319950.59000000003</v>
      </c>
      <c r="G12" s="64">
        <v>294684.44999999995</v>
      </c>
      <c r="H12" s="64">
        <v>341823.19000000006</v>
      </c>
      <c r="I12" s="64">
        <v>339210.47000000003</v>
      </c>
      <c r="J12" s="64">
        <v>373538.18999999983</v>
      </c>
      <c r="K12" s="64">
        <v>333537.6399999999</v>
      </c>
      <c r="L12" s="64">
        <v>331267.02999999968</v>
      </c>
      <c r="M12" s="64">
        <v>376450.03999999969</v>
      </c>
      <c r="N12" s="65">
        <v>4006181.3499999996</v>
      </c>
      <c r="P12" t="s">
        <v>1288</v>
      </c>
    </row>
    <row r="13" spans="1:16" x14ac:dyDescent="0.3">
      <c r="A13" s="60" t="s">
        <v>1289</v>
      </c>
      <c r="B13" s="61">
        <v>113145.25</v>
      </c>
      <c r="C13" s="61">
        <v>103022.34000000005</v>
      </c>
      <c r="D13" s="61">
        <v>121324.07999999999</v>
      </c>
      <c r="E13" s="61">
        <v>106946.30000000003</v>
      </c>
      <c r="F13" s="61">
        <v>113229.27000000008</v>
      </c>
      <c r="G13" s="61">
        <v>114792.95999999976</v>
      </c>
      <c r="H13" s="61">
        <v>114197.48000000001</v>
      </c>
      <c r="I13" s="61">
        <v>116581.71999999997</v>
      </c>
      <c r="J13" s="61">
        <v>119252.93999999994</v>
      </c>
      <c r="K13" s="61">
        <v>121962.07999999987</v>
      </c>
      <c r="L13" s="61">
        <v>115176.81999999995</v>
      </c>
      <c r="M13" s="61">
        <v>118811.28</v>
      </c>
      <c r="N13" s="62">
        <v>1378442.5199999961</v>
      </c>
      <c r="P13" t="s">
        <v>1286</v>
      </c>
    </row>
    <row r="14" spans="1:16" x14ac:dyDescent="0.3">
      <c r="A14" s="54" t="s">
        <v>67</v>
      </c>
      <c r="B14" s="55">
        <v>104855.10999999962</v>
      </c>
      <c r="C14" s="55">
        <v>95544.949999999662</v>
      </c>
      <c r="D14" s="55">
        <v>107351.5099999995</v>
      </c>
      <c r="E14" s="55">
        <v>94386.359999999695</v>
      </c>
      <c r="F14" s="55">
        <v>102428.84999999971</v>
      </c>
      <c r="G14" s="55">
        <v>91804.159999999538</v>
      </c>
      <c r="H14" s="55">
        <v>99326.899999999674</v>
      </c>
      <c r="I14" s="55">
        <v>91337.239999999729</v>
      </c>
      <c r="J14" s="55">
        <v>94892.929999999731</v>
      </c>
      <c r="K14" s="55">
        <v>95127.599999999889</v>
      </c>
      <c r="L14" s="55">
        <v>103282.25999999972</v>
      </c>
      <c r="M14" s="55">
        <v>102884.18999999971</v>
      </c>
      <c r="N14" s="56">
        <v>1183222.06</v>
      </c>
      <c r="P14" t="s">
        <v>201</v>
      </c>
    </row>
    <row r="15" spans="1:16" x14ac:dyDescent="0.3">
      <c r="A15" s="48" t="s">
        <v>1290</v>
      </c>
      <c r="B15" s="49">
        <v>1072.6599999999999</v>
      </c>
      <c r="C15" s="49">
        <v>1138.08</v>
      </c>
      <c r="D15" s="49">
        <v>1105.3699999999999</v>
      </c>
      <c r="E15" s="49">
        <v>1144.0999999999999</v>
      </c>
      <c r="F15" s="49">
        <v>1130.1299999999999</v>
      </c>
      <c r="G15" s="49">
        <v>1223.99</v>
      </c>
      <c r="H15" s="49">
        <v>1166.06</v>
      </c>
      <c r="I15" s="49">
        <v>780.69999999999993</v>
      </c>
      <c r="J15" s="49">
        <v>972.3900000000001</v>
      </c>
      <c r="K15" s="49">
        <v>850.58</v>
      </c>
      <c r="L15" s="49">
        <v>990.36</v>
      </c>
      <c r="M15" s="49">
        <v>1070.23</v>
      </c>
      <c r="N15" s="50">
        <v>12644.65</v>
      </c>
      <c r="P15" t="s">
        <v>201</v>
      </c>
    </row>
    <row r="16" spans="1:16" x14ac:dyDescent="0.3">
      <c r="A16" s="57" t="s">
        <v>83</v>
      </c>
      <c r="B16" s="58">
        <v>87050.079999999958</v>
      </c>
      <c r="C16" s="58">
        <v>68150.740000000034</v>
      </c>
      <c r="D16" s="58">
        <v>72656.680000000022</v>
      </c>
      <c r="E16" s="58">
        <v>72267.990000000005</v>
      </c>
      <c r="F16" s="58">
        <v>79844.549999999988</v>
      </c>
      <c r="G16" s="58">
        <v>78293.189999999973</v>
      </c>
      <c r="H16" s="58">
        <v>90848.119999999966</v>
      </c>
      <c r="I16" s="58">
        <v>95141.439999999973</v>
      </c>
      <c r="J16" s="58">
        <v>83650.969999999987</v>
      </c>
      <c r="K16" s="58">
        <v>85058.27</v>
      </c>
      <c r="L16" s="58">
        <v>83824.25</v>
      </c>
      <c r="M16" s="58">
        <v>92203.219999999972</v>
      </c>
      <c r="N16" s="59">
        <v>988989.49999999977</v>
      </c>
      <c r="P16" t="s">
        <v>83</v>
      </c>
    </row>
    <row r="17" spans="1:16" x14ac:dyDescent="0.3">
      <c r="A17" s="54" t="s">
        <v>1291</v>
      </c>
      <c r="B17" s="55">
        <v>22582.22</v>
      </c>
      <c r="C17" s="55">
        <v>21286.490000000005</v>
      </c>
      <c r="D17" s="55">
        <v>24731.239999999998</v>
      </c>
      <c r="E17" s="55">
        <v>22240.65</v>
      </c>
      <c r="F17" s="55">
        <v>23626.170000000006</v>
      </c>
      <c r="G17" s="55">
        <v>23506.380000000016</v>
      </c>
      <c r="H17" s="55">
        <v>22733.739999999998</v>
      </c>
      <c r="I17" s="55">
        <v>22881.32</v>
      </c>
      <c r="J17" s="55">
        <v>23038.719999999998</v>
      </c>
      <c r="K17" s="55">
        <v>23516.579999999994</v>
      </c>
      <c r="L17" s="55">
        <v>21816.940000000006</v>
      </c>
      <c r="M17" s="55">
        <v>20181.230000000003</v>
      </c>
      <c r="N17" s="56">
        <v>272141.67999999988</v>
      </c>
      <c r="P17" t="s">
        <v>201</v>
      </c>
    </row>
    <row r="18" spans="1:16" x14ac:dyDescent="0.3">
      <c r="A18" s="60" t="s">
        <v>1292</v>
      </c>
      <c r="B18" s="61">
        <v>8653.0500000000029</v>
      </c>
      <c r="C18" s="61">
        <v>10968.770000000004</v>
      </c>
      <c r="D18" s="61">
        <v>23827.65</v>
      </c>
      <c r="E18" s="61">
        <v>28866.02</v>
      </c>
      <c r="F18" s="61">
        <v>7759.8100000000013</v>
      </c>
      <c r="G18" s="61">
        <v>6294.4400000000041</v>
      </c>
      <c r="H18" s="61">
        <v>6872.2300000000032</v>
      </c>
      <c r="I18" s="61">
        <v>7139.5900000000047</v>
      </c>
      <c r="J18" s="61">
        <v>8801.5100000000057</v>
      </c>
      <c r="K18" s="61">
        <v>9680.4900000000052</v>
      </c>
      <c r="L18" s="61">
        <v>8813.8400000000038</v>
      </c>
      <c r="M18" s="61">
        <v>8003.4200000000037</v>
      </c>
      <c r="N18" s="62">
        <v>135680.81999999995</v>
      </c>
      <c r="P18" t="s">
        <v>1286</v>
      </c>
    </row>
    <row r="19" spans="1:16" ht="15.6" customHeight="1" x14ac:dyDescent="0.3">
      <c r="A19" s="57" t="s">
        <v>92</v>
      </c>
      <c r="B19" s="58">
        <v>1849.44</v>
      </c>
      <c r="C19" s="58">
        <v>1999.87</v>
      </c>
      <c r="D19" s="58">
        <v>2598.8000000000002</v>
      </c>
      <c r="E19" s="58">
        <v>1311.84</v>
      </c>
      <c r="F19" s="58">
        <v>2044.94</v>
      </c>
      <c r="G19" s="58">
        <v>2410.29</v>
      </c>
      <c r="H19" s="58">
        <v>1978.46</v>
      </c>
      <c r="I19" s="58">
        <v>2472.2800000000002</v>
      </c>
      <c r="J19" s="58">
        <v>1916.8899999999999</v>
      </c>
      <c r="K19" s="58">
        <v>1862.88</v>
      </c>
      <c r="L19" s="58">
        <v>2469.9299999999998</v>
      </c>
      <c r="M19" s="58">
        <v>1908.7399999999998</v>
      </c>
      <c r="N19" s="59">
        <v>24824.36</v>
      </c>
      <c r="P19" t="s">
        <v>92</v>
      </c>
    </row>
    <row r="20" spans="1:16" x14ac:dyDescent="0.3">
      <c r="A20" s="51" t="s">
        <v>64</v>
      </c>
      <c r="B20" s="52">
        <v>2255242.1299999976</v>
      </c>
      <c r="C20" s="52">
        <v>2123168.3599999985</v>
      </c>
      <c r="D20" s="52">
        <v>2418000.2600000007</v>
      </c>
      <c r="E20" s="52">
        <v>2311418.3600000003</v>
      </c>
      <c r="F20" s="52">
        <v>2406334.1799999997</v>
      </c>
      <c r="G20" s="52">
        <v>2302464.0900000026</v>
      </c>
      <c r="H20" s="52">
        <v>2373204.1399999997</v>
      </c>
      <c r="I20" s="52">
        <v>2392137.8900000015</v>
      </c>
      <c r="J20" s="52">
        <v>2319689.540000001</v>
      </c>
      <c r="K20" s="52">
        <v>2358182.9599999962</v>
      </c>
      <c r="L20" s="52">
        <v>2405167.4099999992</v>
      </c>
      <c r="M20" s="52">
        <v>2700254.2399999909</v>
      </c>
      <c r="N20" s="52">
        <v>28365263.559999987</v>
      </c>
    </row>
    <row r="21" spans="1:16" x14ac:dyDescent="0.3">
      <c r="B21" s="53">
        <f t="shared" ref="B21:N21" si="0">B19+B16+B8</f>
        <v>119346.31999999996</v>
      </c>
      <c r="C21" s="53">
        <f t="shared" si="0"/>
        <v>99271.560000000027</v>
      </c>
      <c r="D21" s="53">
        <f t="shared" si="0"/>
        <v>108554.53000000003</v>
      </c>
      <c r="E21" s="53">
        <f t="shared" si="0"/>
        <v>103247.44</v>
      </c>
      <c r="F21" s="53">
        <f t="shared" si="0"/>
        <v>118353.05999999998</v>
      </c>
      <c r="G21" s="53">
        <f t="shared" si="0"/>
        <v>119984.14999999998</v>
      </c>
      <c r="H21" s="53">
        <f t="shared" si="0"/>
        <v>136769.4</v>
      </c>
      <c r="I21" s="53">
        <f t="shared" si="0"/>
        <v>141945.38999999996</v>
      </c>
      <c r="J21" s="53">
        <f t="shared" si="0"/>
        <v>133136.22999999998</v>
      </c>
      <c r="K21" s="53">
        <f t="shared" si="0"/>
        <v>122370.69000000003</v>
      </c>
      <c r="L21" s="53">
        <f t="shared" si="0"/>
        <v>122284.60999999999</v>
      </c>
      <c r="M21" s="53">
        <f t="shared" si="0"/>
        <v>124351.94999999998</v>
      </c>
      <c r="N21" s="53">
        <f t="shared" si="0"/>
        <v>1449615.3299999996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9678-EE1E-427C-986E-E23803026255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705039.31</v>
      </c>
      <c r="C2" s="45">
        <v>691748.23999999987</v>
      </c>
      <c r="D2" s="45">
        <v>690129.93999999948</v>
      </c>
      <c r="E2" s="45">
        <v>739939.94000000018</v>
      </c>
      <c r="F2" s="45">
        <v>767681.43999999948</v>
      </c>
      <c r="G2" s="45">
        <v>726405.86999999988</v>
      </c>
      <c r="H2" s="45">
        <v>776525.19000000029</v>
      </c>
      <c r="I2" s="45">
        <v>802532.56000000052</v>
      </c>
      <c r="J2" s="45">
        <v>715617.24999999988</v>
      </c>
      <c r="K2" s="45">
        <v>775836.51000000059</v>
      </c>
      <c r="L2" s="45">
        <v>782232.84999999939</v>
      </c>
      <c r="M2" s="45">
        <v>897668.40000000014</v>
      </c>
      <c r="N2" s="46">
        <v>9071357.5</v>
      </c>
      <c r="P2" s="2" t="s">
        <v>24</v>
      </c>
    </row>
    <row r="3" spans="1:16" x14ac:dyDescent="0.3">
      <c r="A3" s="54" t="s">
        <v>1279</v>
      </c>
      <c r="B3" s="55">
        <v>378290.69000000006</v>
      </c>
      <c r="C3" s="55">
        <v>373257.13999999978</v>
      </c>
      <c r="D3" s="55">
        <v>384734.78999999992</v>
      </c>
      <c r="E3" s="55">
        <v>398041.56000000006</v>
      </c>
      <c r="F3" s="55">
        <v>448792.72999999992</v>
      </c>
      <c r="G3" s="55">
        <v>435847.20000000007</v>
      </c>
      <c r="H3" s="55">
        <v>435527.24000000011</v>
      </c>
      <c r="I3" s="55">
        <v>416784.01000000047</v>
      </c>
      <c r="J3" s="55">
        <v>381398.95999999973</v>
      </c>
      <c r="K3" s="55">
        <v>369385.69000000012</v>
      </c>
      <c r="L3" s="55">
        <v>371523.43000000005</v>
      </c>
      <c r="M3" s="55">
        <v>332362.03999999957</v>
      </c>
      <c r="N3" s="56">
        <v>4725945.4799999986</v>
      </c>
      <c r="P3" t="s">
        <v>201</v>
      </c>
    </row>
    <row r="4" spans="1:16" x14ac:dyDescent="0.3">
      <c r="A4" s="54" t="s">
        <v>1280</v>
      </c>
      <c r="B4" s="55">
        <v>343044.47999999882</v>
      </c>
      <c r="C4" s="55">
        <v>325431.52999999898</v>
      </c>
      <c r="D4" s="55">
        <v>366186.6099999994</v>
      </c>
      <c r="E4" s="55">
        <v>369888.74999999942</v>
      </c>
      <c r="F4" s="55">
        <v>384779.66000000044</v>
      </c>
      <c r="G4" s="55">
        <v>401295.98000000778</v>
      </c>
      <c r="H4" s="55">
        <v>427389.44999999879</v>
      </c>
      <c r="I4" s="55">
        <v>407792.6799999997</v>
      </c>
      <c r="J4" s="55">
        <v>380043.67999999912</v>
      </c>
      <c r="K4" s="55">
        <v>392276.57000000251</v>
      </c>
      <c r="L4" s="55">
        <v>415123.08999999962</v>
      </c>
      <c r="M4" s="55">
        <v>529158.05000000063</v>
      </c>
      <c r="N4" s="56">
        <v>4742410.5300001176</v>
      </c>
      <c r="P4" t="s">
        <v>201</v>
      </c>
    </row>
    <row r="5" spans="1:16" x14ac:dyDescent="0.3">
      <c r="A5" s="54" t="s">
        <v>1281</v>
      </c>
      <c r="B5" s="55">
        <v>54299.529999999839</v>
      </c>
      <c r="C5" s="55">
        <v>50351.399999999834</v>
      </c>
      <c r="D5" s="55">
        <v>57275.779999999912</v>
      </c>
      <c r="E5" s="55">
        <v>58146.449999999866</v>
      </c>
      <c r="F5" s="55">
        <v>61420.309999999823</v>
      </c>
      <c r="G5" s="55">
        <v>61579.399999999689</v>
      </c>
      <c r="H5" s="55">
        <v>62989.09999999986</v>
      </c>
      <c r="I5" s="55">
        <v>64457.699999999881</v>
      </c>
      <c r="J5" s="55">
        <v>58725.319999999774</v>
      </c>
      <c r="K5" s="55">
        <v>62212.539999999804</v>
      </c>
      <c r="L5" s="55">
        <v>65825.979999999719</v>
      </c>
      <c r="M5" s="55">
        <v>78484.099999999744</v>
      </c>
      <c r="N5" s="56">
        <v>735767.6099999994</v>
      </c>
      <c r="P5" t="s">
        <v>201</v>
      </c>
    </row>
    <row r="6" spans="1:16" x14ac:dyDescent="0.3">
      <c r="A6" s="54" t="s">
        <v>1282</v>
      </c>
      <c r="B6" s="55">
        <v>313889.35999999952</v>
      </c>
      <c r="C6" s="55">
        <v>352829.63999999902</v>
      </c>
      <c r="D6" s="55">
        <v>405472.08000000007</v>
      </c>
      <c r="E6" s="55">
        <v>358084.82999999973</v>
      </c>
      <c r="F6" s="55">
        <v>360180.93999999954</v>
      </c>
      <c r="G6" s="55">
        <v>324273.91000000073</v>
      </c>
      <c r="H6" s="55">
        <v>334083.28999999975</v>
      </c>
      <c r="I6" s="55">
        <v>364901.6300000003</v>
      </c>
      <c r="J6" s="55">
        <v>347255.52999999945</v>
      </c>
      <c r="K6" s="55">
        <v>331395.37999999954</v>
      </c>
      <c r="L6" s="55">
        <v>380945.3200000003</v>
      </c>
      <c r="M6" s="55">
        <v>529551.17999999947</v>
      </c>
      <c r="N6" s="56">
        <v>4402863.0900000148</v>
      </c>
      <c r="P6" t="s">
        <v>201</v>
      </c>
    </row>
    <row r="7" spans="1:16" x14ac:dyDescent="0.3">
      <c r="A7" s="54" t="s">
        <v>1283</v>
      </c>
      <c r="B7" s="55">
        <v>79451.669999999882</v>
      </c>
      <c r="C7" s="55">
        <v>82815.249999999854</v>
      </c>
      <c r="D7" s="55">
        <v>105309.65999999977</v>
      </c>
      <c r="E7" s="55">
        <v>281414.5899999995</v>
      </c>
      <c r="F7" s="55">
        <v>91144.809999999663</v>
      </c>
      <c r="G7" s="55">
        <v>101197.98999999926</v>
      </c>
      <c r="H7" s="55">
        <v>119254.46999999958</v>
      </c>
      <c r="I7" s="55">
        <v>107589.0399999996</v>
      </c>
      <c r="J7" s="55">
        <v>94746.27999999965</v>
      </c>
      <c r="K7" s="55">
        <v>109459.65999999974</v>
      </c>
      <c r="L7" s="55">
        <v>120004.82999999967</v>
      </c>
      <c r="M7" s="55">
        <v>138970.38999999975</v>
      </c>
      <c r="N7" s="56">
        <v>1431358.6399999985</v>
      </c>
      <c r="P7" t="s">
        <v>201</v>
      </c>
    </row>
    <row r="8" spans="1:16" x14ac:dyDescent="0.3">
      <c r="A8" s="57" t="s">
        <v>63</v>
      </c>
      <c r="B8" s="58">
        <v>36292.980000000003</v>
      </c>
      <c r="C8" s="58">
        <v>34594.080000000009</v>
      </c>
      <c r="D8" s="58">
        <v>36900.579999999994</v>
      </c>
      <c r="E8" s="58">
        <v>35998.830000000009</v>
      </c>
      <c r="F8" s="58">
        <v>44481.039999999979</v>
      </c>
      <c r="G8" s="58">
        <v>48739.069999999985</v>
      </c>
      <c r="H8" s="58">
        <v>57682.229999999981</v>
      </c>
      <c r="I8" s="58">
        <v>54579.360000000015</v>
      </c>
      <c r="J8" s="58">
        <v>46362.070000000022</v>
      </c>
      <c r="K8" s="58">
        <v>51180.669999999969</v>
      </c>
      <c r="L8" s="58">
        <v>43523.210000000021</v>
      </c>
      <c r="M8" s="58">
        <v>40033.250000000015</v>
      </c>
      <c r="N8" s="59">
        <v>530367.36999999976</v>
      </c>
      <c r="P8" t="s">
        <v>63</v>
      </c>
    </row>
    <row r="9" spans="1:16" x14ac:dyDescent="0.3">
      <c r="A9" s="54" t="s">
        <v>1284</v>
      </c>
      <c r="B9" s="55">
        <v>5774.0100000000029</v>
      </c>
      <c r="C9" s="55">
        <v>6739.5200000000023</v>
      </c>
      <c r="D9" s="55">
        <v>8143.2100000000019</v>
      </c>
      <c r="E9" s="55">
        <v>7434.6100000000015</v>
      </c>
      <c r="F9" s="55">
        <v>14796.130000000001</v>
      </c>
      <c r="G9" s="55">
        <v>8572.2800000000025</v>
      </c>
      <c r="H9" s="55">
        <v>8542.5500000000011</v>
      </c>
      <c r="I9" s="55">
        <v>10896.449999999999</v>
      </c>
      <c r="J9" s="55">
        <v>12797.010000000002</v>
      </c>
      <c r="K9" s="55">
        <v>10388.23</v>
      </c>
      <c r="L9" s="55">
        <v>11742.070000000002</v>
      </c>
      <c r="M9" s="55">
        <v>7547.2100000000009</v>
      </c>
      <c r="N9" s="56">
        <v>113373.2799999999</v>
      </c>
      <c r="P9" t="s">
        <v>201</v>
      </c>
    </row>
    <row r="10" spans="1:16" x14ac:dyDescent="0.3">
      <c r="A10" s="60" t="s">
        <v>1285</v>
      </c>
      <c r="B10" s="61">
        <v>209840.23999999935</v>
      </c>
      <c r="C10" s="61">
        <v>200887.14999999915</v>
      </c>
      <c r="D10" s="61">
        <v>231168.21999999887</v>
      </c>
      <c r="E10" s="61">
        <v>218099.55999999936</v>
      </c>
      <c r="F10" s="61">
        <v>242505.07999999911</v>
      </c>
      <c r="G10" s="61">
        <v>241346.7599999996</v>
      </c>
      <c r="H10" s="61">
        <v>246689.43999999901</v>
      </c>
      <c r="I10" s="61">
        <v>233400.61999999918</v>
      </c>
      <c r="J10" s="61">
        <v>223967.67999999906</v>
      </c>
      <c r="K10" s="61">
        <v>229513.46999999913</v>
      </c>
      <c r="L10" s="61">
        <v>223372.65999999922</v>
      </c>
      <c r="M10" s="61">
        <v>249167.71999999904</v>
      </c>
      <c r="N10" s="62">
        <v>2749958.6000000075</v>
      </c>
      <c r="P10" t="s">
        <v>1286</v>
      </c>
    </row>
    <row r="11" spans="1:16" x14ac:dyDescent="0.3">
      <c r="A11" s="54" t="s">
        <v>1287</v>
      </c>
      <c r="B11" s="55">
        <v>120427.36999999927</v>
      </c>
      <c r="C11" s="55">
        <v>123225.54999999938</v>
      </c>
      <c r="D11" s="55">
        <v>132997.52999999942</v>
      </c>
      <c r="E11" s="55">
        <v>128089.08999999971</v>
      </c>
      <c r="F11" s="55">
        <v>130479.95000000004</v>
      </c>
      <c r="G11" s="55">
        <v>125690.0099999996</v>
      </c>
      <c r="H11" s="55">
        <v>132508.93999999951</v>
      </c>
      <c r="I11" s="55">
        <v>138177.40999999928</v>
      </c>
      <c r="J11" s="55">
        <v>130878.58999999941</v>
      </c>
      <c r="K11" s="55">
        <v>135999.37999999983</v>
      </c>
      <c r="L11" s="55">
        <v>137200.72999999952</v>
      </c>
      <c r="M11" s="55">
        <v>135423.82999999978</v>
      </c>
      <c r="N11" s="56">
        <v>1571098.3800000108</v>
      </c>
      <c r="P11" t="s">
        <v>201</v>
      </c>
    </row>
    <row r="12" spans="1:16" x14ac:dyDescent="0.3">
      <c r="A12" s="63" t="s">
        <v>1288</v>
      </c>
      <c r="B12" s="64">
        <v>424722.56</v>
      </c>
      <c r="C12" s="64">
        <v>420312.0999999998</v>
      </c>
      <c r="D12" s="64">
        <v>454216.07999999973</v>
      </c>
      <c r="E12" s="64">
        <v>469321.85</v>
      </c>
      <c r="F12" s="64">
        <v>437491.57000000007</v>
      </c>
      <c r="G12" s="64">
        <v>407088.39000000013</v>
      </c>
      <c r="H12" s="64">
        <v>484054.56000000023</v>
      </c>
      <c r="I12" s="64">
        <v>490780.54999999993</v>
      </c>
      <c r="J12" s="64">
        <v>515680.83000000013</v>
      </c>
      <c r="K12" s="64">
        <v>455498.44999999972</v>
      </c>
      <c r="L12" s="64">
        <v>455345.8600000001</v>
      </c>
      <c r="M12" s="64">
        <v>515419.31000000041</v>
      </c>
      <c r="N12" s="65">
        <v>5529932.110000005</v>
      </c>
      <c r="P12" t="s">
        <v>1288</v>
      </c>
    </row>
    <row r="13" spans="1:16" x14ac:dyDescent="0.3">
      <c r="A13" s="60" t="s">
        <v>1289</v>
      </c>
      <c r="B13" s="61">
        <v>185697.19999999972</v>
      </c>
      <c r="C13" s="61">
        <v>172673.44999999998</v>
      </c>
      <c r="D13" s="61">
        <v>195310.11999999959</v>
      </c>
      <c r="E13" s="61">
        <v>185139.57999999973</v>
      </c>
      <c r="F13" s="61">
        <v>187496.15999999986</v>
      </c>
      <c r="G13" s="61">
        <v>182960.07999999932</v>
      </c>
      <c r="H13" s="61">
        <v>194017.19999999969</v>
      </c>
      <c r="I13" s="61">
        <v>198221.33999999953</v>
      </c>
      <c r="J13" s="61">
        <v>197519.81999999966</v>
      </c>
      <c r="K13" s="61">
        <v>212250.79999999946</v>
      </c>
      <c r="L13" s="61">
        <v>194227.3599999994</v>
      </c>
      <c r="M13" s="61">
        <v>204068.55999999965</v>
      </c>
      <c r="N13" s="62">
        <v>2309581.6700000013</v>
      </c>
      <c r="P13" t="s">
        <v>1286</v>
      </c>
    </row>
    <row r="14" spans="1:16" x14ac:dyDescent="0.3">
      <c r="A14" s="54" t="s">
        <v>67</v>
      </c>
      <c r="B14" s="55">
        <v>141415.43999999948</v>
      </c>
      <c r="C14" s="55">
        <v>124382.63999999952</v>
      </c>
      <c r="D14" s="55">
        <v>146020.07999999961</v>
      </c>
      <c r="E14" s="55">
        <v>128641.10999999943</v>
      </c>
      <c r="F14" s="55">
        <v>132501.6199999995</v>
      </c>
      <c r="G14" s="55">
        <v>117858.61999999985</v>
      </c>
      <c r="H14" s="55">
        <v>130589.09999999973</v>
      </c>
      <c r="I14" s="55">
        <v>122631.61999999973</v>
      </c>
      <c r="J14" s="55">
        <v>131584.29999999973</v>
      </c>
      <c r="K14" s="55">
        <v>126035.45999999973</v>
      </c>
      <c r="L14" s="55">
        <v>137720.8799999998</v>
      </c>
      <c r="M14" s="55">
        <v>131954.71999999954</v>
      </c>
      <c r="N14" s="56">
        <v>1571335.5900000064</v>
      </c>
      <c r="P14" t="s">
        <v>201</v>
      </c>
    </row>
    <row r="15" spans="1:16" x14ac:dyDescent="0.3">
      <c r="A15" s="48" t="s">
        <v>1290</v>
      </c>
      <c r="B15" s="49">
        <v>2184.5499999999997</v>
      </c>
      <c r="C15" s="49">
        <v>1955.57</v>
      </c>
      <c r="D15" s="49">
        <v>2092.4300000000003</v>
      </c>
      <c r="E15" s="49">
        <v>2171.3000000000002</v>
      </c>
      <c r="F15" s="49">
        <v>2137.36</v>
      </c>
      <c r="G15" s="49">
        <v>1989.5099999999998</v>
      </c>
      <c r="H15" s="49">
        <v>2351.09</v>
      </c>
      <c r="I15" s="49">
        <v>2309.11</v>
      </c>
      <c r="J15" s="49">
        <v>2427.8999999999996</v>
      </c>
      <c r="K15" s="49">
        <v>2245.1899999999996</v>
      </c>
      <c r="L15" s="49">
        <v>2076.84</v>
      </c>
      <c r="M15" s="49">
        <v>2341.0700000000002</v>
      </c>
      <c r="N15" s="50">
        <v>26281.920000000006</v>
      </c>
      <c r="P15" t="s">
        <v>201</v>
      </c>
    </row>
    <row r="16" spans="1:16" x14ac:dyDescent="0.3">
      <c r="A16" s="57" t="s">
        <v>83</v>
      </c>
      <c r="B16" s="58">
        <v>124788.70000000004</v>
      </c>
      <c r="C16" s="58">
        <v>114461.45000000001</v>
      </c>
      <c r="D16" s="58">
        <v>128530.96999999994</v>
      </c>
      <c r="E16" s="58">
        <v>140022.18000000002</v>
      </c>
      <c r="F16" s="58">
        <v>148202.48999999987</v>
      </c>
      <c r="G16" s="58">
        <v>153697.68999999994</v>
      </c>
      <c r="H16" s="58">
        <v>168703.86000000007</v>
      </c>
      <c r="I16" s="58">
        <v>162572.10999999999</v>
      </c>
      <c r="J16" s="58">
        <v>156176.00999999995</v>
      </c>
      <c r="K16" s="58">
        <v>167854.93000000002</v>
      </c>
      <c r="L16" s="58">
        <v>154849.09000000003</v>
      </c>
      <c r="M16" s="58">
        <v>165523.01</v>
      </c>
      <c r="N16" s="59">
        <v>1785382.4899999998</v>
      </c>
      <c r="P16" t="s">
        <v>83</v>
      </c>
    </row>
    <row r="17" spans="1:16" x14ac:dyDescent="0.3">
      <c r="A17" s="54" t="s">
        <v>1291</v>
      </c>
      <c r="B17" s="55">
        <v>40479.519999999997</v>
      </c>
      <c r="C17" s="55">
        <v>39689.179999999993</v>
      </c>
      <c r="D17" s="55">
        <v>41841.56</v>
      </c>
      <c r="E17" s="55">
        <v>40344.040000000008</v>
      </c>
      <c r="F17" s="55">
        <v>42615.449999999983</v>
      </c>
      <c r="G17" s="55">
        <v>38025.300000000032</v>
      </c>
      <c r="H17" s="55">
        <v>42082.67</v>
      </c>
      <c r="I17" s="55">
        <v>41601.169999999984</v>
      </c>
      <c r="J17" s="55">
        <v>40033.439999999981</v>
      </c>
      <c r="K17" s="55">
        <v>42097.62000000001</v>
      </c>
      <c r="L17" s="55">
        <v>38194.449999999983</v>
      </c>
      <c r="M17" s="55">
        <v>34963.429999999986</v>
      </c>
      <c r="N17" s="56">
        <v>481967.82999999926</v>
      </c>
      <c r="P17" t="s">
        <v>201</v>
      </c>
    </row>
    <row r="18" spans="1:16" x14ac:dyDescent="0.3">
      <c r="A18" s="60" t="s">
        <v>1292</v>
      </c>
      <c r="B18" s="61">
        <v>15920.580000000005</v>
      </c>
      <c r="C18" s="61">
        <v>23302.420000000006</v>
      </c>
      <c r="D18" s="61">
        <v>50340.459999999992</v>
      </c>
      <c r="E18" s="61">
        <v>66043.28</v>
      </c>
      <c r="F18" s="61">
        <v>13998.440000000002</v>
      </c>
      <c r="G18" s="61">
        <v>13319.340000000004</v>
      </c>
      <c r="H18" s="61">
        <v>12229.770000000004</v>
      </c>
      <c r="I18" s="61">
        <v>16352.350000000006</v>
      </c>
      <c r="J18" s="61">
        <v>16117.760000000006</v>
      </c>
      <c r="K18" s="61">
        <v>17462.570000000007</v>
      </c>
      <c r="L18" s="61">
        <v>13912.500000000005</v>
      </c>
      <c r="M18" s="61">
        <v>12141.210000000005</v>
      </c>
      <c r="N18" s="62">
        <v>271140.67999999982</v>
      </c>
      <c r="P18" t="s">
        <v>1286</v>
      </c>
    </row>
    <row r="19" spans="1:16" ht="15.6" customHeight="1" x14ac:dyDescent="0.3">
      <c r="A19" s="57" t="s">
        <v>92</v>
      </c>
      <c r="B19" s="58">
        <v>316.06</v>
      </c>
      <c r="C19" s="58">
        <v>222.44</v>
      </c>
      <c r="D19" s="58">
        <v>636.19000000000005</v>
      </c>
      <c r="E19" s="58">
        <v>29.84</v>
      </c>
      <c r="F19" s="58">
        <v>656.15</v>
      </c>
      <c r="G19" s="58">
        <v>754.15000000000009</v>
      </c>
      <c r="H19" s="58">
        <v>515.83999999999992</v>
      </c>
      <c r="I19" s="58">
        <v>337.08</v>
      </c>
      <c r="J19" s="58">
        <v>584.11999999999989</v>
      </c>
      <c r="K19" s="58">
        <v>875.28</v>
      </c>
      <c r="L19" s="58">
        <v>327.12</v>
      </c>
      <c r="M19" s="58">
        <v>36.68</v>
      </c>
      <c r="N19" s="59">
        <v>5290.9500000000007</v>
      </c>
      <c r="P19" t="s">
        <v>92</v>
      </c>
    </row>
    <row r="20" spans="1:16" x14ac:dyDescent="0.3">
      <c r="A20" s="51" t="s">
        <v>64</v>
      </c>
      <c r="B20" s="52">
        <v>3181874.2499999991</v>
      </c>
      <c r="C20" s="52">
        <v>3138878.7500000051</v>
      </c>
      <c r="D20" s="52">
        <v>3437306.290000008</v>
      </c>
      <c r="E20" s="52">
        <v>3626851.3900000006</v>
      </c>
      <c r="F20" s="52">
        <v>3511361.330000001</v>
      </c>
      <c r="G20" s="52">
        <v>3390641.5500000156</v>
      </c>
      <c r="H20" s="52">
        <v>3635735.9900000044</v>
      </c>
      <c r="I20" s="52">
        <v>3635916.7900000047</v>
      </c>
      <c r="J20" s="52">
        <v>3451916.5500000082</v>
      </c>
      <c r="K20" s="52">
        <v>3491968.400000005</v>
      </c>
      <c r="L20" s="52">
        <v>3548148.2699999949</v>
      </c>
      <c r="M20" s="52">
        <v>4004814.1600000095</v>
      </c>
      <c r="N20" s="52">
        <v>42055413.720000058</v>
      </c>
    </row>
    <row r="21" spans="1:16" x14ac:dyDescent="0.3">
      <c r="B21" s="53">
        <f t="shared" ref="B21:N21" si="0">B19+B16+B8</f>
        <v>161397.74000000005</v>
      </c>
      <c r="C21" s="53">
        <f t="shared" si="0"/>
        <v>149277.97000000003</v>
      </c>
      <c r="D21" s="53">
        <f t="shared" si="0"/>
        <v>166067.73999999993</v>
      </c>
      <c r="E21" s="53">
        <f t="shared" si="0"/>
        <v>176050.85000000003</v>
      </c>
      <c r="F21" s="53">
        <f t="shared" si="0"/>
        <v>193339.67999999985</v>
      </c>
      <c r="G21" s="53">
        <f t="shared" si="0"/>
        <v>203190.90999999992</v>
      </c>
      <c r="H21" s="53">
        <f t="shared" si="0"/>
        <v>226901.93000000005</v>
      </c>
      <c r="I21" s="53">
        <f t="shared" si="0"/>
        <v>217488.55</v>
      </c>
      <c r="J21" s="53">
        <f t="shared" si="0"/>
        <v>203122.19999999995</v>
      </c>
      <c r="K21" s="53">
        <f t="shared" si="0"/>
        <v>219910.88</v>
      </c>
      <c r="L21" s="53">
        <f t="shared" si="0"/>
        <v>198699.42000000004</v>
      </c>
      <c r="M21" s="53">
        <f t="shared" si="0"/>
        <v>205592.94</v>
      </c>
      <c r="N21" s="53">
        <f t="shared" si="0"/>
        <v>2321040.8099999996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2787-EEA8-437D-AF3E-CA10C856718C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745868.96999999962</v>
      </c>
      <c r="C2" s="45">
        <v>775079.21000000031</v>
      </c>
      <c r="D2" s="45">
        <v>814395.09000000067</v>
      </c>
      <c r="E2" s="45">
        <v>796031.95000000054</v>
      </c>
      <c r="F2" s="45">
        <v>830064.26000000082</v>
      </c>
      <c r="G2" s="45">
        <v>772522.10999999952</v>
      </c>
      <c r="H2" s="45">
        <v>866045.08000000054</v>
      </c>
      <c r="I2" s="45">
        <v>851234.3900000006</v>
      </c>
      <c r="J2" s="45">
        <v>767653.3199999996</v>
      </c>
      <c r="K2" s="45">
        <v>795755.55999999982</v>
      </c>
      <c r="L2" s="45">
        <v>796422.0699999996</v>
      </c>
      <c r="M2" s="45">
        <v>928491.15000000061</v>
      </c>
      <c r="N2" s="46">
        <v>9739563.1599999946</v>
      </c>
      <c r="P2" s="2" t="s">
        <v>24</v>
      </c>
    </row>
    <row r="3" spans="1:16" x14ac:dyDescent="0.3">
      <c r="A3" s="54" t="s">
        <v>1279</v>
      </c>
      <c r="B3" s="55">
        <v>404370.12999999977</v>
      </c>
      <c r="C3" s="55">
        <v>379114.59999999974</v>
      </c>
      <c r="D3" s="55">
        <v>396383.21000000008</v>
      </c>
      <c r="E3" s="55">
        <v>379124.12000000011</v>
      </c>
      <c r="F3" s="55">
        <v>430200.18</v>
      </c>
      <c r="G3" s="55">
        <v>423861.92000000016</v>
      </c>
      <c r="H3" s="55">
        <v>430548.13999999972</v>
      </c>
      <c r="I3" s="55">
        <v>427184.52000000031</v>
      </c>
      <c r="J3" s="55">
        <v>367813.11999999953</v>
      </c>
      <c r="K3" s="55">
        <v>396553.5400000005</v>
      </c>
      <c r="L3" s="55">
        <v>373892.48</v>
      </c>
      <c r="M3" s="55">
        <v>343193.6099999994</v>
      </c>
      <c r="N3" s="56">
        <v>4752239.5699999994</v>
      </c>
      <c r="P3" t="s">
        <v>201</v>
      </c>
    </row>
    <row r="4" spans="1:16" x14ac:dyDescent="0.3">
      <c r="A4" s="54" t="s">
        <v>1280</v>
      </c>
      <c r="B4" s="55">
        <v>420358.79000000033</v>
      </c>
      <c r="C4" s="55">
        <v>424539.55000000133</v>
      </c>
      <c r="D4" s="55">
        <v>460923.21000000299</v>
      </c>
      <c r="E4" s="55">
        <v>474080.00999999873</v>
      </c>
      <c r="F4" s="55">
        <v>500503.03000000049</v>
      </c>
      <c r="G4" s="55">
        <v>517767.08000001067</v>
      </c>
      <c r="H4" s="55">
        <v>534608.58000000147</v>
      </c>
      <c r="I4" s="55">
        <v>510348.28000000294</v>
      </c>
      <c r="J4" s="55">
        <v>464817.19000000169</v>
      </c>
      <c r="K4" s="55">
        <v>516251.1800000025</v>
      </c>
      <c r="L4" s="55">
        <v>518175.27000000235</v>
      </c>
      <c r="M4" s="55">
        <v>679026.60000000335</v>
      </c>
      <c r="N4" s="56">
        <v>6021398.7700001029</v>
      </c>
      <c r="P4" t="s">
        <v>201</v>
      </c>
    </row>
    <row r="5" spans="1:16" x14ac:dyDescent="0.3">
      <c r="A5" s="54" t="s">
        <v>1281</v>
      </c>
      <c r="B5" s="55">
        <v>77449.32999999974</v>
      </c>
      <c r="C5" s="55">
        <v>76161.699999999721</v>
      </c>
      <c r="D5" s="55">
        <v>79718.66999999978</v>
      </c>
      <c r="E5" s="55">
        <v>81739.229999999792</v>
      </c>
      <c r="F5" s="55">
        <v>83476.339999999735</v>
      </c>
      <c r="G5" s="55">
        <v>78401.369999999646</v>
      </c>
      <c r="H5" s="55">
        <v>76455.969999999696</v>
      </c>
      <c r="I5" s="55">
        <v>84317.039999999688</v>
      </c>
      <c r="J5" s="55">
        <v>73936.679999999644</v>
      </c>
      <c r="K5" s="55">
        <v>84625.259999999573</v>
      </c>
      <c r="L5" s="55">
        <v>80986.589999999647</v>
      </c>
      <c r="M5" s="55">
        <v>97407.489999999685</v>
      </c>
      <c r="N5" s="56">
        <v>974675.67000000272</v>
      </c>
      <c r="P5" t="s">
        <v>201</v>
      </c>
    </row>
    <row r="6" spans="1:16" x14ac:dyDescent="0.3">
      <c r="A6" s="54" t="s">
        <v>1282</v>
      </c>
      <c r="B6" s="55">
        <v>383335.13999999955</v>
      </c>
      <c r="C6" s="55">
        <v>425288.12999999907</v>
      </c>
      <c r="D6" s="55">
        <v>478624.69999999966</v>
      </c>
      <c r="E6" s="55">
        <v>421644.11999999941</v>
      </c>
      <c r="F6" s="55">
        <v>425303.03999999905</v>
      </c>
      <c r="G6" s="55">
        <v>373620.27000000142</v>
      </c>
      <c r="H6" s="55">
        <v>385249.72999999917</v>
      </c>
      <c r="I6" s="55">
        <v>429970.85</v>
      </c>
      <c r="J6" s="55">
        <v>382005.5799999985</v>
      </c>
      <c r="K6" s="55">
        <v>394633.28000000038</v>
      </c>
      <c r="L6" s="55">
        <v>439858.84999999992</v>
      </c>
      <c r="M6" s="55">
        <v>617392.32999999996</v>
      </c>
      <c r="N6" s="56">
        <v>5156926.0200000172</v>
      </c>
      <c r="P6" t="s">
        <v>201</v>
      </c>
    </row>
    <row r="7" spans="1:16" x14ac:dyDescent="0.3">
      <c r="A7" s="54" t="s">
        <v>1283</v>
      </c>
      <c r="B7" s="55">
        <v>103127.50999999969</v>
      </c>
      <c r="C7" s="55">
        <v>114068.0099999997</v>
      </c>
      <c r="D7" s="55">
        <v>139477.51999999984</v>
      </c>
      <c r="E7" s="55">
        <v>331577.34999999934</v>
      </c>
      <c r="F7" s="55">
        <v>120786.00999999972</v>
      </c>
      <c r="G7" s="55">
        <v>131614.08999999912</v>
      </c>
      <c r="H7" s="55">
        <v>136506.97999999957</v>
      </c>
      <c r="I7" s="55">
        <v>133436.7099999995</v>
      </c>
      <c r="J7" s="55">
        <v>117976.0999999996</v>
      </c>
      <c r="K7" s="55">
        <v>136473.07999999973</v>
      </c>
      <c r="L7" s="55">
        <v>136315.89999999938</v>
      </c>
      <c r="M7" s="55">
        <v>181847.0499999997</v>
      </c>
      <c r="N7" s="56">
        <v>1783206.3100000033</v>
      </c>
      <c r="P7" t="s">
        <v>201</v>
      </c>
    </row>
    <row r="8" spans="1:16" x14ac:dyDescent="0.3">
      <c r="A8" s="57" t="s">
        <v>63</v>
      </c>
      <c r="B8" s="58">
        <v>44202.930000000015</v>
      </c>
      <c r="C8" s="58">
        <v>43199.750000000015</v>
      </c>
      <c r="D8" s="58">
        <v>51106.559999999969</v>
      </c>
      <c r="E8" s="58">
        <v>53291.319999999992</v>
      </c>
      <c r="F8" s="58">
        <v>58158.360000000015</v>
      </c>
      <c r="G8" s="58">
        <v>60398.910000000062</v>
      </c>
      <c r="H8" s="58">
        <v>69520.569999999992</v>
      </c>
      <c r="I8" s="58">
        <v>65756</v>
      </c>
      <c r="J8" s="58">
        <v>51980.049999999988</v>
      </c>
      <c r="K8" s="58">
        <v>61716.290000000023</v>
      </c>
      <c r="L8" s="58">
        <v>50423.340000000026</v>
      </c>
      <c r="M8" s="58">
        <v>46718.130000000026</v>
      </c>
      <c r="N8" s="59">
        <v>656472.20999999985</v>
      </c>
      <c r="P8" t="s">
        <v>63</v>
      </c>
    </row>
    <row r="9" spans="1:16" x14ac:dyDescent="0.3">
      <c r="A9" s="54" t="s">
        <v>1284</v>
      </c>
      <c r="B9" s="55">
        <v>8048.8500000000031</v>
      </c>
      <c r="C9" s="55">
        <v>8269.1600000000035</v>
      </c>
      <c r="D9" s="55">
        <v>9410.7500000000018</v>
      </c>
      <c r="E9" s="55">
        <v>7365.3600000000006</v>
      </c>
      <c r="F9" s="55">
        <v>17392.010000000002</v>
      </c>
      <c r="G9" s="55">
        <v>7069.73</v>
      </c>
      <c r="H9" s="55">
        <v>8844.3900000000031</v>
      </c>
      <c r="I9" s="55">
        <v>11422.820000000003</v>
      </c>
      <c r="J9" s="55">
        <v>13471.23</v>
      </c>
      <c r="K9" s="55">
        <v>13312.23</v>
      </c>
      <c r="L9" s="55">
        <v>14704.180000000004</v>
      </c>
      <c r="M9" s="55">
        <v>10715.390000000001</v>
      </c>
      <c r="N9" s="56">
        <v>130026.09999999983</v>
      </c>
      <c r="P9" t="s">
        <v>201</v>
      </c>
    </row>
    <row r="10" spans="1:16" x14ac:dyDescent="0.3">
      <c r="A10" s="60" t="s">
        <v>1285</v>
      </c>
      <c r="B10" s="61">
        <v>224865.97999999928</v>
      </c>
      <c r="C10" s="61">
        <v>218571.67999999889</v>
      </c>
      <c r="D10" s="61">
        <v>246135.63999999897</v>
      </c>
      <c r="E10" s="61">
        <v>241240.3899999994</v>
      </c>
      <c r="F10" s="61">
        <v>275136.83999999939</v>
      </c>
      <c r="G10" s="61">
        <v>262558.38</v>
      </c>
      <c r="H10" s="61">
        <v>248849.09999999913</v>
      </c>
      <c r="I10" s="61">
        <v>248531.33999999898</v>
      </c>
      <c r="J10" s="61">
        <v>234832.32999999903</v>
      </c>
      <c r="K10" s="61">
        <v>246371.55999999953</v>
      </c>
      <c r="L10" s="61">
        <v>231264.70999999897</v>
      </c>
      <c r="M10" s="61">
        <v>271953.489999999</v>
      </c>
      <c r="N10" s="62">
        <v>2950311.4400000088</v>
      </c>
      <c r="P10" t="s">
        <v>1286</v>
      </c>
    </row>
    <row r="11" spans="1:16" x14ac:dyDescent="0.3">
      <c r="A11" s="54" t="s">
        <v>1287</v>
      </c>
      <c r="B11" s="55">
        <v>146912.20999999947</v>
      </c>
      <c r="C11" s="55">
        <v>154218.43999999965</v>
      </c>
      <c r="D11" s="55">
        <v>160494.43000000028</v>
      </c>
      <c r="E11" s="55">
        <v>157170.15999999995</v>
      </c>
      <c r="F11" s="55">
        <v>166967.14000000001</v>
      </c>
      <c r="G11" s="55">
        <v>154765.11000000019</v>
      </c>
      <c r="H11" s="55">
        <v>163108.27999999965</v>
      </c>
      <c r="I11" s="55">
        <v>160675.15999999986</v>
      </c>
      <c r="J11" s="55">
        <v>153655.35000000009</v>
      </c>
      <c r="K11" s="55">
        <v>165842.61000000016</v>
      </c>
      <c r="L11" s="55">
        <v>165271.19999999955</v>
      </c>
      <c r="M11" s="55">
        <v>169505.30000000034</v>
      </c>
      <c r="N11" s="56">
        <v>1918585.3900000139</v>
      </c>
      <c r="P11" t="s">
        <v>201</v>
      </c>
    </row>
    <row r="12" spans="1:16" x14ac:dyDescent="0.3">
      <c r="A12" s="63" t="s">
        <v>1288</v>
      </c>
      <c r="B12" s="64">
        <v>492596.77999999991</v>
      </c>
      <c r="C12" s="64">
        <v>510779.97999999992</v>
      </c>
      <c r="D12" s="64">
        <v>543772.21999999974</v>
      </c>
      <c r="E12" s="64">
        <v>580892.16000000061</v>
      </c>
      <c r="F12" s="64">
        <v>535967.53000000014</v>
      </c>
      <c r="G12" s="64">
        <v>505019.45000000024</v>
      </c>
      <c r="H12" s="64">
        <v>556548.01</v>
      </c>
      <c r="I12" s="64">
        <v>570654.04999999993</v>
      </c>
      <c r="J12" s="64">
        <v>574699.85000000009</v>
      </c>
      <c r="K12" s="64">
        <v>545980.65000000049</v>
      </c>
      <c r="L12" s="64">
        <v>548859.28000000026</v>
      </c>
      <c r="M12" s="64">
        <v>640166.1399999999</v>
      </c>
      <c r="N12" s="65">
        <v>6605936.1000000034</v>
      </c>
      <c r="P12" t="s">
        <v>1288</v>
      </c>
    </row>
    <row r="13" spans="1:16" x14ac:dyDescent="0.3">
      <c r="A13" s="60" t="s">
        <v>1289</v>
      </c>
      <c r="B13" s="61">
        <v>226605.86999999962</v>
      </c>
      <c r="C13" s="61">
        <v>214275.85999999972</v>
      </c>
      <c r="D13" s="61">
        <v>253650.91999999908</v>
      </c>
      <c r="E13" s="61">
        <v>235269.96999999974</v>
      </c>
      <c r="F13" s="61">
        <v>238086.55999999953</v>
      </c>
      <c r="G13" s="61">
        <v>232123.90999999957</v>
      </c>
      <c r="H13" s="61">
        <v>246166.90999999965</v>
      </c>
      <c r="I13" s="61">
        <v>248707.54999999946</v>
      </c>
      <c r="J13" s="61">
        <v>251056.5599999993</v>
      </c>
      <c r="K13" s="61">
        <v>272067.49999999919</v>
      </c>
      <c r="L13" s="61">
        <v>250278.07999999938</v>
      </c>
      <c r="M13" s="61">
        <v>259728.07999999949</v>
      </c>
      <c r="N13" s="62">
        <v>2928017.7700000014</v>
      </c>
      <c r="P13" t="s">
        <v>1286</v>
      </c>
    </row>
    <row r="14" spans="1:16" x14ac:dyDescent="0.3">
      <c r="A14" s="54" t="s">
        <v>67</v>
      </c>
      <c r="B14" s="55">
        <v>160578.25999999937</v>
      </c>
      <c r="C14" s="55">
        <v>149886.82999999941</v>
      </c>
      <c r="D14" s="55">
        <v>167038.85999999917</v>
      </c>
      <c r="E14" s="55">
        <v>152986.22999999952</v>
      </c>
      <c r="F14" s="55">
        <v>165786.7999999997</v>
      </c>
      <c r="G14" s="55">
        <v>148291.6299999996</v>
      </c>
      <c r="H14" s="55">
        <v>163540.99999999968</v>
      </c>
      <c r="I14" s="55">
        <v>158298.06999999942</v>
      </c>
      <c r="J14" s="55">
        <v>159584.68999999936</v>
      </c>
      <c r="K14" s="55">
        <v>159976.00999999951</v>
      </c>
      <c r="L14" s="55">
        <v>161696.92999999964</v>
      </c>
      <c r="M14" s="55">
        <v>159431.05999999959</v>
      </c>
      <c r="N14" s="56">
        <v>1907096.3700000108</v>
      </c>
      <c r="P14" t="s">
        <v>201</v>
      </c>
    </row>
    <row r="15" spans="1:16" x14ac:dyDescent="0.3">
      <c r="A15" s="48" t="s">
        <v>1290</v>
      </c>
      <c r="B15" s="49">
        <v>5101.2900000000009</v>
      </c>
      <c r="C15" s="49">
        <v>5437.89</v>
      </c>
      <c r="D15" s="49">
        <v>6144.8899999999994</v>
      </c>
      <c r="E15" s="49">
        <v>6631.86</v>
      </c>
      <c r="F15" s="49">
        <v>6152.7999999999993</v>
      </c>
      <c r="G15" s="49">
        <v>6187.9</v>
      </c>
      <c r="H15" s="49">
        <v>6179.8799999999992</v>
      </c>
      <c r="I15" s="49">
        <v>5811.83</v>
      </c>
      <c r="J15" s="49">
        <v>4089.9800000000005</v>
      </c>
      <c r="K15" s="49">
        <v>5345.0599999999995</v>
      </c>
      <c r="L15" s="49">
        <v>6494.41</v>
      </c>
      <c r="M15" s="49">
        <v>6314.74</v>
      </c>
      <c r="N15" s="50">
        <v>69892.53</v>
      </c>
      <c r="P15" t="s">
        <v>201</v>
      </c>
    </row>
    <row r="16" spans="1:16" x14ac:dyDescent="0.3">
      <c r="A16" s="57" t="s">
        <v>83</v>
      </c>
      <c r="B16" s="58">
        <v>137076.67000000001</v>
      </c>
      <c r="C16" s="58">
        <v>131500.50000000006</v>
      </c>
      <c r="D16" s="58">
        <v>158929.39000000001</v>
      </c>
      <c r="E16" s="58">
        <v>164930.9599999999</v>
      </c>
      <c r="F16" s="58">
        <v>176082.07000000012</v>
      </c>
      <c r="G16" s="58">
        <v>188628.37999999989</v>
      </c>
      <c r="H16" s="58">
        <v>209177.03000000014</v>
      </c>
      <c r="I16" s="58">
        <v>198555.44000000003</v>
      </c>
      <c r="J16" s="58">
        <v>195051.98999999987</v>
      </c>
      <c r="K16" s="58">
        <v>200937.15000000014</v>
      </c>
      <c r="L16" s="58">
        <v>199643.67999999993</v>
      </c>
      <c r="M16" s="58">
        <v>196457.2600000001</v>
      </c>
      <c r="N16" s="59">
        <v>2156970.5200000009</v>
      </c>
      <c r="P16" t="s">
        <v>83</v>
      </c>
    </row>
    <row r="17" spans="1:16" x14ac:dyDescent="0.3">
      <c r="A17" s="54" t="s">
        <v>1291</v>
      </c>
      <c r="B17" s="55">
        <v>48503.979999999967</v>
      </c>
      <c r="C17" s="55">
        <v>48613.41</v>
      </c>
      <c r="D17" s="55">
        <v>53734.51</v>
      </c>
      <c r="E17" s="55">
        <v>50219.680000000008</v>
      </c>
      <c r="F17" s="55">
        <v>52405.580000000016</v>
      </c>
      <c r="G17" s="55">
        <v>48870.630000000012</v>
      </c>
      <c r="H17" s="55">
        <v>50801.569999999992</v>
      </c>
      <c r="I17" s="55">
        <v>47054.260000000017</v>
      </c>
      <c r="J17" s="55">
        <v>47618.709999999977</v>
      </c>
      <c r="K17" s="55">
        <v>49987.430000000015</v>
      </c>
      <c r="L17" s="55">
        <v>46687.81</v>
      </c>
      <c r="M17" s="55">
        <v>40849.449999999983</v>
      </c>
      <c r="N17" s="56">
        <v>585347.0199999992</v>
      </c>
      <c r="P17" t="s">
        <v>201</v>
      </c>
    </row>
    <row r="18" spans="1:16" x14ac:dyDescent="0.3">
      <c r="A18" s="60" t="s">
        <v>1292</v>
      </c>
      <c r="B18" s="61">
        <v>20454.360000000004</v>
      </c>
      <c r="C18" s="61">
        <v>36376.569999999992</v>
      </c>
      <c r="D18" s="61">
        <v>62604.650000000009</v>
      </c>
      <c r="E18" s="61">
        <v>85004.239999999991</v>
      </c>
      <c r="F18" s="61">
        <v>20659.289999999994</v>
      </c>
      <c r="G18" s="61">
        <v>14834.379999999997</v>
      </c>
      <c r="H18" s="61">
        <v>14597.880000000008</v>
      </c>
      <c r="I18" s="61">
        <v>18683.450000000004</v>
      </c>
      <c r="J18" s="61">
        <v>22157.47</v>
      </c>
      <c r="K18" s="61">
        <v>23206.230000000003</v>
      </c>
      <c r="L18" s="61">
        <v>22274.920000000009</v>
      </c>
      <c r="M18" s="61">
        <v>21971.89</v>
      </c>
      <c r="N18" s="62">
        <v>362825.32999999967</v>
      </c>
      <c r="P18" t="s">
        <v>1286</v>
      </c>
    </row>
    <row r="19" spans="1:16" ht="15.6" customHeight="1" x14ac:dyDescent="0.3">
      <c r="A19" s="57" t="s">
        <v>92</v>
      </c>
      <c r="B19" s="58">
        <v>38632.600000000006</v>
      </c>
      <c r="C19" s="58">
        <v>34805.08</v>
      </c>
      <c r="D19" s="58">
        <v>38323.179999999993</v>
      </c>
      <c r="E19" s="58">
        <v>38314.53</v>
      </c>
      <c r="F19" s="58">
        <v>45571.76</v>
      </c>
      <c r="G19" s="58">
        <v>49359.409999999974</v>
      </c>
      <c r="H19" s="58">
        <v>44241.26</v>
      </c>
      <c r="I19" s="58">
        <v>57427.41</v>
      </c>
      <c r="J19" s="58">
        <v>52208.87000000001</v>
      </c>
      <c r="K19" s="58">
        <v>47695.740000000013</v>
      </c>
      <c r="L19" s="58">
        <v>45537.73</v>
      </c>
      <c r="M19" s="58">
        <v>53150.16</v>
      </c>
      <c r="N19" s="59">
        <v>545267.7300000001</v>
      </c>
      <c r="P19" t="s">
        <v>92</v>
      </c>
    </row>
    <row r="20" spans="1:16" x14ac:dyDescent="0.3">
      <c r="A20" s="51" t="s">
        <v>64</v>
      </c>
      <c r="B20" s="52">
        <v>3688089.6500000041</v>
      </c>
      <c r="C20" s="52">
        <v>3750186.3500000071</v>
      </c>
      <c r="D20" s="52">
        <v>4120868.4000000125</v>
      </c>
      <c r="E20" s="52">
        <v>4257513.640000009</v>
      </c>
      <c r="F20" s="52">
        <v>4148699.600000001</v>
      </c>
      <c r="G20" s="52">
        <v>3975894.6600000258</v>
      </c>
      <c r="H20" s="52">
        <v>4210990.3600000059</v>
      </c>
      <c r="I20" s="52">
        <v>4228069.1700000102</v>
      </c>
      <c r="J20" s="52">
        <v>3934609.0700000077</v>
      </c>
      <c r="K20" s="52">
        <v>4116730.3599999873</v>
      </c>
      <c r="L20" s="52">
        <v>4088787.4300000076</v>
      </c>
      <c r="M20" s="52">
        <v>4724319.3199999938</v>
      </c>
      <c r="N20" s="52">
        <v>49244758.01000008</v>
      </c>
    </row>
    <row r="21" spans="1:16" x14ac:dyDescent="0.3">
      <c r="B21" s="53">
        <f t="shared" ref="B21:N21" si="0">B19+B16+B8</f>
        <v>219912.20000000004</v>
      </c>
      <c r="C21" s="53">
        <f t="shared" si="0"/>
        <v>209505.33000000007</v>
      </c>
      <c r="D21" s="53">
        <f t="shared" si="0"/>
        <v>248359.12999999998</v>
      </c>
      <c r="E21" s="53">
        <f t="shared" si="0"/>
        <v>256536.80999999988</v>
      </c>
      <c r="F21" s="53">
        <f t="shared" si="0"/>
        <v>279812.19000000018</v>
      </c>
      <c r="G21" s="53">
        <f t="shared" si="0"/>
        <v>298386.69999999995</v>
      </c>
      <c r="H21" s="53">
        <f t="shared" si="0"/>
        <v>322938.86000000016</v>
      </c>
      <c r="I21" s="53">
        <f t="shared" si="0"/>
        <v>321738.85000000003</v>
      </c>
      <c r="J21" s="53">
        <f t="shared" si="0"/>
        <v>299240.90999999986</v>
      </c>
      <c r="K21" s="53">
        <f t="shared" si="0"/>
        <v>310349.18000000017</v>
      </c>
      <c r="L21" s="53">
        <f t="shared" si="0"/>
        <v>295604.75</v>
      </c>
      <c r="M21" s="53">
        <f t="shared" si="0"/>
        <v>296325.5500000001</v>
      </c>
      <c r="N21" s="53">
        <f t="shared" si="0"/>
        <v>3358710.4600000009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9624-8704-43FF-A7A7-2F20069671DF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628266.1999999996</v>
      </c>
      <c r="C2" s="45">
        <v>579488.74000000011</v>
      </c>
      <c r="D2" s="45">
        <v>647661.21000000054</v>
      </c>
      <c r="E2" s="45">
        <v>652380.37</v>
      </c>
      <c r="F2" s="45">
        <v>691865.58999999985</v>
      </c>
      <c r="G2" s="45">
        <v>616302.7900000012</v>
      </c>
      <c r="H2" s="45">
        <v>667003.78000000049</v>
      </c>
      <c r="I2" s="45">
        <v>664066.0399999998</v>
      </c>
      <c r="J2" s="45">
        <v>617721.3600000001</v>
      </c>
      <c r="K2" s="45">
        <v>658504.77000000048</v>
      </c>
      <c r="L2" s="45">
        <v>699273.98000000045</v>
      </c>
      <c r="M2" s="45">
        <v>889114.65000000049</v>
      </c>
      <c r="N2" s="46">
        <v>8011649.4800000032</v>
      </c>
      <c r="P2" s="2" t="s">
        <v>24</v>
      </c>
    </row>
    <row r="3" spans="1:16" x14ac:dyDescent="0.3">
      <c r="A3" s="54" t="s">
        <v>1279</v>
      </c>
      <c r="B3" s="55">
        <v>497983.2300000001</v>
      </c>
      <c r="C3" s="55">
        <v>466758.67999999993</v>
      </c>
      <c r="D3" s="55">
        <v>488623.01</v>
      </c>
      <c r="E3" s="55">
        <v>518011.51</v>
      </c>
      <c r="F3" s="55">
        <v>523995.40000000037</v>
      </c>
      <c r="G3" s="55">
        <v>516947.22999999986</v>
      </c>
      <c r="H3" s="55">
        <v>555183.85999999987</v>
      </c>
      <c r="I3" s="55">
        <v>518331.36000000045</v>
      </c>
      <c r="J3" s="55">
        <v>480341.82999999996</v>
      </c>
      <c r="K3" s="55">
        <v>495973.10000000015</v>
      </c>
      <c r="L3" s="55">
        <v>506328.05000000005</v>
      </c>
      <c r="M3" s="55">
        <v>450414.41999999969</v>
      </c>
      <c r="N3" s="56">
        <v>6018891.6799999941</v>
      </c>
      <c r="P3" t="s">
        <v>201</v>
      </c>
    </row>
    <row r="4" spans="1:16" x14ac:dyDescent="0.3">
      <c r="A4" s="54" t="s">
        <v>1280</v>
      </c>
      <c r="B4" s="55">
        <v>496600.48999999813</v>
      </c>
      <c r="C4" s="55">
        <v>453250.32999999932</v>
      </c>
      <c r="D4" s="55">
        <v>509442.30999999959</v>
      </c>
      <c r="E4" s="55">
        <v>513921.32999999833</v>
      </c>
      <c r="F4" s="55">
        <v>516157.82999999932</v>
      </c>
      <c r="G4" s="55">
        <v>528863.41000000911</v>
      </c>
      <c r="H4" s="55">
        <v>571975.12999999966</v>
      </c>
      <c r="I4" s="55">
        <v>560761.63000000094</v>
      </c>
      <c r="J4" s="55">
        <v>502089.29999999981</v>
      </c>
      <c r="K4" s="55">
        <v>502815.18000000261</v>
      </c>
      <c r="L4" s="55">
        <v>572707.31000000006</v>
      </c>
      <c r="M4" s="55">
        <v>733775.62000000267</v>
      </c>
      <c r="N4" s="56">
        <v>6462359.8700001063</v>
      </c>
      <c r="P4" t="s">
        <v>201</v>
      </c>
    </row>
    <row r="5" spans="1:16" x14ac:dyDescent="0.3">
      <c r="A5" s="54" t="s">
        <v>1281</v>
      </c>
      <c r="B5" s="55">
        <v>95415.729999999588</v>
      </c>
      <c r="C5" s="55">
        <v>87547.239999999612</v>
      </c>
      <c r="D5" s="55">
        <v>107589.5399999995</v>
      </c>
      <c r="E5" s="55">
        <v>103766.50999999937</v>
      </c>
      <c r="F5" s="55">
        <v>101807.50999999953</v>
      </c>
      <c r="G5" s="55">
        <v>98530.159999999552</v>
      </c>
      <c r="H5" s="55">
        <v>104158.06999999954</v>
      </c>
      <c r="I5" s="55">
        <v>107165.58999999947</v>
      </c>
      <c r="J5" s="55">
        <v>90241.089999999545</v>
      </c>
      <c r="K5" s="55">
        <v>104290.70999999967</v>
      </c>
      <c r="L5" s="55">
        <v>113988.42999999951</v>
      </c>
      <c r="M5" s="55">
        <v>126466.10999999946</v>
      </c>
      <c r="N5" s="56">
        <v>1240966.6900000044</v>
      </c>
      <c r="P5" t="s">
        <v>201</v>
      </c>
    </row>
    <row r="6" spans="1:16" x14ac:dyDescent="0.3">
      <c r="A6" s="54" t="s">
        <v>1282</v>
      </c>
      <c r="B6" s="55">
        <v>456327.06999999908</v>
      </c>
      <c r="C6" s="55">
        <v>447820.17999999953</v>
      </c>
      <c r="D6" s="55">
        <v>522328.32999999961</v>
      </c>
      <c r="E6" s="55">
        <v>491876.71999999974</v>
      </c>
      <c r="F6" s="55">
        <v>459422.14999999898</v>
      </c>
      <c r="G6" s="55">
        <v>396514.76000000065</v>
      </c>
      <c r="H6" s="55">
        <v>413428.8099999993</v>
      </c>
      <c r="I6" s="55">
        <v>474458.38000000076</v>
      </c>
      <c r="J6" s="55">
        <v>440632.12999999925</v>
      </c>
      <c r="K6" s="55">
        <v>449321.68000000087</v>
      </c>
      <c r="L6" s="55">
        <v>515890.60000000027</v>
      </c>
      <c r="M6" s="55">
        <v>708064.38000000047</v>
      </c>
      <c r="N6" s="56">
        <v>5776085.1900000032</v>
      </c>
      <c r="P6" t="s">
        <v>201</v>
      </c>
    </row>
    <row r="7" spans="1:16" x14ac:dyDescent="0.3">
      <c r="A7" s="54" t="s">
        <v>1283</v>
      </c>
      <c r="B7" s="55">
        <v>122140.01999999995</v>
      </c>
      <c r="C7" s="55">
        <v>119616.59999999976</v>
      </c>
      <c r="D7" s="55">
        <v>158073.77999999971</v>
      </c>
      <c r="E7" s="55">
        <v>376897.00999999919</v>
      </c>
      <c r="F7" s="55">
        <v>125032.4699999997</v>
      </c>
      <c r="G7" s="55">
        <v>137321.93999999898</v>
      </c>
      <c r="H7" s="55">
        <v>154063.59999999969</v>
      </c>
      <c r="I7" s="55">
        <v>137184.22999999963</v>
      </c>
      <c r="J7" s="55">
        <v>119443.1799999997</v>
      </c>
      <c r="K7" s="55">
        <v>128099.05999999978</v>
      </c>
      <c r="L7" s="55">
        <v>141854.92999999976</v>
      </c>
      <c r="M7" s="55">
        <v>172569.12999999977</v>
      </c>
      <c r="N7" s="56">
        <v>1892295.9499999981</v>
      </c>
      <c r="P7" t="s">
        <v>201</v>
      </c>
    </row>
    <row r="8" spans="1:16" x14ac:dyDescent="0.3">
      <c r="A8" s="57" t="s">
        <v>63</v>
      </c>
      <c r="B8" s="58">
        <v>40365.070000000007</v>
      </c>
      <c r="C8" s="58">
        <v>36233.340000000011</v>
      </c>
      <c r="D8" s="58">
        <v>46976.489999999991</v>
      </c>
      <c r="E8" s="58">
        <v>47637.08</v>
      </c>
      <c r="F8" s="58">
        <v>54294.659999999989</v>
      </c>
      <c r="G8" s="58">
        <v>53120.620000000068</v>
      </c>
      <c r="H8" s="58">
        <v>56316.63</v>
      </c>
      <c r="I8" s="58">
        <v>61808.239999999991</v>
      </c>
      <c r="J8" s="58">
        <v>55646.059999999969</v>
      </c>
      <c r="K8" s="58">
        <v>53590.05</v>
      </c>
      <c r="L8" s="58">
        <v>55635.03</v>
      </c>
      <c r="M8" s="58">
        <v>51246.18</v>
      </c>
      <c r="N8" s="59">
        <v>612869.44999999995</v>
      </c>
      <c r="P8" t="s">
        <v>63</v>
      </c>
    </row>
    <row r="9" spans="1:16" x14ac:dyDescent="0.3">
      <c r="A9" s="54" t="s">
        <v>1284</v>
      </c>
      <c r="B9" s="55">
        <v>17757.100000000006</v>
      </c>
      <c r="C9" s="55">
        <v>17152.68</v>
      </c>
      <c r="D9" s="55">
        <v>21303.340000000004</v>
      </c>
      <c r="E9" s="55">
        <v>17220.930000000004</v>
      </c>
      <c r="F9" s="55">
        <v>72951.049999999988</v>
      </c>
      <c r="G9" s="55">
        <v>24584.279999999984</v>
      </c>
      <c r="H9" s="55">
        <v>19654.409999999996</v>
      </c>
      <c r="I9" s="55">
        <v>27115.759999999995</v>
      </c>
      <c r="J9" s="55">
        <v>40199.089999999997</v>
      </c>
      <c r="K9" s="55">
        <v>46862.909999999989</v>
      </c>
      <c r="L9" s="55">
        <v>43677.900000000009</v>
      </c>
      <c r="M9" s="55">
        <v>27003.55999999999</v>
      </c>
      <c r="N9" s="56">
        <v>375483.00999999925</v>
      </c>
      <c r="P9" t="s">
        <v>201</v>
      </c>
    </row>
    <row r="10" spans="1:16" x14ac:dyDescent="0.3">
      <c r="A10" s="60" t="s">
        <v>1285</v>
      </c>
      <c r="B10" s="61">
        <v>243747.18999999925</v>
      </c>
      <c r="C10" s="61">
        <v>223133.72999999914</v>
      </c>
      <c r="D10" s="61">
        <v>253107.47999999911</v>
      </c>
      <c r="E10" s="61">
        <v>231949.62999999934</v>
      </c>
      <c r="F10" s="61">
        <v>239252.21999999936</v>
      </c>
      <c r="G10" s="61">
        <v>235815.36999999965</v>
      </c>
      <c r="H10" s="61">
        <v>252806.97999999922</v>
      </c>
      <c r="I10" s="61">
        <v>239506.9499999992</v>
      </c>
      <c r="J10" s="61">
        <v>229547.35999999894</v>
      </c>
      <c r="K10" s="61">
        <v>227971.98999999941</v>
      </c>
      <c r="L10" s="61">
        <v>237973.59999999922</v>
      </c>
      <c r="M10" s="61">
        <v>281056.739999999</v>
      </c>
      <c r="N10" s="62">
        <v>2895869.2400000058</v>
      </c>
      <c r="P10" t="s">
        <v>1286</v>
      </c>
    </row>
    <row r="11" spans="1:16" x14ac:dyDescent="0.3">
      <c r="A11" s="54" t="s">
        <v>1287</v>
      </c>
      <c r="B11" s="55">
        <v>208972.3699999997</v>
      </c>
      <c r="C11" s="55">
        <v>209774.50999999972</v>
      </c>
      <c r="D11" s="55">
        <v>223803.04000000068</v>
      </c>
      <c r="E11" s="55">
        <v>226210.65000000031</v>
      </c>
      <c r="F11" s="55">
        <v>217685.63000000053</v>
      </c>
      <c r="G11" s="55">
        <v>209270.48000000173</v>
      </c>
      <c r="H11" s="55">
        <v>221782.97999999981</v>
      </c>
      <c r="I11" s="55">
        <v>225169.90000000049</v>
      </c>
      <c r="J11" s="55">
        <v>211700.99000000049</v>
      </c>
      <c r="K11" s="55">
        <v>205676.9900000011</v>
      </c>
      <c r="L11" s="55">
        <v>226931.73000000033</v>
      </c>
      <c r="M11" s="55">
        <v>219628.0600000007</v>
      </c>
      <c r="N11" s="56">
        <v>2606607.3300000341</v>
      </c>
      <c r="P11" t="s">
        <v>201</v>
      </c>
    </row>
    <row r="12" spans="1:16" x14ac:dyDescent="0.3">
      <c r="A12" s="63" t="s">
        <v>1288</v>
      </c>
      <c r="B12" s="64">
        <v>438653.47</v>
      </c>
      <c r="C12" s="64">
        <v>447034.48</v>
      </c>
      <c r="D12" s="64">
        <v>513079.89999999979</v>
      </c>
      <c r="E12" s="64">
        <v>510757.88000000041</v>
      </c>
      <c r="F12" s="64">
        <v>442675.22000000009</v>
      </c>
      <c r="G12" s="64">
        <v>422253.13999999955</v>
      </c>
      <c r="H12" s="64">
        <v>492816.39999999985</v>
      </c>
      <c r="I12" s="64">
        <v>485782.39999999967</v>
      </c>
      <c r="J12" s="64">
        <v>512026.77999999991</v>
      </c>
      <c r="K12" s="64">
        <v>469033.04000000004</v>
      </c>
      <c r="L12" s="64">
        <v>481602.26</v>
      </c>
      <c r="M12" s="64">
        <v>542454.38999999978</v>
      </c>
      <c r="N12" s="65">
        <v>5758169.3600000031</v>
      </c>
      <c r="P12" t="s">
        <v>1288</v>
      </c>
    </row>
    <row r="13" spans="1:16" x14ac:dyDescent="0.3">
      <c r="A13" s="60" t="s">
        <v>1289</v>
      </c>
      <c r="B13" s="61">
        <v>191473.04</v>
      </c>
      <c r="C13" s="61">
        <v>180170.11999999997</v>
      </c>
      <c r="D13" s="61">
        <v>211770.7399999997</v>
      </c>
      <c r="E13" s="61">
        <v>193329.88999999987</v>
      </c>
      <c r="F13" s="61">
        <v>184034.55999999979</v>
      </c>
      <c r="G13" s="61">
        <v>188905.19999999914</v>
      </c>
      <c r="H13" s="61">
        <v>201184.8499999998</v>
      </c>
      <c r="I13" s="61">
        <v>206128.26999999961</v>
      </c>
      <c r="J13" s="61">
        <v>202671.35999999969</v>
      </c>
      <c r="K13" s="61">
        <v>201442.31999999989</v>
      </c>
      <c r="L13" s="61">
        <v>202284.34999999974</v>
      </c>
      <c r="M13" s="61">
        <v>219197.7199999998</v>
      </c>
      <c r="N13" s="62">
        <v>2382592.4200000004</v>
      </c>
      <c r="P13" t="s">
        <v>1286</v>
      </c>
    </row>
    <row r="14" spans="1:16" x14ac:dyDescent="0.3">
      <c r="A14" s="54" t="s">
        <v>67</v>
      </c>
      <c r="B14" s="55">
        <v>189562.63999999961</v>
      </c>
      <c r="C14" s="55">
        <v>165625.45999999938</v>
      </c>
      <c r="D14" s="55">
        <v>193574.05999999959</v>
      </c>
      <c r="E14" s="55">
        <v>182207.19999999955</v>
      </c>
      <c r="F14" s="55">
        <v>179989.08999999956</v>
      </c>
      <c r="G14" s="55">
        <v>165190.6499999995</v>
      </c>
      <c r="H14" s="55">
        <v>194026.16999999961</v>
      </c>
      <c r="I14" s="55">
        <v>186175.89999999953</v>
      </c>
      <c r="J14" s="55">
        <v>190292.53999999934</v>
      </c>
      <c r="K14" s="55">
        <v>176955.40999999957</v>
      </c>
      <c r="L14" s="55">
        <v>188566.95999999956</v>
      </c>
      <c r="M14" s="55">
        <v>184525.72999999902</v>
      </c>
      <c r="N14" s="56">
        <v>2196691.8100000103</v>
      </c>
      <c r="P14" t="s">
        <v>201</v>
      </c>
    </row>
    <row r="15" spans="1:16" x14ac:dyDescent="0.3">
      <c r="A15" s="48" t="s">
        <v>1290</v>
      </c>
      <c r="B15" s="49">
        <v>1211.6799999999998</v>
      </c>
      <c r="C15" s="49">
        <v>1150.5999999999999</v>
      </c>
      <c r="D15" s="49">
        <v>1159.1600000000001</v>
      </c>
      <c r="E15" s="49">
        <v>1153.7600000000002</v>
      </c>
      <c r="F15" s="49">
        <v>1153.7</v>
      </c>
      <c r="G15" s="49">
        <v>1215.58</v>
      </c>
      <c r="H15" s="49">
        <v>1279.54</v>
      </c>
      <c r="I15" s="49">
        <v>1071.72</v>
      </c>
      <c r="J15" s="49">
        <v>1083.8400000000001</v>
      </c>
      <c r="K15" s="49">
        <v>1192.6300000000001</v>
      </c>
      <c r="L15" s="49">
        <v>1107.72</v>
      </c>
      <c r="M15" s="49">
        <v>1037.8</v>
      </c>
      <c r="N15" s="50">
        <v>13817.730000000003</v>
      </c>
      <c r="P15" t="s">
        <v>201</v>
      </c>
    </row>
    <row r="16" spans="1:16" x14ac:dyDescent="0.3">
      <c r="A16" s="57" t="s">
        <v>83</v>
      </c>
      <c r="B16" s="58">
        <v>96556.660000000047</v>
      </c>
      <c r="C16" s="58">
        <v>86919.839999999982</v>
      </c>
      <c r="D16" s="58">
        <v>97221.759999999951</v>
      </c>
      <c r="E16" s="58">
        <v>97751.94</v>
      </c>
      <c r="F16" s="58">
        <v>105183.00999999998</v>
      </c>
      <c r="G16" s="58">
        <v>106121.08999999995</v>
      </c>
      <c r="H16" s="58">
        <v>112490.22999999994</v>
      </c>
      <c r="I16" s="58">
        <v>112150.23999999999</v>
      </c>
      <c r="J16" s="58">
        <v>102936.87999999996</v>
      </c>
      <c r="K16" s="58">
        <v>103456.63999999993</v>
      </c>
      <c r="L16" s="58">
        <v>109464.70999999999</v>
      </c>
      <c r="M16" s="58">
        <v>104965.03000000003</v>
      </c>
      <c r="N16" s="59">
        <v>1235218.0300000005</v>
      </c>
      <c r="P16" t="s">
        <v>83</v>
      </c>
    </row>
    <row r="17" spans="1:16" x14ac:dyDescent="0.3">
      <c r="A17" s="54" t="s">
        <v>1291</v>
      </c>
      <c r="B17" s="55">
        <v>46309.22</v>
      </c>
      <c r="C17" s="55">
        <v>45241.99</v>
      </c>
      <c r="D17" s="55">
        <v>48551.700000000041</v>
      </c>
      <c r="E17" s="55">
        <v>45739.300000000025</v>
      </c>
      <c r="F17" s="55">
        <v>44342.91</v>
      </c>
      <c r="G17" s="55">
        <v>42310.87</v>
      </c>
      <c r="H17" s="55">
        <v>45764.360000000008</v>
      </c>
      <c r="I17" s="55">
        <v>45353.93</v>
      </c>
      <c r="J17" s="55">
        <v>45268.039999999994</v>
      </c>
      <c r="K17" s="55">
        <v>42900.240000000013</v>
      </c>
      <c r="L17" s="55">
        <v>43720.87000000001</v>
      </c>
      <c r="M17" s="55">
        <v>40691.919999999991</v>
      </c>
      <c r="N17" s="56">
        <v>536195.34999999951</v>
      </c>
      <c r="P17" t="s">
        <v>201</v>
      </c>
    </row>
    <row r="18" spans="1:16" x14ac:dyDescent="0.3">
      <c r="A18" s="60" t="s">
        <v>1292</v>
      </c>
      <c r="B18" s="61">
        <v>25365.469999999994</v>
      </c>
      <c r="C18" s="61">
        <v>36315.12999999999</v>
      </c>
      <c r="D18" s="61">
        <v>66693.129999999976</v>
      </c>
      <c r="E18" s="61">
        <v>93537.229999999981</v>
      </c>
      <c r="F18" s="61">
        <v>21080.9</v>
      </c>
      <c r="G18" s="61">
        <v>18670.07</v>
      </c>
      <c r="H18" s="61">
        <v>21147.810000000005</v>
      </c>
      <c r="I18" s="61">
        <v>23377.200000000004</v>
      </c>
      <c r="J18" s="61">
        <v>24028.639999999999</v>
      </c>
      <c r="K18" s="61">
        <v>24246.630000000005</v>
      </c>
      <c r="L18" s="61">
        <v>21674.090000000007</v>
      </c>
      <c r="M18" s="61">
        <v>23327.21</v>
      </c>
      <c r="N18" s="62">
        <v>399463.5099999996</v>
      </c>
      <c r="P18" t="s">
        <v>1286</v>
      </c>
    </row>
    <row r="19" spans="1:16" ht="15.6" customHeight="1" x14ac:dyDescent="0.3">
      <c r="A19" s="57" t="s">
        <v>92</v>
      </c>
      <c r="B19" s="58">
        <v>24824.99</v>
      </c>
      <c r="C19" s="58">
        <v>26434.81</v>
      </c>
      <c r="D19" s="58">
        <v>34448.489999999991</v>
      </c>
      <c r="E19" s="58">
        <v>37261.629999999997</v>
      </c>
      <c r="F19" s="58">
        <v>35668.67</v>
      </c>
      <c r="G19" s="58">
        <v>30914.13</v>
      </c>
      <c r="H19" s="58">
        <v>29218.13</v>
      </c>
      <c r="I19" s="58">
        <v>26717.180000000008</v>
      </c>
      <c r="J19" s="58">
        <v>31078.93</v>
      </c>
      <c r="K19" s="58">
        <v>30500.430000000011</v>
      </c>
      <c r="L19" s="58">
        <v>36678.85</v>
      </c>
      <c r="M19" s="58">
        <v>34124.009999999995</v>
      </c>
      <c r="N19" s="59">
        <v>377870.24999999994</v>
      </c>
      <c r="P19" t="s">
        <v>92</v>
      </c>
    </row>
    <row r="20" spans="1:16" x14ac:dyDescent="0.3">
      <c r="A20" s="51" t="s">
        <v>64</v>
      </c>
      <c r="B20" s="52">
        <v>3821531.6400000043</v>
      </c>
      <c r="C20" s="52">
        <v>3629668.459999999</v>
      </c>
      <c r="D20" s="52">
        <v>4145407.47</v>
      </c>
      <c r="E20" s="52">
        <v>4341610.5700000115</v>
      </c>
      <c r="F20" s="52">
        <v>4016592.5700000157</v>
      </c>
      <c r="G20" s="52">
        <v>3792851.7700000079</v>
      </c>
      <c r="H20" s="52">
        <v>4114301.7400000063</v>
      </c>
      <c r="I20" s="52">
        <v>4102324.9200000069</v>
      </c>
      <c r="J20" s="52">
        <v>3896949.4000000032</v>
      </c>
      <c r="K20" s="52">
        <v>3922833.7800000058</v>
      </c>
      <c r="L20" s="52">
        <v>4199361.370000001</v>
      </c>
      <c r="M20" s="52">
        <v>4809662.6599999852</v>
      </c>
      <c r="N20" s="52">
        <v>48793096.350000054</v>
      </c>
    </row>
    <row r="21" spans="1:16" x14ac:dyDescent="0.3">
      <c r="B21" s="53">
        <f t="shared" ref="B21:N21" si="0">B19+B16+B8</f>
        <v>161746.72000000006</v>
      </c>
      <c r="C21" s="53">
        <f t="shared" si="0"/>
        <v>149587.99</v>
      </c>
      <c r="D21" s="53">
        <f t="shared" si="0"/>
        <v>178646.73999999993</v>
      </c>
      <c r="E21" s="53">
        <f t="shared" si="0"/>
        <v>182650.65000000002</v>
      </c>
      <c r="F21" s="53">
        <f t="shared" si="0"/>
        <v>195146.33999999997</v>
      </c>
      <c r="G21" s="53">
        <f t="shared" si="0"/>
        <v>190155.84000000003</v>
      </c>
      <c r="H21" s="53">
        <f t="shared" si="0"/>
        <v>198024.98999999993</v>
      </c>
      <c r="I21" s="53">
        <f t="shared" si="0"/>
        <v>200675.65999999997</v>
      </c>
      <c r="J21" s="53">
        <f t="shared" si="0"/>
        <v>189661.86999999994</v>
      </c>
      <c r="K21" s="53">
        <f t="shared" si="0"/>
        <v>187547.11999999994</v>
      </c>
      <c r="L21" s="53">
        <f t="shared" si="0"/>
        <v>201778.59</v>
      </c>
      <c r="M21" s="53">
        <f t="shared" si="0"/>
        <v>190335.22000000003</v>
      </c>
      <c r="N21" s="53">
        <f t="shared" si="0"/>
        <v>2225957.7300000004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4E2-4E4D-465C-AFF5-25C2A09A378B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v>452796.24000000022</v>
      </c>
      <c r="C2" s="45">
        <v>452305.31999999977</v>
      </c>
      <c r="D2" s="45">
        <v>449629.10000000021</v>
      </c>
      <c r="E2" s="45">
        <v>442844.27000000008</v>
      </c>
      <c r="F2" s="45">
        <v>475745.92999999982</v>
      </c>
      <c r="G2" s="45">
        <v>428009.35999999958</v>
      </c>
      <c r="H2" s="45">
        <v>448478.50000000012</v>
      </c>
      <c r="I2" s="45">
        <v>462691.23000000056</v>
      </c>
      <c r="J2" s="45">
        <v>416540.0400000001</v>
      </c>
      <c r="K2" s="45">
        <v>504848.54000000027</v>
      </c>
      <c r="L2" s="45">
        <v>542381.16</v>
      </c>
      <c r="M2" s="45">
        <v>686952.65000000014</v>
      </c>
      <c r="N2" s="46">
        <v>5763222.339999998</v>
      </c>
      <c r="P2" s="2" t="s">
        <v>24</v>
      </c>
    </row>
    <row r="3" spans="1:16" x14ac:dyDescent="0.3">
      <c r="A3" s="54" t="s">
        <v>1279</v>
      </c>
      <c r="B3" s="55">
        <v>266026.31999999983</v>
      </c>
      <c r="C3" s="55">
        <v>249061.30999999974</v>
      </c>
      <c r="D3" s="55">
        <v>252156.89999999967</v>
      </c>
      <c r="E3" s="55">
        <v>259179.87999999995</v>
      </c>
      <c r="F3" s="55">
        <v>304668.17999999982</v>
      </c>
      <c r="G3" s="55">
        <v>280134.76000000018</v>
      </c>
      <c r="H3" s="55">
        <v>308481.70999999985</v>
      </c>
      <c r="I3" s="55">
        <v>282274.87999999966</v>
      </c>
      <c r="J3" s="55">
        <v>256203.9999999998</v>
      </c>
      <c r="K3" s="55">
        <v>268268.30999999982</v>
      </c>
      <c r="L3" s="55">
        <v>297024.08999999968</v>
      </c>
      <c r="M3" s="55">
        <v>244203.77999999956</v>
      </c>
      <c r="N3" s="56">
        <v>3267684.1199999996</v>
      </c>
      <c r="P3" t="s">
        <v>201</v>
      </c>
    </row>
    <row r="4" spans="1:16" x14ac:dyDescent="0.3">
      <c r="A4" s="54" t="s">
        <v>1280</v>
      </c>
      <c r="B4" s="55">
        <v>398374.07000000088</v>
      </c>
      <c r="C4" s="55">
        <v>371634.14000000095</v>
      </c>
      <c r="D4" s="55">
        <v>403353.70000000217</v>
      </c>
      <c r="E4" s="55">
        <v>406187.0700000003</v>
      </c>
      <c r="F4" s="55">
        <v>420560.14000000106</v>
      </c>
      <c r="G4" s="55">
        <v>411379.49000000651</v>
      </c>
      <c r="H4" s="55">
        <v>443271.36000000208</v>
      </c>
      <c r="I4" s="55">
        <v>436216.73000000243</v>
      </c>
      <c r="J4" s="55">
        <v>376275.4600000013</v>
      </c>
      <c r="K4" s="55">
        <v>426133.51000000379</v>
      </c>
      <c r="L4" s="55">
        <v>486568.05000000261</v>
      </c>
      <c r="M4" s="55">
        <v>638806.74000000325</v>
      </c>
      <c r="N4" s="56">
        <v>5218760.4600001145</v>
      </c>
      <c r="P4" t="s">
        <v>201</v>
      </c>
    </row>
    <row r="5" spans="1:16" x14ac:dyDescent="0.3">
      <c r="A5" s="54" t="s">
        <v>1281</v>
      </c>
      <c r="B5" s="55">
        <v>82666.599999999671</v>
      </c>
      <c r="C5" s="55">
        <v>79205.52999999965</v>
      </c>
      <c r="D5" s="55">
        <v>82239.16999999978</v>
      </c>
      <c r="E5" s="55">
        <v>79925.409999999756</v>
      </c>
      <c r="F5" s="55">
        <v>85551.119999999733</v>
      </c>
      <c r="G5" s="55">
        <v>78880.459999999817</v>
      </c>
      <c r="H5" s="55">
        <v>83914.519999999757</v>
      </c>
      <c r="I5" s="55">
        <v>79798.959999999686</v>
      </c>
      <c r="J5" s="55">
        <v>73827.109999999637</v>
      </c>
      <c r="K5" s="55">
        <v>84097.259999999515</v>
      </c>
      <c r="L5" s="55">
        <v>87560.189999999595</v>
      </c>
      <c r="M5" s="55">
        <v>103907.43999999959</v>
      </c>
      <c r="N5" s="56">
        <v>1001573.7700000044</v>
      </c>
      <c r="P5" t="s">
        <v>201</v>
      </c>
    </row>
    <row r="6" spans="1:16" x14ac:dyDescent="0.3">
      <c r="A6" s="54" t="s">
        <v>1282</v>
      </c>
      <c r="B6" s="55">
        <v>382336.69999999914</v>
      </c>
      <c r="C6" s="55">
        <v>367042.10999999871</v>
      </c>
      <c r="D6" s="55">
        <v>436936.77000000014</v>
      </c>
      <c r="E6" s="55">
        <v>385088.23999999929</v>
      </c>
      <c r="F6" s="55">
        <v>418316.5699999989</v>
      </c>
      <c r="G6" s="55">
        <v>354013.79000000097</v>
      </c>
      <c r="H6" s="55">
        <v>365257.63999999885</v>
      </c>
      <c r="I6" s="55">
        <v>378756.4699999998</v>
      </c>
      <c r="J6" s="55">
        <v>370584.18999999814</v>
      </c>
      <c r="K6" s="55">
        <v>403895.40999999992</v>
      </c>
      <c r="L6" s="55">
        <v>422622.15999999986</v>
      </c>
      <c r="M6" s="55">
        <v>643008.56999999983</v>
      </c>
      <c r="N6" s="56">
        <v>4927858.6200000225</v>
      </c>
      <c r="P6" t="s">
        <v>201</v>
      </c>
    </row>
    <row r="7" spans="1:16" x14ac:dyDescent="0.3">
      <c r="A7" s="54" t="s">
        <v>1283</v>
      </c>
      <c r="B7" s="55">
        <v>128884.4299999996</v>
      </c>
      <c r="C7" s="55">
        <v>133148.60999999946</v>
      </c>
      <c r="D7" s="55">
        <v>156814.96999999933</v>
      </c>
      <c r="E7" s="55">
        <v>298222.96999999892</v>
      </c>
      <c r="F7" s="55">
        <v>130100.81999999944</v>
      </c>
      <c r="G7" s="55">
        <v>131082.01999999906</v>
      </c>
      <c r="H7" s="55">
        <v>141091.0999999996</v>
      </c>
      <c r="I7" s="55">
        <v>127791.04999999971</v>
      </c>
      <c r="J7" s="55">
        <v>113161.14999999966</v>
      </c>
      <c r="K7" s="55">
        <v>137532.24999999951</v>
      </c>
      <c r="L7" s="55">
        <v>155139.98999999964</v>
      </c>
      <c r="M7" s="55">
        <v>208427.1499999995</v>
      </c>
      <c r="N7" s="56">
        <v>1861396.5100000002</v>
      </c>
      <c r="P7" t="s">
        <v>201</v>
      </c>
    </row>
    <row r="8" spans="1:16" x14ac:dyDescent="0.3">
      <c r="A8" s="57" t="s">
        <v>63</v>
      </c>
      <c r="B8" s="58">
        <v>41912.070000000007</v>
      </c>
      <c r="C8" s="58">
        <v>39261.970000000008</v>
      </c>
      <c r="D8" s="58">
        <v>43091.78</v>
      </c>
      <c r="E8" s="58">
        <v>41609.810000000012</v>
      </c>
      <c r="F8" s="58">
        <v>50260.53</v>
      </c>
      <c r="G8" s="58">
        <v>55045.069999999992</v>
      </c>
      <c r="H8" s="58">
        <v>58694.589999999989</v>
      </c>
      <c r="I8" s="58">
        <v>63727.700000000019</v>
      </c>
      <c r="J8" s="58">
        <v>52435.889999999992</v>
      </c>
      <c r="K8" s="58">
        <v>49895.599999999991</v>
      </c>
      <c r="L8" s="58">
        <v>57043.670000000027</v>
      </c>
      <c r="M8" s="58">
        <v>55725.490000000034</v>
      </c>
      <c r="N8" s="59">
        <v>608704.16999999993</v>
      </c>
      <c r="P8" t="s">
        <v>63</v>
      </c>
    </row>
    <row r="9" spans="1:16" x14ac:dyDescent="0.3">
      <c r="A9" s="54" t="s">
        <v>1284</v>
      </c>
      <c r="B9" s="55">
        <v>15370.759999999998</v>
      </c>
      <c r="C9" s="55">
        <v>15725.88</v>
      </c>
      <c r="D9" s="55">
        <v>14525.670000000004</v>
      </c>
      <c r="E9" s="55">
        <v>13007.729999999996</v>
      </c>
      <c r="F9" s="55">
        <v>29392.170000000006</v>
      </c>
      <c r="G9" s="55">
        <v>13129.649999999998</v>
      </c>
      <c r="H9" s="55">
        <v>12807.040000000005</v>
      </c>
      <c r="I9" s="55">
        <v>13346.11</v>
      </c>
      <c r="J9" s="55">
        <v>15687.820000000003</v>
      </c>
      <c r="K9" s="55">
        <v>15320.400000000001</v>
      </c>
      <c r="L9" s="55">
        <v>15669.660000000003</v>
      </c>
      <c r="M9" s="55">
        <v>13183.200000000003</v>
      </c>
      <c r="N9" s="56">
        <v>187166.08999999965</v>
      </c>
      <c r="P9" t="s">
        <v>201</v>
      </c>
    </row>
    <row r="10" spans="1:16" x14ac:dyDescent="0.3">
      <c r="A10" s="60" t="s">
        <v>1285</v>
      </c>
      <c r="B10" s="61">
        <v>236183.32999999926</v>
      </c>
      <c r="C10" s="61">
        <v>219298.75999999902</v>
      </c>
      <c r="D10" s="61">
        <v>250986.78999999899</v>
      </c>
      <c r="E10" s="61">
        <v>239727.80999999942</v>
      </c>
      <c r="F10" s="61">
        <v>254263.85999999952</v>
      </c>
      <c r="G10" s="61">
        <v>237955.77999999924</v>
      </c>
      <c r="H10" s="61">
        <v>247839.14999999903</v>
      </c>
      <c r="I10" s="61">
        <v>242556.13999999937</v>
      </c>
      <c r="J10" s="61">
        <v>218422.13999999891</v>
      </c>
      <c r="K10" s="61">
        <v>242923.44000000012</v>
      </c>
      <c r="L10" s="61">
        <v>247052.39999999895</v>
      </c>
      <c r="M10" s="61">
        <v>324015.55999999912</v>
      </c>
      <c r="N10" s="62">
        <v>2961225.1600000076</v>
      </c>
      <c r="P10" t="s">
        <v>1286</v>
      </c>
    </row>
    <row r="11" spans="1:16" x14ac:dyDescent="0.3">
      <c r="A11" s="54" t="s">
        <v>1287</v>
      </c>
      <c r="B11" s="55">
        <v>174290.45000000042</v>
      </c>
      <c r="C11" s="55">
        <v>169971.1800000004</v>
      </c>
      <c r="D11" s="55">
        <v>173110.47000000087</v>
      </c>
      <c r="E11" s="55">
        <v>168442.89000000054</v>
      </c>
      <c r="F11" s="55">
        <v>174417.40000000049</v>
      </c>
      <c r="G11" s="55">
        <v>158994.24000000104</v>
      </c>
      <c r="H11" s="55">
        <v>165729.27000000043</v>
      </c>
      <c r="I11" s="55">
        <v>167836.0700000005</v>
      </c>
      <c r="J11" s="55">
        <v>153441.33000000002</v>
      </c>
      <c r="K11" s="55">
        <v>166517.40000000084</v>
      </c>
      <c r="L11" s="55">
        <v>182781.66000000006</v>
      </c>
      <c r="M11" s="55">
        <v>199124.78000000084</v>
      </c>
      <c r="N11" s="56">
        <v>2054657.1400000202</v>
      </c>
      <c r="P11" t="s">
        <v>201</v>
      </c>
    </row>
    <row r="12" spans="1:16" x14ac:dyDescent="0.3">
      <c r="A12" s="63" t="s">
        <v>1288</v>
      </c>
      <c r="B12" s="64">
        <v>427121.80999999971</v>
      </c>
      <c r="C12" s="64">
        <v>401340.95999999996</v>
      </c>
      <c r="D12" s="64">
        <v>452212.30999999965</v>
      </c>
      <c r="E12" s="64">
        <v>413396.01999999979</v>
      </c>
      <c r="F12" s="64">
        <v>388735.25999999989</v>
      </c>
      <c r="G12" s="64">
        <v>334308.88999999955</v>
      </c>
      <c r="H12" s="64">
        <v>377024.25000000017</v>
      </c>
      <c r="I12" s="64">
        <v>399432.80000000005</v>
      </c>
      <c r="J12" s="64">
        <v>394868.35000000003</v>
      </c>
      <c r="K12" s="64">
        <v>384146.21000000043</v>
      </c>
      <c r="L12" s="64">
        <v>395746.80000000016</v>
      </c>
      <c r="M12" s="64">
        <v>466273.94000000024</v>
      </c>
      <c r="N12" s="65">
        <v>4834607.6000000043</v>
      </c>
      <c r="P12" t="s">
        <v>1288</v>
      </c>
    </row>
    <row r="13" spans="1:16" x14ac:dyDescent="0.3">
      <c r="A13" s="60" t="s">
        <v>1289</v>
      </c>
      <c r="B13" s="61">
        <v>207199.68999999948</v>
      </c>
      <c r="C13" s="61">
        <v>189758.77999999936</v>
      </c>
      <c r="D13" s="61">
        <v>207510.56999999919</v>
      </c>
      <c r="E13" s="61">
        <v>183842.47999999954</v>
      </c>
      <c r="F13" s="61">
        <v>192222.29999999935</v>
      </c>
      <c r="G13" s="61">
        <v>181988.48999999877</v>
      </c>
      <c r="H13" s="61">
        <v>196889.80999999962</v>
      </c>
      <c r="I13" s="61">
        <v>203478.3699999997</v>
      </c>
      <c r="J13" s="61">
        <v>211700.13999999934</v>
      </c>
      <c r="K13" s="61">
        <v>246122.01999999909</v>
      </c>
      <c r="L13" s="61">
        <v>235772.44999999943</v>
      </c>
      <c r="M13" s="61">
        <v>253786.33999999936</v>
      </c>
      <c r="N13" s="62">
        <v>2510271.4400000004</v>
      </c>
      <c r="P13" t="s">
        <v>1286</v>
      </c>
    </row>
    <row r="14" spans="1:16" x14ac:dyDescent="0.3">
      <c r="A14" s="54" t="s">
        <v>67</v>
      </c>
      <c r="B14" s="55">
        <v>140323.93999999954</v>
      </c>
      <c r="C14" s="55">
        <v>143978.96999999939</v>
      </c>
      <c r="D14" s="55">
        <v>149820.15999999957</v>
      </c>
      <c r="E14" s="55">
        <v>127347.68999999962</v>
      </c>
      <c r="F14" s="55">
        <v>142154.56999999957</v>
      </c>
      <c r="G14" s="55">
        <v>122419.93999999981</v>
      </c>
      <c r="H14" s="55">
        <v>132479.18999999977</v>
      </c>
      <c r="I14" s="55">
        <v>125505.20999999976</v>
      </c>
      <c r="J14" s="55">
        <v>147358.38999999961</v>
      </c>
      <c r="K14" s="55">
        <v>149520.25999999943</v>
      </c>
      <c r="L14" s="55">
        <v>171190.64999999956</v>
      </c>
      <c r="M14" s="55">
        <v>161922.83999999953</v>
      </c>
      <c r="N14" s="56">
        <v>1714021.8100000108</v>
      </c>
      <c r="P14" t="s">
        <v>201</v>
      </c>
    </row>
    <row r="15" spans="1:16" x14ac:dyDescent="0.3">
      <c r="A15" s="48" t="s">
        <v>1290</v>
      </c>
      <c r="B15" s="49">
        <v>2620.98</v>
      </c>
      <c r="C15" s="49">
        <v>2266.96</v>
      </c>
      <c r="D15" s="49">
        <v>2321.96</v>
      </c>
      <c r="E15" s="49">
        <v>1981.94</v>
      </c>
      <c r="F15" s="49">
        <v>2038</v>
      </c>
      <c r="G15" s="49">
        <v>1688.96</v>
      </c>
      <c r="H15" s="49">
        <v>1803.96</v>
      </c>
      <c r="I15" s="49">
        <v>1935</v>
      </c>
      <c r="J15" s="49">
        <v>1248</v>
      </c>
      <c r="K15" s="49">
        <v>1930.49</v>
      </c>
      <c r="L15" s="49">
        <v>1828</v>
      </c>
      <c r="M15" s="49">
        <v>1341.82</v>
      </c>
      <c r="N15" s="50">
        <v>23006.07</v>
      </c>
      <c r="P15" t="s">
        <v>201</v>
      </c>
    </row>
    <row r="16" spans="1:16" x14ac:dyDescent="0.3">
      <c r="A16" s="57" t="s">
        <v>83</v>
      </c>
      <c r="B16" s="58">
        <v>137384.53000000006</v>
      </c>
      <c r="C16" s="58">
        <v>132820.68</v>
      </c>
      <c r="D16" s="58">
        <v>138560.10999999999</v>
      </c>
      <c r="E16" s="58">
        <v>148967.23000000004</v>
      </c>
      <c r="F16" s="58">
        <v>149413.69</v>
      </c>
      <c r="G16" s="58">
        <v>158601.79999999976</v>
      </c>
      <c r="H16" s="58">
        <v>164177.00999999998</v>
      </c>
      <c r="I16" s="58">
        <v>156049.85999999993</v>
      </c>
      <c r="J16" s="58">
        <v>136824.92999999996</v>
      </c>
      <c r="K16" s="58">
        <v>165560.45000000001</v>
      </c>
      <c r="L16" s="58">
        <v>175271.53999999995</v>
      </c>
      <c r="M16" s="58">
        <v>186639.10999999993</v>
      </c>
      <c r="N16" s="59">
        <v>1850270.94</v>
      </c>
      <c r="P16" t="s">
        <v>83</v>
      </c>
    </row>
    <row r="17" spans="1:16" x14ac:dyDescent="0.3">
      <c r="A17" s="54" t="s">
        <v>1291</v>
      </c>
      <c r="B17" s="55">
        <v>48598.340000000004</v>
      </c>
      <c r="C17" s="55">
        <v>44667.429999999993</v>
      </c>
      <c r="D17" s="55">
        <v>49188.730000000025</v>
      </c>
      <c r="E17" s="55">
        <v>48283.960000000014</v>
      </c>
      <c r="F17" s="55">
        <v>45933.499999999971</v>
      </c>
      <c r="G17" s="55">
        <v>42394.840000000004</v>
      </c>
      <c r="H17" s="55">
        <v>43836.539999999994</v>
      </c>
      <c r="I17" s="55">
        <v>42109.010000000024</v>
      </c>
      <c r="J17" s="55">
        <v>42486.289999999994</v>
      </c>
      <c r="K17" s="55">
        <v>47388.810000000049</v>
      </c>
      <c r="L17" s="55">
        <v>45386.599999999991</v>
      </c>
      <c r="M17" s="55">
        <v>43646.769999999975</v>
      </c>
      <c r="N17" s="56">
        <v>543920.8199999989</v>
      </c>
      <c r="P17" t="s">
        <v>201</v>
      </c>
    </row>
    <row r="18" spans="1:16" x14ac:dyDescent="0.3">
      <c r="A18" s="60" t="s">
        <v>1292</v>
      </c>
      <c r="B18" s="61">
        <v>13120.460000000003</v>
      </c>
      <c r="C18" s="61">
        <v>22779.860000000004</v>
      </c>
      <c r="D18" s="61">
        <v>33093.319999999992</v>
      </c>
      <c r="E18" s="61">
        <v>51606.100000000006</v>
      </c>
      <c r="F18" s="61">
        <v>11754.940000000006</v>
      </c>
      <c r="G18" s="61">
        <v>12206.38</v>
      </c>
      <c r="H18" s="61">
        <v>11236.750000000004</v>
      </c>
      <c r="I18" s="61">
        <v>13958.400000000005</v>
      </c>
      <c r="J18" s="61">
        <v>13106.520000000004</v>
      </c>
      <c r="K18" s="61">
        <v>14661.120000000006</v>
      </c>
      <c r="L18" s="61">
        <v>20320.560000000001</v>
      </c>
      <c r="M18" s="61">
        <v>23881.620000000003</v>
      </c>
      <c r="N18" s="62">
        <v>241726.02999999985</v>
      </c>
      <c r="P18" t="s">
        <v>1286</v>
      </c>
    </row>
    <row r="19" spans="1:16" ht="15.6" customHeight="1" x14ac:dyDescent="0.3">
      <c r="A19" s="57" t="s">
        <v>92</v>
      </c>
      <c r="B19" s="58">
        <v>64300.629999999976</v>
      </c>
      <c r="C19" s="58">
        <v>67451.840000000011</v>
      </c>
      <c r="D19" s="58">
        <v>74791.599999999991</v>
      </c>
      <c r="E19" s="58">
        <v>69365.279999999999</v>
      </c>
      <c r="F19" s="58">
        <v>74216.240000000005</v>
      </c>
      <c r="G19" s="58">
        <v>70912.030000000013</v>
      </c>
      <c r="H19" s="58">
        <v>74159.8</v>
      </c>
      <c r="I19" s="58">
        <v>67792.830000000016</v>
      </c>
      <c r="J19" s="58">
        <v>64632.219999999987</v>
      </c>
      <c r="K19" s="58">
        <v>65031.369999999988</v>
      </c>
      <c r="L19" s="58">
        <v>61892.27</v>
      </c>
      <c r="M19" s="58">
        <v>70447.3</v>
      </c>
      <c r="N19" s="59">
        <v>824993.41</v>
      </c>
      <c r="P19" t="s">
        <v>92</v>
      </c>
    </row>
    <row r="20" spans="1:16" x14ac:dyDescent="0.3">
      <c r="A20" s="51" t="s">
        <v>64</v>
      </c>
      <c r="B20" s="52">
        <v>3219511.350000002</v>
      </c>
      <c r="C20" s="52">
        <v>3101720.290000001</v>
      </c>
      <c r="D20" s="52">
        <v>3370344.0800000075</v>
      </c>
      <c r="E20" s="52">
        <v>3379026.7800000054</v>
      </c>
      <c r="F20" s="52">
        <v>3349745.2200000025</v>
      </c>
      <c r="G20" s="52">
        <v>3073145.9500000039</v>
      </c>
      <c r="H20" s="52">
        <v>3277172.190000006</v>
      </c>
      <c r="I20" s="52">
        <v>3265256.8200000073</v>
      </c>
      <c r="J20" s="52">
        <v>3058803.9700000077</v>
      </c>
      <c r="K20" s="52">
        <v>3373792.8500000034</v>
      </c>
      <c r="L20" s="52">
        <v>3601251.9000000022</v>
      </c>
      <c r="M20" s="52">
        <v>4325295.1000000108</v>
      </c>
      <c r="N20" s="52">
        <v>40395066.50000006</v>
      </c>
    </row>
    <row r="21" spans="1:16" x14ac:dyDescent="0.3">
      <c r="B21" s="53">
        <f t="shared" ref="B21:N21" si="0">B19+B16+B8</f>
        <v>243597.23000000004</v>
      </c>
      <c r="C21" s="53">
        <f t="shared" si="0"/>
        <v>239534.49000000002</v>
      </c>
      <c r="D21" s="53">
        <f t="shared" si="0"/>
        <v>256443.48999999996</v>
      </c>
      <c r="E21" s="53">
        <f t="shared" si="0"/>
        <v>259942.32000000007</v>
      </c>
      <c r="F21" s="53">
        <f t="shared" si="0"/>
        <v>273890.45999999996</v>
      </c>
      <c r="G21" s="53">
        <f t="shared" si="0"/>
        <v>284558.89999999979</v>
      </c>
      <c r="H21" s="53">
        <f t="shared" si="0"/>
        <v>297031.39999999997</v>
      </c>
      <c r="I21" s="53">
        <f t="shared" si="0"/>
        <v>287570.38999999996</v>
      </c>
      <c r="J21" s="53">
        <f t="shared" si="0"/>
        <v>253893.03999999995</v>
      </c>
      <c r="K21" s="53">
        <f t="shared" si="0"/>
        <v>280487.42</v>
      </c>
      <c r="L21" s="53">
        <f t="shared" si="0"/>
        <v>294207.48</v>
      </c>
      <c r="M21" s="53">
        <f t="shared" si="0"/>
        <v>312811.89999999997</v>
      </c>
      <c r="N21" s="53">
        <f t="shared" si="0"/>
        <v>3283968.52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07B0-EC85-474F-9655-96647B2D5400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2" max="13" width="10.109375" bestFit="1" customWidth="1"/>
    <col min="14" max="14" width="11.109375" bestFit="1" customWidth="1"/>
  </cols>
  <sheetData>
    <row r="1" spans="1:16" x14ac:dyDescent="0.3">
      <c r="A1" s="47" t="s">
        <v>1264</v>
      </c>
      <c r="B1" s="47" t="s">
        <v>1265</v>
      </c>
      <c r="C1" s="47" t="s">
        <v>1266</v>
      </c>
      <c r="D1" s="47" t="s">
        <v>1267</v>
      </c>
      <c r="E1" s="47" t="s">
        <v>1268</v>
      </c>
      <c r="F1" s="47" t="s">
        <v>1269</v>
      </c>
      <c r="G1" s="47" t="s">
        <v>1270</v>
      </c>
      <c r="H1" s="47" t="s">
        <v>1271</v>
      </c>
      <c r="I1" s="47" t="s">
        <v>1272</v>
      </c>
      <c r="J1" s="47" t="s">
        <v>1273</v>
      </c>
      <c r="K1" s="47" t="s">
        <v>1274</v>
      </c>
      <c r="L1" s="47" t="s">
        <v>1275</v>
      </c>
      <c r="M1" s="47" t="s">
        <v>1276</v>
      </c>
      <c r="N1" s="47" t="s">
        <v>1277</v>
      </c>
      <c r="P1" s="149" t="s">
        <v>1278</v>
      </c>
    </row>
    <row r="2" spans="1:16" s="4" customFormat="1" x14ac:dyDescent="0.3">
      <c r="A2" s="44" t="s">
        <v>24</v>
      </c>
      <c r="B2" s="45">
        <f>'Hist LJ01'!B2+'Hist LJ02'!B2+'Hist LJ03'!B2+'Hist LJ04'!B2+'Hist LJ05'!B2+'Hist LJ06'!B2+'Hist LJ07'!B2+'Hist LJ08'!B2</f>
        <v>4753871.4600000009</v>
      </c>
      <c r="C2" s="45">
        <f>'Hist LJ01'!C2+'Hist LJ02'!C2+'Hist LJ03'!C2+'Hist LJ04'!C2+'Hist LJ05'!C2+'Hist LJ06'!C2+'Hist LJ07'!C2+'Hist LJ08'!C2</f>
        <v>4642902.2199999988</v>
      </c>
      <c r="D2" s="45">
        <f>'Hist LJ01'!D2+'Hist LJ02'!D2+'Hist LJ03'!D2+'Hist LJ04'!D2+'Hist LJ05'!D2+'Hist LJ06'!D2+'Hist LJ07'!D2+'Hist LJ08'!D2</f>
        <v>4944626.2700000033</v>
      </c>
      <c r="E2" s="45">
        <f>'Hist LJ01'!E2+'Hist LJ02'!E2+'Hist LJ03'!E2+'Hist LJ04'!E2+'Hist LJ05'!E2+'Hist LJ06'!E2+'Hist LJ07'!E2+'Hist LJ08'!E2</f>
        <v>4933827.209999999</v>
      </c>
      <c r="F2" s="45">
        <f>'Hist LJ01'!F2+'Hist LJ02'!F2+'Hist LJ03'!F2+'Hist LJ04'!F2+'Hist LJ05'!F2+'Hist LJ06'!F2+'Hist LJ07'!F2+'Hist LJ08'!F2</f>
        <v>5206293.089999998</v>
      </c>
      <c r="G2" s="45">
        <f>'Hist LJ01'!G2+'Hist LJ02'!G2+'Hist LJ03'!G2+'Hist LJ04'!G2+'Hist LJ05'!G2+'Hist LJ06'!G2+'Hist LJ07'!G2+'Hist LJ08'!G2</f>
        <v>4830383.4200000018</v>
      </c>
      <c r="H2" s="45">
        <f>'Hist LJ01'!H2+'Hist LJ02'!H2+'Hist LJ03'!H2+'Hist LJ04'!H2+'Hist LJ05'!H2+'Hist LJ06'!H2+'Hist LJ07'!H2+'Hist LJ08'!H2</f>
        <v>5099679.6199999992</v>
      </c>
      <c r="I2" s="45">
        <f>'Hist LJ01'!I2+'Hist LJ02'!I2+'Hist LJ03'!I2+'Hist LJ04'!I2+'Hist LJ05'!I2+'Hist LJ06'!I2+'Hist LJ07'!I2+'Hist LJ08'!I2</f>
        <v>5179154.5700000022</v>
      </c>
      <c r="J2" s="45">
        <f>'Hist LJ01'!J2+'Hist LJ02'!J2+'Hist LJ03'!J2+'Hist LJ04'!J2+'Hist LJ05'!J2+'Hist LJ06'!J2+'Hist LJ07'!J2+'Hist LJ08'!J2</f>
        <v>4728251.6400000034</v>
      </c>
      <c r="K2" s="45">
        <f>'Hist LJ01'!K2+'Hist LJ02'!K2+'Hist LJ03'!K2+'Hist LJ04'!K2+'Hist LJ05'!K2+'Hist LJ06'!K2+'Hist LJ07'!K2+'Hist LJ08'!K2</f>
        <v>5163150.7300000023</v>
      </c>
      <c r="L2" s="45">
        <f>'Hist LJ01'!L2+'Hist LJ02'!L2+'Hist LJ03'!L2+'Hist LJ04'!L2+'Hist LJ05'!L2+'Hist LJ06'!L2+'Hist LJ07'!L2+'Hist LJ08'!L2</f>
        <v>5268729.75</v>
      </c>
      <c r="M2" s="45">
        <f>'Hist LJ01'!M2+'Hist LJ02'!M2+'Hist LJ03'!M2+'Hist LJ04'!M2+'Hist LJ05'!M2+'Hist LJ06'!M2+'Hist LJ07'!M2+'Hist LJ08'!M2</f>
        <v>6394773.2099999869</v>
      </c>
      <c r="N2" s="46">
        <f>'Hist LJ01'!N2+'Hist LJ02'!N2+'Hist LJ03'!N2+'Hist LJ04'!N2+'Hist LJ05'!N2+'Hist LJ06'!N2+'Hist LJ07'!N2+'Hist LJ08'!N2</f>
        <v>61145643.18999999</v>
      </c>
      <c r="P2" s="2" t="s">
        <v>24</v>
      </c>
    </row>
    <row r="3" spans="1:16" x14ac:dyDescent="0.3">
      <c r="A3" s="54" t="s">
        <v>1279</v>
      </c>
      <c r="B3" s="55">
        <f>'Hist LJ01'!B3+'Hist LJ02'!B3+'Hist LJ03'!B3+'Hist LJ04'!B3+'Hist LJ05'!B3+'Hist LJ06'!B3+'Hist LJ07'!B3+'Hist LJ08'!B3</f>
        <v>2955625.29</v>
      </c>
      <c r="C3" s="55">
        <f>'Hist LJ01'!C3+'Hist LJ02'!C3+'Hist LJ03'!C3+'Hist LJ04'!C3+'Hist LJ05'!C3+'Hist LJ06'!C3+'Hist LJ07'!C3+'Hist LJ08'!C3</f>
        <v>2771438.7299999995</v>
      </c>
      <c r="D3" s="55">
        <f>'Hist LJ01'!D3+'Hist LJ02'!D3+'Hist LJ03'!D3+'Hist LJ04'!D3+'Hist LJ05'!D3+'Hist LJ06'!D3+'Hist LJ07'!D3+'Hist LJ08'!D3</f>
        <v>2963107.4700000016</v>
      </c>
      <c r="E3" s="55">
        <f>'Hist LJ01'!E3+'Hist LJ02'!E3+'Hist LJ03'!E3+'Hist LJ04'!E3+'Hist LJ05'!E3+'Hist LJ06'!E3+'Hist LJ07'!E3+'Hist LJ08'!E3</f>
        <v>2988067.9000000013</v>
      </c>
      <c r="F3" s="55">
        <f>'Hist LJ01'!F3+'Hist LJ02'!F3+'Hist LJ03'!F3+'Hist LJ04'!F3+'Hist LJ05'!F3+'Hist LJ06'!F3+'Hist LJ07'!F3+'Hist LJ08'!F3</f>
        <v>3334980.4000000069</v>
      </c>
      <c r="G3" s="55">
        <f>'Hist LJ01'!G3+'Hist LJ02'!G3+'Hist LJ03'!G3+'Hist LJ04'!G3+'Hist LJ05'!G3+'Hist LJ06'!G3+'Hist LJ07'!G3+'Hist LJ08'!G3</f>
        <v>3258374.8100000005</v>
      </c>
      <c r="H3" s="55">
        <f>'Hist LJ01'!H3+'Hist LJ02'!H3+'Hist LJ03'!H3+'Hist LJ04'!H3+'Hist LJ05'!H3+'Hist LJ06'!H3+'Hist LJ07'!H3+'Hist LJ08'!H3</f>
        <v>3308793.9799999958</v>
      </c>
      <c r="I3" s="55">
        <f>'Hist LJ01'!I3+'Hist LJ02'!I3+'Hist LJ03'!I3+'Hist LJ04'!I3+'Hist LJ05'!I3+'Hist LJ06'!I3+'Hist LJ07'!I3+'Hist LJ08'!I3</f>
        <v>3129558.9700000044</v>
      </c>
      <c r="J3" s="55">
        <f>'Hist LJ01'!J3+'Hist LJ02'!J3+'Hist LJ03'!J3+'Hist LJ04'!J3+'Hist LJ05'!J3+'Hist LJ06'!J3+'Hist LJ07'!J3+'Hist LJ08'!J3</f>
        <v>2847975.0200000028</v>
      </c>
      <c r="K3" s="55">
        <f>'Hist LJ01'!K3+'Hist LJ02'!K3+'Hist LJ03'!K3+'Hist LJ04'!K3+'Hist LJ05'!K3+'Hist LJ06'!K3+'Hist LJ07'!K3+'Hist LJ08'!K3</f>
        <v>2969533.6100000031</v>
      </c>
      <c r="L3" s="55">
        <f>'Hist LJ01'!L3+'Hist LJ02'!L3+'Hist LJ03'!L3+'Hist LJ04'!L3+'Hist LJ05'!L3+'Hist LJ06'!L3+'Hist LJ07'!L3+'Hist LJ08'!L3</f>
        <v>2917379.9900000012</v>
      </c>
      <c r="M3" s="55">
        <f>'Hist LJ01'!M3+'Hist LJ02'!M3+'Hist LJ03'!M3+'Hist LJ04'!M3+'Hist LJ05'!M3+'Hist LJ06'!M3+'Hist LJ07'!M3+'Hist LJ08'!M3</f>
        <v>2596527.37</v>
      </c>
      <c r="N3" s="56">
        <f>'Hist LJ01'!N3+'Hist LJ02'!N3+'Hist LJ03'!N3+'Hist LJ04'!N3+'Hist LJ05'!N3+'Hist LJ06'!N3+'Hist LJ07'!N3+'Hist LJ08'!N3</f>
        <v>36041363.540000007</v>
      </c>
      <c r="P3" t="s">
        <v>201</v>
      </c>
    </row>
    <row r="4" spans="1:16" x14ac:dyDescent="0.3">
      <c r="A4" s="54" t="s">
        <v>1280</v>
      </c>
      <c r="B4" s="55">
        <f>'Hist LJ01'!B4+'Hist LJ02'!B4+'Hist LJ03'!B4+'Hist LJ04'!B4+'Hist LJ05'!B4+'Hist LJ06'!B4+'Hist LJ07'!B4+'Hist LJ08'!B4</f>
        <v>3098333.7400000053</v>
      </c>
      <c r="C4" s="55">
        <f>'Hist LJ01'!C4+'Hist LJ02'!C4+'Hist LJ03'!C4+'Hist LJ04'!C4+'Hist LJ05'!C4+'Hist LJ06'!C4+'Hist LJ07'!C4+'Hist LJ08'!C4</f>
        <v>2914927.9300000072</v>
      </c>
      <c r="D4" s="55">
        <f>'Hist LJ01'!D4+'Hist LJ02'!D4+'Hist LJ03'!D4+'Hist LJ04'!D4+'Hist LJ05'!D4+'Hist LJ06'!D4+'Hist LJ07'!D4+'Hist LJ08'!D4</f>
        <v>3262145.790000014</v>
      </c>
      <c r="E4" s="55">
        <f>'Hist LJ01'!E4+'Hist LJ02'!E4+'Hist LJ03'!E4+'Hist LJ04'!E4+'Hist LJ05'!E4+'Hist LJ06'!E4+'Hist LJ07'!E4+'Hist LJ08'!E4</f>
        <v>3270526.2300000158</v>
      </c>
      <c r="F4" s="55">
        <f>'Hist LJ01'!F4+'Hist LJ02'!F4+'Hist LJ03'!F4+'Hist LJ04'!F4+'Hist LJ05'!F4+'Hist LJ06'!F4+'Hist LJ07'!F4+'Hist LJ08'!F4</f>
        <v>3432098.160000029</v>
      </c>
      <c r="G4" s="55">
        <f>'Hist LJ01'!G4+'Hist LJ02'!G4+'Hist LJ03'!G4+'Hist LJ04'!G4+'Hist LJ05'!G4+'Hist LJ06'!G4+'Hist LJ07'!G4+'Hist LJ08'!G4</f>
        <v>3520459.3900000639</v>
      </c>
      <c r="H4" s="55">
        <f>'Hist LJ01'!H4+'Hist LJ02'!H4+'Hist LJ03'!H4+'Hist LJ04'!H4+'Hist LJ05'!H4+'Hist LJ06'!H4+'Hist LJ07'!H4+'Hist LJ08'!H4</f>
        <v>3671469.3699999768</v>
      </c>
      <c r="I4" s="55">
        <f>'Hist LJ01'!I4+'Hist LJ02'!I4+'Hist LJ03'!I4+'Hist LJ04'!I4+'Hist LJ05'!I4+'Hist LJ06'!I4+'Hist LJ07'!I4+'Hist LJ08'!I4</f>
        <v>3549196.830000015</v>
      </c>
      <c r="J4" s="55">
        <f>'Hist LJ01'!J4+'Hist LJ02'!J4+'Hist LJ03'!J4+'Hist LJ04'!J4+'Hist LJ05'!J4+'Hist LJ06'!J4+'Hist LJ07'!J4+'Hist LJ08'!J4</f>
        <v>3225469.6500000106</v>
      </c>
      <c r="K4" s="55">
        <f>'Hist LJ01'!K4+'Hist LJ02'!K4+'Hist LJ03'!K4+'Hist LJ04'!K4+'Hist LJ05'!K4+'Hist LJ06'!K4+'Hist LJ07'!K4+'Hist LJ08'!K4</f>
        <v>3425049.8600000385</v>
      </c>
      <c r="L4" s="55">
        <f>'Hist LJ01'!L4+'Hist LJ02'!L4+'Hist LJ03'!L4+'Hist LJ04'!L4+'Hist LJ05'!L4+'Hist LJ06'!L4+'Hist LJ07'!L4+'Hist LJ08'!L4</f>
        <v>3664370.680000016</v>
      </c>
      <c r="M4" s="55">
        <f>'Hist LJ01'!M4+'Hist LJ02'!M4+'Hist LJ03'!M4+'Hist LJ04'!M4+'Hist LJ05'!M4+'Hist LJ06'!M4+'Hist LJ07'!M4+'Hist LJ08'!M4</f>
        <v>4705433.9099999992</v>
      </c>
      <c r="N4" s="56">
        <f>'Hist LJ01'!N4+'Hist LJ02'!N4+'Hist LJ03'!N4+'Hist LJ04'!N4+'Hist LJ05'!N4+'Hist LJ06'!N4+'Hist LJ07'!N4+'Hist LJ08'!N4</f>
        <v>41739481.540000685</v>
      </c>
      <c r="P4" t="s">
        <v>201</v>
      </c>
    </row>
    <row r="5" spans="1:16" x14ac:dyDescent="0.3">
      <c r="A5" s="54" t="s">
        <v>1281</v>
      </c>
      <c r="B5" s="55">
        <f>'Hist LJ01'!B5+'Hist LJ02'!B5+'Hist LJ03'!B5+'Hist LJ04'!B5+'Hist LJ05'!B5+'Hist LJ06'!B5+'Hist LJ07'!B5+'Hist LJ08'!B5</f>
        <v>632785.35999999801</v>
      </c>
      <c r="C5" s="55">
        <f>'Hist LJ01'!C5+'Hist LJ02'!C5+'Hist LJ03'!C5+'Hist LJ04'!C5+'Hist LJ05'!C5+'Hist LJ06'!C5+'Hist LJ07'!C5+'Hist LJ08'!C5</f>
        <v>591219.97999999824</v>
      </c>
      <c r="D5" s="55">
        <f>'Hist LJ01'!D5+'Hist LJ02'!D5+'Hist LJ03'!D5+'Hist LJ04'!D5+'Hist LJ05'!D5+'Hist LJ06'!D5+'Hist LJ07'!D5+'Hist LJ08'!D5</f>
        <v>667252.51999999885</v>
      </c>
      <c r="E5" s="55">
        <f>'Hist LJ01'!E5+'Hist LJ02'!E5+'Hist LJ03'!E5+'Hist LJ04'!E5+'Hist LJ05'!E5+'Hist LJ06'!E5+'Hist LJ07'!E5+'Hist LJ08'!E5</f>
        <v>651747.61999999837</v>
      </c>
      <c r="F5" s="55">
        <f>'Hist LJ01'!F5+'Hist LJ02'!F5+'Hist LJ03'!F5+'Hist LJ04'!F5+'Hist LJ05'!F5+'Hist LJ06'!F5+'Hist LJ07'!F5+'Hist LJ08'!F5</f>
        <v>686663.28999999817</v>
      </c>
      <c r="G5" s="55">
        <f>'Hist LJ01'!G5+'Hist LJ02'!G5+'Hist LJ03'!G5+'Hist LJ04'!G5+'Hist LJ05'!G5+'Hist LJ06'!G5+'Hist LJ07'!G5+'Hist LJ08'!G5</f>
        <v>647005.36999999895</v>
      </c>
      <c r="H5" s="55">
        <f>'Hist LJ01'!H5+'Hist LJ02'!H5+'Hist LJ03'!H5+'Hist LJ04'!H5+'Hist LJ05'!H5+'Hist LJ06'!H5+'Hist LJ07'!H5+'Hist LJ08'!H5</f>
        <v>650302.51999999816</v>
      </c>
      <c r="I5" s="55">
        <f>'Hist LJ01'!I5+'Hist LJ02'!I5+'Hist LJ03'!I5+'Hist LJ04'!I5+'Hist LJ05'!I5+'Hist LJ06'!I5+'Hist LJ07'!I5+'Hist LJ08'!I5</f>
        <v>679893.07999999833</v>
      </c>
      <c r="J5" s="55">
        <f>'Hist LJ01'!J5+'Hist LJ02'!J5+'Hist LJ03'!J5+'Hist LJ04'!J5+'Hist LJ05'!J5+'Hist LJ06'!J5+'Hist LJ07'!J5+'Hist LJ08'!J5</f>
        <v>615176.33999999776</v>
      </c>
      <c r="K5" s="55">
        <f>'Hist LJ01'!K5+'Hist LJ02'!K5+'Hist LJ03'!K5+'Hist LJ04'!K5+'Hist LJ05'!K5+'Hist LJ06'!K5+'Hist LJ07'!K5+'Hist LJ08'!K5</f>
        <v>682968.72999999952</v>
      </c>
      <c r="L5" s="55">
        <f>'Hist LJ01'!L5+'Hist LJ02'!L5+'Hist LJ03'!L5+'Hist LJ04'!L5+'Hist LJ05'!L5+'Hist LJ06'!L5+'Hist LJ07'!L5+'Hist LJ08'!L5</f>
        <v>691146.80999999726</v>
      </c>
      <c r="M5" s="55">
        <f>'Hist LJ01'!M5+'Hist LJ02'!M5+'Hist LJ03'!M5+'Hist LJ04'!M5+'Hist LJ05'!M5+'Hist LJ06'!M5+'Hist LJ07'!M5+'Hist LJ08'!M5</f>
        <v>823096.48999999708</v>
      </c>
      <c r="N5" s="56">
        <f>'Hist LJ01'!N5+'Hist LJ02'!N5+'Hist LJ03'!N5+'Hist LJ04'!N5+'Hist LJ05'!N5+'Hist LJ06'!N5+'Hist LJ07'!N5+'Hist LJ08'!N5</f>
        <v>8019258.1100000283</v>
      </c>
      <c r="P5" t="s">
        <v>201</v>
      </c>
    </row>
    <row r="6" spans="1:16" x14ac:dyDescent="0.3">
      <c r="A6" s="54" t="s">
        <v>1282</v>
      </c>
      <c r="B6" s="55">
        <f>'Hist LJ01'!B6+'Hist LJ02'!B6+'Hist LJ03'!B6+'Hist LJ04'!B6+'Hist LJ05'!B6+'Hist LJ06'!B6+'Hist LJ07'!B6+'Hist LJ08'!B6</f>
        <v>2862034.0899999971</v>
      </c>
      <c r="C6" s="55">
        <f>'Hist LJ01'!C6+'Hist LJ02'!C6+'Hist LJ03'!C6+'Hist LJ04'!C6+'Hist LJ05'!C6+'Hist LJ06'!C6+'Hist LJ07'!C6+'Hist LJ08'!C6</f>
        <v>2954126.0999999959</v>
      </c>
      <c r="D6" s="55">
        <f>'Hist LJ01'!D6+'Hist LJ02'!D6+'Hist LJ03'!D6+'Hist LJ04'!D6+'Hist LJ05'!D6+'Hist LJ06'!D6+'Hist LJ07'!D6+'Hist LJ08'!D6</f>
        <v>3474012.9600000056</v>
      </c>
      <c r="E6" s="55">
        <f>'Hist LJ01'!E6+'Hist LJ02'!E6+'Hist LJ03'!E6+'Hist LJ04'!E6+'Hist LJ05'!E6+'Hist LJ06'!E6+'Hist LJ07'!E6+'Hist LJ08'!E6</f>
        <v>3019881.45</v>
      </c>
      <c r="F6" s="55">
        <f>'Hist LJ01'!F6+'Hist LJ02'!F6+'Hist LJ03'!F6+'Hist LJ04'!F6+'Hist LJ05'!F6+'Hist LJ06'!F6+'Hist LJ07'!F6+'Hist LJ08'!F6</f>
        <v>3103416.5999999982</v>
      </c>
      <c r="G6" s="55">
        <f>'Hist LJ01'!G6+'Hist LJ02'!G6+'Hist LJ03'!G6+'Hist LJ04'!G6+'Hist LJ05'!G6+'Hist LJ06'!G6+'Hist LJ07'!G6+'Hist LJ08'!G6</f>
        <v>2699231.1200000048</v>
      </c>
      <c r="H6" s="55">
        <f>'Hist LJ01'!H6+'Hist LJ02'!H6+'Hist LJ03'!H6+'Hist LJ04'!H6+'Hist LJ05'!H6+'Hist LJ06'!H6+'Hist LJ07'!H6+'Hist LJ08'!H6</f>
        <v>2755152.5300000063</v>
      </c>
      <c r="I6" s="55">
        <f>'Hist LJ01'!I6+'Hist LJ02'!I6+'Hist LJ03'!I6+'Hist LJ04'!I6+'Hist LJ05'!I6+'Hist LJ06'!I6+'Hist LJ07'!I6+'Hist LJ08'!I6</f>
        <v>3074939.4600000093</v>
      </c>
      <c r="J6" s="55">
        <f>'Hist LJ01'!J6+'Hist LJ02'!J6+'Hist LJ03'!J6+'Hist LJ04'!J6+'Hist LJ05'!J6+'Hist LJ06'!J6+'Hist LJ07'!J6+'Hist LJ08'!J6</f>
        <v>2867287.5300000003</v>
      </c>
      <c r="K6" s="55">
        <f>'Hist LJ01'!K6+'Hist LJ02'!K6+'Hist LJ03'!K6+'Hist LJ04'!K6+'Hist LJ05'!K6+'Hist LJ06'!K6+'Hist LJ07'!K6+'Hist LJ08'!K6</f>
        <v>2942014.1300000008</v>
      </c>
      <c r="L6" s="55">
        <f>'Hist LJ01'!L6+'Hist LJ02'!L6+'Hist LJ03'!L6+'Hist LJ04'!L6+'Hist LJ05'!L6+'Hist LJ06'!L6+'Hist LJ07'!L6+'Hist LJ08'!L6</f>
        <v>3255064.3400000017</v>
      </c>
      <c r="M6" s="55">
        <f>'Hist LJ01'!M6+'Hist LJ02'!M6+'Hist LJ03'!M6+'Hist LJ04'!M6+'Hist LJ05'!M6+'Hist LJ06'!M6+'Hist LJ07'!M6+'Hist LJ08'!M6</f>
        <v>4634299.8199999854</v>
      </c>
      <c r="N6" s="56">
        <f>'Hist LJ01'!N6+'Hist LJ02'!N6+'Hist LJ03'!N6+'Hist LJ04'!N6+'Hist LJ05'!N6+'Hist LJ06'!N6+'Hist LJ07'!N6+'Hist LJ08'!N6</f>
        <v>37641460.130000122</v>
      </c>
      <c r="P6" t="s">
        <v>201</v>
      </c>
    </row>
    <row r="7" spans="1:16" x14ac:dyDescent="0.3">
      <c r="A7" s="54" t="s">
        <v>1283</v>
      </c>
      <c r="B7" s="55">
        <f>'Hist LJ01'!B7+'Hist LJ02'!B7+'Hist LJ03'!B7+'Hist LJ04'!B7+'Hist LJ05'!B7+'Hist LJ06'!B7+'Hist LJ07'!B7+'Hist LJ08'!B7</f>
        <v>799211.62999999756</v>
      </c>
      <c r="C7" s="55">
        <f>'Hist LJ01'!C7+'Hist LJ02'!C7+'Hist LJ03'!C7+'Hist LJ04'!C7+'Hist LJ05'!C7+'Hist LJ06'!C7+'Hist LJ07'!C7+'Hist LJ08'!C7</f>
        <v>823192.54999999749</v>
      </c>
      <c r="D7" s="55">
        <f>'Hist LJ01'!D7+'Hist LJ02'!D7+'Hist LJ03'!D7+'Hist LJ04'!D7+'Hist LJ05'!D7+'Hist LJ06'!D7+'Hist LJ07'!D7+'Hist LJ08'!D7</f>
        <v>1023474.2699999975</v>
      </c>
      <c r="E7" s="55">
        <f>'Hist LJ01'!E7+'Hist LJ02'!E7+'Hist LJ03'!E7+'Hist LJ04'!E7+'Hist LJ05'!E7+'Hist LJ06'!E7+'Hist LJ07'!E7+'Hist LJ08'!E7</f>
        <v>2288516.4199999985</v>
      </c>
      <c r="F7" s="55">
        <f>'Hist LJ01'!F7+'Hist LJ02'!F7+'Hist LJ03'!F7+'Hist LJ04'!F7+'Hist LJ05'!F7+'Hist LJ06'!F7+'Hist LJ07'!F7+'Hist LJ08'!F7</f>
        <v>868151.7999999976</v>
      </c>
      <c r="G7" s="55">
        <f>'Hist LJ01'!G7+'Hist LJ02'!G7+'Hist LJ03'!G7+'Hist LJ04'!G7+'Hist LJ05'!G7+'Hist LJ06'!G7+'Hist LJ07'!G7+'Hist LJ08'!G7</f>
        <v>927486.88999999361</v>
      </c>
      <c r="H7" s="55">
        <f>'Hist LJ01'!H7+'Hist LJ02'!H7+'Hist LJ03'!H7+'Hist LJ04'!H7+'Hist LJ05'!H7+'Hist LJ06'!H7+'Hist LJ07'!H7+'Hist LJ08'!H7</f>
        <v>1003036.8699999996</v>
      </c>
      <c r="I7" s="55">
        <f>'Hist LJ01'!I7+'Hist LJ02'!I7+'Hist LJ03'!I7+'Hist LJ04'!I7+'Hist LJ05'!I7+'Hist LJ06'!I7+'Hist LJ07'!I7+'Hist LJ08'!I7</f>
        <v>921986.15999999666</v>
      </c>
      <c r="J7" s="55">
        <f>'Hist LJ01'!J7+'Hist LJ02'!J7+'Hist LJ03'!J7+'Hist LJ04'!J7+'Hist LJ05'!J7+'Hist LJ06'!J7+'Hist LJ07'!J7+'Hist LJ08'!J7</f>
        <v>815653.62999999686</v>
      </c>
      <c r="K7" s="55">
        <f>'Hist LJ01'!K7+'Hist LJ02'!K7+'Hist LJ03'!K7+'Hist LJ04'!K7+'Hist LJ05'!K7+'Hist LJ06'!K7+'Hist LJ07'!K7+'Hist LJ08'!K7</f>
        <v>926815.56999999727</v>
      </c>
      <c r="L7" s="55">
        <f>'Hist LJ01'!L7+'Hist LJ02'!L7+'Hist LJ03'!L7+'Hist LJ04'!L7+'Hist LJ05'!L7+'Hist LJ06'!L7+'Hist LJ07'!L7+'Hist LJ08'!L7</f>
        <v>988024.68999999727</v>
      </c>
      <c r="M7" s="55">
        <f>'Hist LJ01'!M7+'Hist LJ02'!M7+'Hist LJ03'!M7+'Hist LJ04'!M7+'Hist LJ05'!M7+'Hist LJ06'!M7+'Hist LJ07'!M7+'Hist LJ08'!M7</f>
        <v>1255509.6499999999</v>
      </c>
      <c r="N7" s="56">
        <f>'Hist LJ01'!N7+'Hist LJ02'!N7+'Hist LJ03'!N7+'Hist LJ04'!N7+'Hist LJ05'!N7+'Hist LJ06'!N7+'Hist LJ07'!N7+'Hist LJ08'!N7</f>
        <v>12641060.130000006</v>
      </c>
      <c r="P7" t="s">
        <v>201</v>
      </c>
    </row>
    <row r="8" spans="1:16" x14ac:dyDescent="0.3">
      <c r="A8" s="57" t="s">
        <v>63</v>
      </c>
      <c r="B8" s="58">
        <f>'Hist LJ01'!B8+'Hist LJ02'!B8+'Hist LJ03'!B8+'Hist LJ04'!B8+'Hist LJ05'!B8+'Hist LJ06'!B8+'Hist LJ07'!B8+'Hist LJ08'!B8</f>
        <v>367674.68</v>
      </c>
      <c r="C8" s="58">
        <f>'Hist LJ01'!C8+'Hist LJ02'!C8+'Hist LJ03'!C8+'Hist LJ04'!C8+'Hist LJ05'!C8+'Hist LJ06'!C8+'Hist LJ07'!C8+'Hist LJ08'!C8</f>
        <v>344135.25000000023</v>
      </c>
      <c r="D8" s="58">
        <f>'Hist LJ01'!D8+'Hist LJ02'!D8+'Hist LJ03'!D8+'Hist LJ04'!D8+'Hist LJ05'!D8+'Hist LJ06'!D8+'Hist LJ07'!D8+'Hist LJ08'!D8</f>
        <v>404830.66999999993</v>
      </c>
      <c r="E8" s="58">
        <f>'Hist LJ01'!E8+'Hist LJ02'!E8+'Hist LJ03'!E8+'Hist LJ04'!E8+'Hist LJ05'!E8+'Hist LJ06'!E8+'Hist LJ07'!E8+'Hist LJ08'!E8</f>
        <v>383181.33000000013</v>
      </c>
      <c r="F8" s="58">
        <f>'Hist LJ01'!F8+'Hist LJ02'!F8+'Hist LJ03'!F8+'Hist LJ04'!F8+'Hist LJ05'!F8+'Hist LJ06'!F8+'Hist LJ07'!F8+'Hist LJ08'!F8</f>
        <v>460020.42999999982</v>
      </c>
      <c r="G8" s="58">
        <f>'Hist LJ01'!G8+'Hist LJ02'!G8+'Hist LJ03'!G8+'Hist LJ04'!G8+'Hist LJ05'!G8+'Hist LJ06'!G8+'Hist LJ07'!G8+'Hist LJ08'!G8</f>
        <v>463504.81000000017</v>
      </c>
      <c r="H8" s="58">
        <f>'Hist LJ01'!H8+'Hist LJ02'!H8+'Hist LJ03'!H8+'Hist LJ04'!H8+'Hist LJ05'!H8+'Hist LJ06'!H8+'Hist LJ07'!H8+'Hist LJ08'!H8</f>
        <v>488872.87000000011</v>
      </c>
      <c r="I8" s="58">
        <f>'Hist LJ01'!I8+'Hist LJ02'!I8+'Hist LJ03'!I8+'Hist LJ04'!I8+'Hist LJ05'!I8+'Hist LJ06'!I8+'Hist LJ07'!I8+'Hist LJ08'!I8</f>
        <v>523841.2</v>
      </c>
      <c r="J8" s="58">
        <f>'Hist LJ01'!J8+'Hist LJ02'!J8+'Hist LJ03'!J8+'Hist LJ04'!J8+'Hist LJ05'!J8+'Hist LJ06'!J8+'Hist LJ07'!J8+'Hist LJ08'!J8</f>
        <v>461581.49</v>
      </c>
      <c r="K8" s="58">
        <f>'Hist LJ01'!K8+'Hist LJ02'!K8+'Hist LJ03'!K8+'Hist LJ04'!K8+'Hist LJ05'!K8+'Hist LJ06'!K8+'Hist LJ07'!K8+'Hist LJ08'!K8</f>
        <v>456142.25999999983</v>
      </c>
      <c r="L8" s="58">
        <f>'Hist LJ01'!L8+'Hist LJ02'!L8+'Hist LJ03'!L8+'Hist LJ04'!L8+'Hist LJ05'!L8+'Hist LJ06'!L8+'Hist LJ07'!L8+'Hist LJ08'!L8</f>
        <v>433719.51000000013</v>
      </c>
      <c r="M8" s="58">
        <f>'Hist LJ01'!M8+'Hist LJ02'!M8+'Hist LJ03'!M8+'Hist LJ04'!M8+'Hist LJ05'!M8+'Hist LJ06'!M8+'Hist LJ07'!M8+'Hist LJ08'!M8</f>
        <v>420845.47000000009</v>
      </c>
      <c r="N8" s="59">
        <f>'Hist LJ01'!N8+'Hist LJ02'!N8+'Hist LJ03'!N8+'Hist LJ04'!N8+'Hist LJ05'!N8+'Hist LJ06'!N8+'Hist LJ07'!N8+'Hist LJ08'!N8</f>
        <v>5208349.9699999988</v>
      </c>
      <c r="P8" t="s">
        <v>63</v>
      </c>
    </row>
    <row r="9" spans="1:16" x14ac:dyDescent="0.3">
      <c r="A9" s="54" t="s">
        <v>1284</v>
      </c>
      <c r="B9" s="55">
        <f>'Hist LJ01'!B9+'Hist LJ02'!B9+'Hist LJ03'!B9+'Hist LJ04'!B9+'Hist LJ05'!B9+'Hist LJ06'!B9+'Hist LJ07'!B9+'Hist LJ08'!B9</f>
        <v>67206.130000000019</v>
      </c>
      <c r="C9" s="55">
        <f>'Hist LJ01'!C9+'Hist LJ02'!C9+'Hist LJ03'!C9+'Hist LJ04'!C9+'Hist LJ05'!C9+'Hist LJ06'!C9+'Hist LJ07'!C9+'Hist LJ08'!C9</f>
        <v>69283.040000000008</v>
      </c>
      <c r="D9" s="55">
        <f>'Hist LJ01'!D9+'Hist LJ02'!D9+'Hist LJ03'!D9+'Hist LJ04'!D9+'Hist LJ05'!D9+'Hist LJ06'!D9+'Hist LJ07'!D9+'Hist LJ08'!D9</f>
        <v>79203.150000000009</v>
      </c>
      <c r="E9" s="55">
        <f>'Hist LJ01'!E9+'Hist LJ02'!E9+'Hist LJ03'!E9+'Hist LJ04'!E9+'Hist LJ05'!E9+'Hist LJ06'!E9+'Hist LJ07'!E9+'Hist LJ08'!E9</f>
        <v>63047</v>
      </c>
      <c r="F9" s="55">
        <f>'Hist LJ01'!F9+'Hist LJ02'!F9+'Hist LJ03'!F9+'Hist LJ04'!F9+'Hist LJ05'!F9+'Hist LJ06'!F9+'Hist LJ07'!F9+'Hist LJ08'!F9</f>
        <v>198043.97</v>
      </c>
      <c r="G9" s="55">
        <f>'Hist LJ01'!G9+'Hist LJ02'!G9+'Hist LJ03'!G9+'Hist LJ04'!G9+'Hist LJ05'!G9+'Hist LJ06'!G9+'Hist LJ07'!G9+'Hist LJ08'!G9</f>
        <v>76545.789999999979</v>
      </c>
      <c r="H9" s="55">
        <f>'Hist LJ01'!H9+'Hist LJ02'!H9+'Hist LJ03'!H9+'Hist LJ04'!H9+'Hist LJ05'!H9+'Hist LJ06'!H9+'Hist LJ07'!H9+'Hist LJ08'!H9</f>
        <v>71021.58</v>
      </c>
      <c r="I9" s="55">
        <f>'Hist LJ01'!I9+'Hist LJ02'!I9+'Hist LJ03'!I9+'Hist LJ04'!I9+'Hist LJ05'!I9+'Hist LJ06'!I9+'Hist LJ07'!I9+'Hist LJ08'!I9</f>
        <v>94674.51</v>
      </c>
      <c r="J9" s="55">
        <f>'Hist LJ01'!J9+'Hist LJ02'!J9+'Hist LJ03'!J9+'Hist LJ04'!J9+'Hist LJ05'!J9+'Hist LJ06'!J9+'Hist LJ07'!J9+'Hist LJ08'!J9</f>
        <v>119314.14000000001</v>
      </c>
      <c r="K9" s="55">
        <f>'Hist LJ01'!K9+'Hist LJ02'!K9+'Hist LJ03'!K9+'Hist LJ04'!K9+'Hist LJ05'!K9+'Hist LJ06'!K9+'Hist LJ07'!K9+'Hist LJ08'!K9</f>
        <v>119395.09</v>
      </c>
      <c r="L9" s="55">
        <f>'Hist LJ01'!L9+'Hist LJ02'!L9+'Hist LJ03'!L9+'Hist LJ04'!L9+'Hist LJ05'!L9+'Hist LJ06'!L9+'Hist LJ07'!L9+'Hist LJ08'!L9</f>
        <v>123033.65000000002</v>
      </c>
      <c r="M9" s="55">
        <f>'Hist LJ01'!M9+'Hist LJ02'!M9+'Hist LJ03'!M9+'Hist LJ04'!M9+'Hist LJ05'!M9+'Hist LJ06'!M9+'Hist LJ07'!M9+'Hist LJ08'!M9</f>
        <v>77181.509999999995</v>
      </c>
      <c r="N9" s="56">
        <f>'Hist LJ01'!N9+'Hist LJ02'!N9+'Hist LJ03'!N9+'Hist LJ04'!N9+'Hist LJ05'!N9+'Hist LJ06'!N9+'Hist LJ07'!N9+'Hist LJ08'!N9</f>
        <v>1157949.5599999984</v>
      </c>
      <c r="P9" t="s">
        <v>201</v>
      </c>
    </row>
    <row r="10" spans="1:16" x14ac:dyDescent="0.3">
      <c r="A10" s="60" t="s">
        <v>1285</v>
      </c>
      <c r="B10" s="61">
        <f>'Hist LJ01'!B10+'Hist LJ02'!B10+'Hist LJ03'!B10+'Hist LJ04'!B10+'Hist LJ05'!B10+'Hist LJ06'!B10+'Hist LJ07'!B10+'Hist LJ08'!B10</f>
        <v>1654501.6099999952</v>
      </c>
      <c r="C10" s="61">
        <f>'Hist LJ01'!C10+'Hist LJ02'!C10+'Hist LJ03'!C10+'Hist LJ04'!C10+'Hist LJ05'!C10+'Hist LJ06'!C10+'Hist LJ07'!C10+'Hist LJ08'!C10</f>
        <v>1553666.1999999944</v>
      </c>
      <c r="D10" s="61">
        <f>'Hist LJ01'!D10+'Hist LJ02'!D10+'Hist LJ03'!D10+'Hist LJ04'!D10+'Hist LJ05'!D10+'Hist LJ06'!D10+'Hist LJ07'!D10+'Hist LJ08'!D10</f>
        <v>1774187.3999999957</v>
      </c>
      <c r="E10" s="61">
        <f>'Hist LJ01'!E10+'Hist LJ02'!E10+'Hist LJ03'!E10+'Hist LJ04'!E10+'Hist LJ05'!E10+'Hist LJ06'!E10+'Hist LJ07'!E10+'Hist LJ08'!E10</f>
        <v>1684496.9099999957</v>
      </c>
      <c r="F10" s="61">
        <f>'Hist LJ01'!F10+'Hist LJ02'!F10+'Hist LJ03'!F10+'Hist LJ04'!F10+'Hist LJ05'!F10+'Hist LJ06'!F10+'Hist LJ07'!F10+'Hist LJ08'!F10</f>
        <v>1866023.9299999974</v>
      </c>
      <c r="G10" s="61">
        <f>'Hist LJ01'!G10+'Hist LJ02'!G10+'Hist LJ03'!G10+'Hist LJ04'!G10+'Hist LJ05'!G10+'Hist LJ06'!G10+'Hist LJ07'!G10+'Hist LJ08'!G10</f>
        <v>1815499.5199999958</v>
      </c>
      <c r="H10" s="61">
        <f>'Hist LJ01'!H10+'Hist LJ02'!H10+'Hist LJ03'!H10+'Hist LJ04'!H10+'Hist LJ05'!H10+'Hist LJ06'!H10+'Hist LJ07'!H10+'Hist LJ08'!H10</f>
        <v>1819001.5299999982</v>
      </c>
      <c r="I10" s="61">
        <f>'Hist LJ01'!I10+'Hist LJ02'!I10+'Hist LJ03'!I10+'Hist LJ04'!I10+'Hist LJ05'!I10+'Hist LJ06'!I10+'Hist LJ07'!I10+'Hist LJ08'!I10</f>
        <v>1742932.049999997</v>
      </c>
      <c r="J10" s="61">
        <f>'Hist LJ01'!J10+'Hist LJ02'!J10+'Hist LJ03'!J10+'Hist LJ04'!J10+'Hist LJ05'!J10+'Hist LJ06'!J10+'Hist LJ07'!J10+'Hist LJ08'!J10</f>
        <v>1636606.3199999959</v>
      </c>
      <c r="K10" s="61">
        <f>'Hist LJ01'!K10+'Hist LJ02'!K10+'Hist LJ03'!K10+'Hist LJ04'!K10+'Hist LJ05'!K10+'Hist LJ06'!K10+'Hist LJ07'!K10+'Hist LJ08'!K10</f>
        <v>1702490.4499999967</v>
      </c>
      <c r="L10" s="61">
        <f>'Hist LJ01'!L10+'Hist LJ02'!L10+'Hist LJ03'!L10+'Hist LJ04'!L10+'Hist LJ05'!L10+'Hist LJ06'!L10+'Hist LJ07'!L10+'Hist LJ08'!L10</f>
        <v>1680502.4199999953</v>
      </c>
      <c r="M10" s="61">
        <f>'Hist LJ01'!M10+'Hist LJ02'!M10+'Hist LJ03'!M10+'Hist LJ04'!M10+'Hist LJ05'!M10+'Hist LJ06'!M10+'Hist LJ07'!M10+'Hist LJ08'!M10</f>
        <v>2000207.6399999945</v>
      </c>
      <c r="N10" s="62">
        <f>'Hist LJ01'!N10+'Hist LJ02'!N10+'Hist LJ03'!N10+'Hist LJ04'!N10+'Hist LJ05'!N10+'Hist LJ06'!N10+'Hist LJ07'!N10+'Hist LJ08'!N10</f>
        <v>20930115.98000006</v>
      </c>
      <c r="P10" t="s">
        <v>1286</v>
      </c>
    </row>
    <row r="11" spans="1:16" x14ac:dyDescent="0.3">
      <c r="A11" s="54" t="s">
        <v>1287</v>
      </c>
      <c r="B11" s="55">
        <f>'Hist LJ01'!B11+'Hist LJ02'!B11+'Hist LJ03'!B11+'Hist LJ04'!B11+'Hist LJ05'!B11+'Hist LJ06'!B11+'Hist LJ07'!B11+'Hist LJ08'!B11</f>
        <v>1272667.8399999975</v>
      </c>
      <c r="C11" s="55">
        <f>'Hist LJ01'!C11+'Hist LJ02'!C11+'Hist LJ03'!C11+'Hist LJ04'!C11+'Hist LJ05'!C11+'Hist LJ06'!C11+'Hist LJ07'!C11+'Hist LJ08'!C11</f>
        <v>1256568.7299999981</v>
      </c>
      <c r="D11" s="55">
        <f>'Hist LJ01'!D11+'Hist LJ02'!D11+'Hist LJ03'!D11+'Hist LJ04'!D11+'Hist LJ05'!D11+'Hist LJ06'!D11+'Hist LJ07'!D11+'Hist LJ08'!D11</f>
        <v>1338297.8300000024</v>
      </c>
      <c r="E11" s="55">
        <f>'Hist LJ01'!E11+'Hist LJ02'!E11+'Hist LJ03'!E11+'Hist LJ04'!E11+'Hist LJ05'!E11+'Hist LJ06'!E11+'Hist LJ07'!E11+'Hist LJ08'!E11</f>
        <v>1296935.9500000023</v>
      </c>
      <c r="F11" s="55">
        <f>'Hist LJ01'!F11+'Hist LJ02'!F11+'Hist LJ03'!F11+'Hist LJ04'!F11+'Hist LJ05'!F11+'Hist LJ06'!F11+'Hist LJ07'!F11+'Hist LJ08'!F11</f>
        <v>1341228.1500000036</v>
      </c>
      <c r="G11" s="55">
        <f>'Hist LJ01'!G11+'Hist LJ02'!G11+'Hist LJ03'!G11+'Hist LJ04'!G11+'Hist LJ05'!G11+'Hist LJ06'!G11+'Hist LJ07'!G11+'Hist LJ08'!G11</f>
        <v>1269010.7300000046</v>
      </c>
      <c r="H11" s="55">
        <f>'Hist LJ01'!H11+'Hist LJ02'!H11+'Hist LJ03'!H11+'Hist LJ04'!H11+'Hist LJ05'!H11+'Hist LJ06'!H11+'Hist LJ07'!H11+'Hist LJ08'!H11</f>
        <v>1318190.1700000016</v>
      </c>
      <c r="I11" s="55">
        <f>'Hist LJ01'!I11+'Hist LJ02'!I11+'Hist LJ03'!I11+'Hist LJ04'!I11+'Hist LJ05'!I11+'Hist LJ06'!I11+'Hist LJ07'!I11+'Hist LJ08'!I11</f>
        <v>1343635.6699999988</v>
      </c>
      <c r="J11" s="55">
        <f>'Hist LJ01'!J11+'Hist LJ02'!J11+'Hist LJ03'!J11+'Hist LJ04'!J11+'Hist LJ05'!J11+'Hist LJ06'!J11+'Hist LJ07'!J11+'Hist LJ08'!J11</f>
        <v>1271551.0599999973</v>
      </c>
      <c r="K11" s="55">
        <f>'Hist LJ01'!K11+'Hist LJ02'!K11+'Hist LJ03'!K11+'Hist LJ04'!K11+'Hist LJ05'!K11+'Hist LJ06'!K11+'Hist LJ07'!K11+'Hist LJ08'!K11</f>
        <v>1316266.5800000033</v>
      </c>
      <c r="L11" s="55">
        <f>'Hist LJ01'!L11+'Hist LJ02'!L11+'Hist LJ03'!L11+'Hist LJ04'!L11+'Hist LJ05'!L11+'Hist LJ06'!L11+'Hist LJ07'!L11+'Hist LJ08'!L11</f>
        <v>1373510.6</v>
      </c>
      <c r="M11" s="55">
        <f>'Hist LJ01'!M11+'Hist LJ02'!M11+'Hist LJ03'!M11+'Hist LJ04'!M11+'Hist LJ05'!M11+'Hist LJ06'!M11+'Hist LJ07'!M11+'Hist LJ08'!M11</f>
        <v>1406435.470000003</v>
      </c>
      <c r="N11" s="56">
        <f>'Hist LJ01'!N11+'Hist LJ02'!N11+'Hist LJ03'!N11+'Hist LJ04'!N11+'Hist LJ05'!N11+'Hist LJ06'!N11+'Hist LJ07'!N11+'Hist LJ08'!N11</f>
        <v>15804298.780000154</v>
      </c>
      <c r="P11" t="s">
        <v>201</v>
      </c>
    </row>
    <row r="12" spans="1:16" x14ac:dyDescent="0.3">
      <c r="A12" s="63" t="s">
        <v>1288</v>
      </c>
      <c r="B12" s="64">
        <f>'Hist LJ01'!B12+'Hist LJ02'!B12+'Hist LJ03'!B12+'Hist LJ04'!B12+'Hist LJ05'!B12+'Hist LJ06'!B12+'Hist LJ07'!B12+'Hist LJ08'!B12</f>
        <v>3544291.37</v>
      </c>
      <c r="C12" s="64">
        <f>'Hist LJ01'!C12+'Hist LJ02'!C12+'Hist LJ03'!C12+'Hist LJ04'!C12+'Hist LJ05'!C12+'Hist LJ06'!C12+'Hist LJ07'!C12+'Hist LJ08'!C12</f>
        <v>3399574.3200000017</v>
      </c>
      <c r="D12" s="64">
        <f>'Hist LJ01'!D12+'Hist LJ02'!D12+'Hist LJ03'!D12+'Hist LJ04'!D12+'Hist LJ05'!D12+'Hist LJ06'!D12+'Hist LJ07'!D12+'Hist LJ08'!D12</f>
        <v>3799733.4099999969</v>
      </c>
      <c r="E12" s="64">
        <f>'Hist LJ01'!E12+'Hist LJ02'!E12+'Hist LJ03'!E12+'Hist LJ04'!E12+'Hist LJ05'!E12+'Hist LJ06'!E12+'Hist LJ07'!E12+'Hist LJ08'!E12</f>
        <v>3792948.2300000042</v>
      </c>
      <c r="F12" s="64">
        <f>'Hist LJ01'!F12+'Hist LJ02'!F12+'Hist LJ03'!F12+'Hist LJ04'!F12+'Hist LJ05'!F12+'Hist LJ06'!F12+'Hist LJ07'!F12+'Hist LJ08'!F12</f>
        <v>3559615.6899999995</v>
      </c>
      <c r="G12" s="64">
        <f>'Hist LJ01'!G12+'Hist LJ02'!G12+'Hist LJ03'!G12+'Hist LJ04'!G12+'Hist LJ05'!G12+'Hist LJ06'!G12+'Hist LJ07'!G12+'Hist LJ08'!G12</f>
        <v>3241336.6600000006</v>
      </c>
      <c r="H12" s="64">
        <f>'Hist LJ01'!H12+'Hist LJ02'!H12+'Hist LJ03'!H12+'Hist LJ04'!H12+'Hist LJ05'!H12+'Hist LJ06'!H12+'Hist LJ07'!H12+'Hist LJ08'!H12</f>
        <v>3755247.4599999995</v>
      </c>
      <c r="I12" s="64">
        <f>'Hist LJ01'!I12+'Hist LJ02'!I12+'Hist LJ03'!I12+'Hist LJ04'!I12+'Hist LJ05'!I12+'Hist LJ06'!I12+'Hist LJ07'!I12+'Hist LJ08'!I12</f>
        <v>3812107.459999999</v>
      </c>
      <c r="J12" s="64">
        <f>'Hist LJ01'!J12+'Hist LJ02'!J12+'Hist LJ03'!J12+'Hist LJ04'!J12+'Hist LJ05'!J12+'Hist LJ06'!J12+'Hist LJ07'!J12+'Hist LJ08'!J12</f>
        <v>3907963.9799999981</v>
      </c>
      <c r="K12" s="64">
        <f>'Hist LJ01'!K12+'Hist LJ02'!K12+'Hist LJ03'!K12+'Hist LJ04'!K12+'Hist LJ05'!K12+'Hist LJ06'!K12+'Hist LJ07'!K12+'Hist LJ08'!K12</f>
        <v>3612882.4200000013</v>
      </c>
      <c r="L12" s="64">
        <f>'Hist LJ01'!L12+'Hist LJ02'!L12+'Hist LJ03'!L12+'Hist LJ04'!L12+'Hist LJ05'!L12+'Hist LJ06'!L12+'Hist LJ07'!L12+'Hist LJ08'!L12</f>
        <v>3620929.6100000017</v>
      </c>
      <c r="M12" s="64">
        <f>'Hist LJ01'!M12+'Hist LJ02'!M12+'Hist LJ03'!M12+'Hist LJ04'!M12+'Hist LJ05'!M12+'Hist LJ06'!M12+'Hist LJ07'!M12+'Hist LJ08'!M12</f>
        <v>4156741.9499999993</v>
      </c>
      <c r="N12" s="65">
        <f>'Hist LJ01'!N12+'Hist LJ02'!N12+'Hist LJ03'!N12+'Hist LJ04'!N12+'Hist LJ05'!N12+'Hist LJ06'!N12+'Hist LJ07'!N12+'Hist LJ08'!N12</f>
        <v>44203372.56000004</v>
      </c>
      <c r="P12" t="s">
        <v>1288</v>
      </c>
    </row>
    <row r="13" spans="1:16" x14ac:dyDescent="0.3">
      <c r="A13" s="60" t="s">
        <v>1289</v>
      </c>
      <c r="B13" s="61">
        <f>'Hist LJ01'!B13+'Hist LJ02'!B13+'Hist LJ03'!B13+'Hist LJ04'!B13+'Hist LJ05'!B13+'Hist LJ06'!B13+'Hist LJ07'!B13+'Hist LJ08'!B13</f>
        <v>1452847.329999998</v>
      </c>
      <c r="C13" s="61">
        <f>'Hist LJ01'!C13+'Hist LJ02'!C13+'Hist LJ03'!C13+'Hist LJ04'!C13+'Hist LJ05'!C13+'Hist LJ06'!C13+'Hist LJ07'!C13+'Hist LJ08'!C13</f>
        <v>1348136.3899999985</v>
      </c>
      <c r="D13" s="61">
        <f>'Hist LJ01'!D13+'Hist LJ02'!D13+'Hist LJ03'!D13+'Hist LJ04'!D13+'Hist LJ05'!D13+'Hist LJ06'!D13+'Hist LJ07'!D13+'Hist LJ08'!D13</f>
        <v>1542530.2899999972</v>
      </c>
      <c r="E13" s="61">
        <f>'Hist LJ01'!E13+'Hist LJ02'!E13+'Hist LJ03'!E13+'Hist LJ04'!E13+'Hist LJ05'!E13+'Hist LJ06'!E13+'Hist LJ07'!E13+'Hist LJ08'!E13</f>
        <v>1412677.3399999985</v>
      </c>
      <c r="F13" s="61">
        <f>'Hist LJ01'!F13+'Hist LJ02'!F13+'Hist LJ03'!F13+'Hist LJ04'!F13+'Hist LJ05'!F13+'Hist LJ06'!F13+'Hist LJ07'!F13+'Hist LJ08'!F13</f>
        <v>1435565.3399999978</v>
      </c>
      <c r="G13" s="61">
        <f>'Hist LJ01'!G13+'Hist LJ02'!G13+'Hist LJ03'!G13+'Hist LJ04'!G13+'Hist LJ05'!G13+'Hist LJ06'!G13+'Hist LJ07'!G13+'Hist LJ08'!G13</f>
        <v>1410401.6099999947</v>
      </c>
      <c r="H13" s="61">
        <f>'Hist LJ01'!H13+'Hist LJ02'!H13+'Hist LJ03'!H13+'Hist LJ04'!H13+'Hist LJ05'!H13+'Hist LJ06'!H13+'Hist LJ07'!H13+'Hist LJ08'!H13</f>
        <v>1492263.9599999997</v>
      </c>
      <c r="I13" s="61">
        <f>'Hist LJ01'!I13+'Hist LJ02'!I13+'Hist LJ03'!I13+'Hist LJ04'!I13+'Hist LJ05'!I13+'Hist LJ06'!I13+'Hist LJ07'!I13+'Hist LJ08'!I13</f>
        <v>1511673.2399999991</v>
      </c>
      <c r="J13" s="61">
        <f>'Hist LJ01'!J13+'Hist LJ02'!J13+'Hist LJ03'!J13+'Hist LJ04'!J13+'Hist LJ05'!J13+'Hist LJ06'!J13+'Hist LJ07'!J13+'Hist LJ08'!J13</f>
        <v>1522949.9499999988</v>
      </c>
      <c r="K13" s="61">
        <f>'Hist LJ01'!K13+'Hist LJ02'!K13+'Hist LJ03'!K13+'Hist LJ04'!K13+'Hist LJ05'!K13+'Hist LJ06'!K13+'Hist LJ07'!K13+'Hist LJ08'!K13</f>
        <v>1605148.7399999965</v>
      </c>
      <c r="L13" s="61">
        <f>'Hist LJ01'!L13+'Hist LJ02'!L13+'Hist LJ03'!L13+'Hist LJ04'!L13+'Hist LJ05'!L13+'Hist LJ06'!L13+'Hist LJ07'!L13+'Hist LJ08'!L13</f>
        <v>1526405.7299999979</v>
      </c>
      <c r="M13" s="61">
        <f>'Hist LJ01'!M13+'Hist LJ02'!M13+'Hist LJ03'!M13+'Hist LJ04'!M13+'Hist LJ05'!M13+'Hist LJ06'!M13+'Hist LJ07'!M13+'Hist LJ08'!M13</f>
        <v>1614899.7999999998</v>
      </c>
      <c r="N13" s="62">
        <f>'Hist LJ01'!N13+'Hist LJ02'!N13+'Hist LJ03'!N13+'Hist LJ04'!N13+'Hist LJ05'!N13+'Hist LJ06'!N13+'Hist LJ07'!N13+'Hist LJ08'!N13</f>
        <v>17875499.72000001</v>
      </c>
      <c r="P13" t="s">
        <v>1286</v>
      </c>
    </row>
    <row r="14" spans="1:16" x14ac:dyDescent="0.3">
      <c r="A14" s="54" t="s">
        <v>67</v>
      </c>
      <c r="B14" s="55">
        <f>'Hist LJ01'!B14+'Hist LJ02'!B14+'Hist LJ03'!B14+'Hist LJ04'!B14+'Hist LJ05'!B14+'Hist LJ06'!B14+'Hist LJ07'!B14+'Hist LJ08'!B14</f>
        <v>1275303.2099999969</v>
      </c>
      <c r="C14" s="55">
        <f>'Hist LJ01'!C14+'Hist LJ02'!C14+'Hist LJ03'!C14+'Hist LJ04'!C14+'Hist LJ05'!C14+'Hist LJ06'!C14+'Hist LJ07'!C14+'Hist LJ08'!C14</f>
        <v>1150674.6499999966</v>
      </c>
      <c r="D14" s="55">
        <f>'Hist LJ01'!D14+'Hist LJ02'!D14+'Hist LJ03'!D14+'Hist LJ04'!D14+'Hist LJ05'!D14+'Hist LJ06'!D14+'Hist LJ07'!D14+'Hist LJ08'!D14</f>
        <v>1303422.0599999977</v>
      </c>
      <c r="E14" s="55">
        <f>'Hist LJ01'!E14+'Hist LJ02'!E14+'Hist LJ03'!E14+'Hist LJ04'!E14+'Hist LJ05'!E14+'Hist LJ06'!E14+'Hist LJ07'!E14+'Hist LJ08'!E14</f>
        <v>1154799.9199999971</v>
      </c>
      <c r="F14" s="55">
        <f>'Hist LJ01'!F14+'Hist LJ02'!F14+'Hist LJ03'!F14+'Hist LJ04'!F14+'Hist LJ05'!F14+'Hist LJ06'!F14+'Hist LJ07'!F14+'Hist LJ08'!F14</f>
        <v>1228740.4699999967</v>
      </c>
      <c r="G14" s="55">
        <f>'Hist LJ01'!G14+'Hist LJ02'!G14+'Hist LJ03'!G14+'Hist LJ04'!G14+'Hist LJ05'!G14+'Hist LJ06'!G14+'Hist LJ07'!G14+'Hist LJ08'!G14</f>
        <v>1111411.8199999975</v>
      </c>
      <c r="H14" s="55">
        <f>'Hist LJ01'!H14+'Hist LJ02'!H14+'Hist LJ03'!H14+'Hist LJ04'!H14+'Hist LJ05'!H14+'Hist LJ06'!H14+'Hist LJ07'!H14+'Hist LJ08'!H14</f>
        <v>1217751.7499999998</v>
      </c>
      <c r="I14" s="55">
        <f>'Hist LJ01'!I14+'Hist LJ02'!I14+'Hist LJ03'!I14+'Hist LJ04'!I14+'Hist LJ05'!I14+'Hist LJ06'!I14+'Hist LJ07'!I14+'Hist LJ08'!I14</f>
        <v>1156620.0799999994</v>
      </c>
      <c r="J14" s="55">
        <f>'Hist LJ01'!J14+'Hist LJ02'!J14+'Hist LJ03'!J14+'Hist LJ04'!J14+'Hist LJ05'!J14+'Hist LJ06'!J14+'Hist LJ07'!J14+'Hist LJ08'!J14</f>
        <v>1199633.5499999993</v>
      </c>
      <c r="K14" s="55">
        <f>'Hist LJ01'!K14+'Hist LJ02'!K14+'Hist LJ03'!K14+'Hist LJ04'!K14+'Hist LJ05'!K14+'Hist LJ06'!K14+'Hist LJ07'!K14+'Hist LJ08'!K14</f>
        <v>1191763.4699999976</v>
      </c>
      <c r="L14" s="55">
        <f>'Hist LJ01'!L14+'Hist LJ02'!L14+'Hist LJ03'!L14+'Hist LJ04'!L14+'Hist LJ05'!L14+'Hist LJ06'!L14+'Hist LJ07'!L14+'Hist LJ08'!L14</f>
        <v>1267172.029999997</v>
      </c>
      <c r="M14" s="55">
        <f>'Hist LJ01'!M14+'Hist LJ02'!M14+'Hist LJ03'!M14+'Hist LJ04'!M14+'Hist LJ05'!M14+'Hist LJ06'!M14+'Hist LJ07'!M14+'Hist LJ08'!M14</f>
        <v>1231371.5499999973</v>
      </c>
      <c r="N14" s="56">
        <f>'Hist LJ01'!N14+'Hist LJ02'!N14+'Hist LJ03'!N14+'Hist LJ04'!N14+'Hist LJ05'!N14+'Hist LJ06'!N14+'Hist LJ07'!N14+'Hist LJ08'!N14</f>
        <v>14488664.560000081</v>
      </c>
      <c r="P14" t="s">
        <v>201</v>
      </c>
    </row>
    <row r="15" spans="1:16" x14ac:dyDescent="0.3">
      <c r="A15" s="48" t="s">
        <v>1290</v>
      </c>
      <c r="B15" s="49">
        <f>'Hist LJ01'!B15+'Hist LJ02'!B15+'Hist LJ03'!B15+'Hist LJ04'!B15+'Hist LJ05'!B15+'Hist LJ06'!B15+'Hist LJ07'!B15+'Hist LJ08'!B15</f>
        <v>19138.25</v>
      </c>
      <c r="C15" s="49">
        <f>'Hist LJ01'!C15+'Hist LJ02'!C15+'Hist LJ03'!C15+'Hist LJ04'!C15+'Hist LJ05'!C15+'Hist LJ06'!C15+'Hist LJ07'!C15+'Hist LJ08'!C15</f>
        <v>18394.890000000003</v>
      </c>
      <c r="D15" s="49">
        <f>'Hist LJ01'!D15+'Hist LJ02'!D15+'Hist LJ03'!D15+'Hist LJ04'!D15+'Hist LJ05'!D15+'Hist LJ06'!D15+'Hist LJ07'!D15+'Hist LJ08'!D15</f>
        <v>19531.919999999998</v>
      </c>
      <c r="E15" s="49">
        <f>'Hist LJ01'!E15+'Hist LJ02'!E15+'Hist LJ03'!E15+'Hist LJ04'!E15+'Hist LJ05'!E15+'Hist LJ06'!E15+'Hist LJ07'!E15+'Hist LJ08'!E15</f>
        <v>20248.920000000002</v>
      </c>
      <c r="F15" s="49">
        <f>'Hist LJ01'!F15+'Hist LJ02'!F15+'Hist LJ03'!F15+'Hist LJ04'!F15+'Hist LJ05'!F15+'Hist LJ06'!F15+'Hist LJ07'!F15+'Hist LJ08'!F15</f>
        <v>19852.13</v>
      </c>
      <c r="G15" s="49">
        <f>'Hist LJ01'!G15+'Hist LJ02'!G15+'Hist LJ03'!G15+'Hist LJ04'!G15+'Hist LJ05'!G15+'Hist LJ06'!G15+'Hist LJ07'!G15+'Hist LJ08'!G15</f>
        <v>19027.57</v>
      </c>
      <c r="H15" s="49">
        <f>'Hist LJ01'!H15+'Hist LJ02'!H15+'Hist LJ03'!H15+'Hist LJ04'!H15+'Hist LJ05'!H15+'Hist LJ06'!H15+'Hist LJ07'!H15+'Hist LJ08'!H15</f>
        <v>20761.219999999998</v>
      </c>
      <c r="I15" s="49">
        <f>'Hist LJ01'!I15+'Hist LJ02'!I15+'Hist LJ03'!I15+'Hist LJ04'!I15+'Hist LJ05'!I15+'Hist LJ06'!I15+'Hist LJ07'!I15+'Hist LJ08'!I15</f>
        <v>19383.88</v>
      </c>
      <c r="J15" s="49">
        <f>'Hist LJ01'!J15+'Hist LJ02'!J15+'Hist LJ03'!J15+'Hist LJ04'!J15+'Hist LJ05'!J15+'Hist LJ06'!J15+'Hist LJ07'!J15+'Hist LJ08'!J15</f>
        <v>16892.439999999999</v>
      </c>
      <c r="K15" s="49">
        <f>'Hist LJ01'!K15+'Hist LJ02'!K15+'Hist LJ03'!K15+'Hist LJ04'!K15+'Hist LJ05'!K15+'Hist LJ06'!K15+'Hist LJ07'!K15+'Hist LJ08'!K15</f>
        <v>18573.21</v>
      </c>
      <c r="L15" s="49">
        <f>'Hist LJ01'!L15+'Hist LJ02'!L15+'Hist LJ03'!L15+'Hist LJ04'!L15+'Hist LJ05'!L15+'Hist LJ06'!L15+'Hist LJ07'!L15+'Hist LJ08'!L15</f>
        <v>19218.53</v>
      </c>
      <c r="M15" s="49">
        <f>'Hist LJ01'!M15+'Hist LJ02'!M15+'Hist LJ03'!M15+'Hist LJ04'!M15+'Hist LJ05'!M15+'Hist LJ06'!M15+'Hist LJ07'!M15+'Hist LJ08'!M15</f>
        <v>19610.969999999998</v>
      </c>
      <c r="N15" s="50">
        <f>'Hist LJ01'!N15+'Hist LJ02'!N15+'Hist LJ03'!N15+'Hist LJ04'!N15+'Hist LJ05'!N15+'Hist LJ06'!N15+'Hist LJ07'!N15+'Hist LJ08'!N15</f>
        <v>230633.93000000002</v>
      </c>
      <c r="P15" t="s">
        <v>201</v>
      </c>
    </row>
    <row r="16" spans="1:16" x14ac:dyDescent="0.3">
      <c r="A16" s="57" t="s">
        <v>83</v>
      </c>
      <c r="B16" s="58">
        <f>'Hist LJ01'!B16+'Hist LJ02'!B16+'Hist LJ03'!B16+'Hist LJ04'!B16+'Hist LJ05'!B16+'Hist LJ06'!B16+'Hist LJ07'!B16+'Hist LJ08'!B16</f>
        <v>991555.52999999991</v>
      </c>
      <c r="C16" s="58">
        <f>'Hist LJ01'!C16+'Hist LJ02'!C16+'Hist LJ03'!C16+'Hist LJ04'!C16+'Hist LJ05'!C16+'Hist LJ06'!C16+'Hist LJ07'!C16+'Hist LJ08'!C16</f>
        <v>898793.97</v>
      </c>
      <c r="D16" s="58">
        <f>'Hist LJ01'!D16+'Hist LJ02'!D16+'Hist LJ03'!D16+'Hist LJ04'!D16+'Hist LJ05'!D16+'Hist LJ06'!D16+'Hist LJ07'!D16+'Hist LJ08'!D16</f>
        <v>982832.31999999972</v>
      </c>
      <c r="E16" s="58">
        <f>'Hist LJ01'!E16+'Hist LJ02'!E16+'Hist LJ03'!E16+'Hist LJ04'!E16+'Hist LJ05'!E16+'Hist LJ06'!E16+'Hist LJ07'!E16+'Hist LJ08'!E16</f>
        <v>1008085</v>
      </c>
      <c r="F16" s="58">
        <f>'Hist LJ01'!F16+'Hist LJ02'!F16+'Hist LJ03'!F16+'Hist LJ04'!F16+'Hist LJ05'!F16+'Hist LJ06'!F16+'Hist LJ07'!F16+'Hist LJ08'!F16</f>
        <v>1099587.2899999996</v>
      </c>
      <c r="G16" s="58">
        <f>'Hist LJ01'!G16+'Hist LJ02'!G16+'Hist LJ03'!G16+'Hist LJ04'!G16+'Hist LJ05'!G16+'Hist LJ06'!G16+'Hist LJ07'!G16+'Hist LJ08'!G16</f>
        <v>1141309.3599999989</v>
      </c>
      <c r="H16" s="58">
        <f>'Hist LJ01'!H16+'Hist LJ02'!H16+'Hist LJ03'!H16+'Hist LJ04'!H16+'Hist LJ05'!H16+'Hist LJ06'!H16+'Hist LJ07'!H16+'Hist LJ08'!H16</f>
        <v>1234883.1900000002</v>
      </c>
      <c r="I16" s="58">
        <f>'Hist LJ01'!I16+'Hist LJ02'!I16+'Hist LJ03'!I16+'Hist LJ04'!I16+'Hist LJ05'!I16+'Hist LJ06'!I16+'Hist LJ07'!I16+'Hist LJ08'!I16</f>
        <v>1209206.0799999998</v>
      </c>
      <c r="J16" s="58">
        <f>'Hist LJ01'!J16+'Hist LJ02'!J16+'Hist LJ03'!J16+'Hist LJ04'!J16+'Hist LJ05'!J16+'Hist LJ06'!J16+'Hist LJ07'!J16+'Hist LJ08'!J16</f>
        <v>1126691.8799999994</v>
      </c>
      <c r="K16" s="58">
        <f>'Hist LJ01'!K16+'Hist LJ02'!K16+'Hist LJ03'!K16+'Hist LJ04'!K16+'Hist LJ05'!K16+'Hist LJ06'!K16+'Hist LJ07'!K16+'Hist LJ08'!K16</f>
        <v>1191328.47</v>
      </c>
      <c r="L16" s="58">
        <f>'Hist LJ01'!L16+'Hist LJ02'!L16+'Hist LJ03'!L16+'Hist LJ04'!L16+'Hist LJ05'!L16+'Hist LJ06'!L16+'Hist LJ07'!L16+'Hist LJ08'!L16</f>
        <v>1150649.58</v>
      </c>
      <c r="M16" s="58">
        <f>'Hist LJ01'!M16+'Hist LJ02'!M16+'Hist LJ03'!M16+'Hist LJ04'!M16+'Hist LJ05'!M16+'Hist LJ06'!M16+'Hist LJ07'!M16+'Hist LJ08'!M16</f>
        <v>1227304.26</v>
      </c>
      <c r="N16" s="59">
        <f>'Hist LJ01'!N16+'Hist LJ02'!N16+'Hist LJ03'!N16+'Hist LJ04'!N16+'Hist LJ05'!N16+'Hist LJ06'!N16+'Hist LJ07'!N16+'Hist LJ08'!N16</f>
        <v>13262226.930000002</v>
      </c>
      <c r="P16" t="s">
        <v>83</v>
      </c>
    </row>
    <row r="17" spans="1:16" x14ac:dyDescent="0.3">
      <c r="A17" s="54" t="s">
        <v>1291</v>
      </c>
      <c r="B17" s="55">
        <f>'Hist LJ01'!B17+'Hist LJ02'!B17+'Hist LJ03'!B17+'Hist LJ04'!B17+'Hist LJ05'!B17+'Hist LJ06'!B17+'Hist LJ07'!B17+'Hist LJ08'!B17</f>
        <v>329448.97999999992</v>
      </c>
      <c r="C17" s="55">
        <f>'Hist LJ01'!C17+'Hist LJ02'!C17+'Hist LJ03'!C17+'Hist LJ04'!C17+'Hist LJ05'!C17+'Hist LJ06'!C17+'Hist LJ07'!C17+'Hist LJ08'!C17</f>
        <v>311278.95999999996</v>
      </c>
      <c r="D17" s="55">
        <f>'Hist LJ01'!D17+'Hist LJ02'!D17+'Hist LJ03'!D17+'Hist LJ04'!D17+'Hist LJ05'!D17+'Hist LJ06'!D17+'Hist LJ07'!D17+'Hist LJ08'!D17</f>
        <v>349151.79999999993</v>
      </c>
      <c r="E17" s="55">
        <f>'Hist LJ01'!E17+'Hist LJ02'!E17+'Hist LJ03'!E17+'Hist LJ04'!E17+'Hist LJ05'!E17+'Hist LJ06'!E17+'Hist LJ07'!E17+'Hist LJ08'!E17</f>
        <v>333879.72000000009</v>
      </c>
      <c r="F17" s="55">
        <f>'Hist LJ01'!F17+'Hist LJ02'!F17+'Hist LJ03'!F17+'Hist LJ04'!F17+'Hist LJ05'!F17+'Hist LJ06'!F17+'Hist LJ07'!F17+'Hist LJ08'!F17</f>
        <v>345525.97</v>
      </c>
      <c r="G17" s="55">
        <f>'Hist LJ01'!G17+'Hist LJ02'!G17+'Hist LJ03'!G17+'Hist LJ04'!G17+'Hist LJ05'!G17+'Hist LJ06'!G17+'Hist LJ07'!G17+'Hist LJ08'!G17</f>
        <v>320096.89999999997</v>
      </c>
      <c r="H17" s="55">
        <f>'Hist LJ01'!H17+'Hist LJ02'!H17+'Hist LJ03'!H17+'Hist LJ04'!H17+'Hist LJ05'!H17+'Hist LJ06'!H17+'Hist LJ07'!H17+'Hist LJ08'!H17</f>
        <v>326584.64999999991</v>
      </c>
      <c r="I17" s="55">
        <f>'Hist LJ01'!I17+'Hist LJ02'!I17+'Hist LJ03'!I17+'Hist LJ04'!I17+'Hist LJ05'!I17+'Hist LJ06'!I17+'Hist LJ07'!I17+'Hist LJ08'!I17</f>
        <v>312274.72999999986</v>
      </c>
      <c r="J17" s="55">
        <f>'Hist LJ01'!J17+'Hist LJ02'!J17+'Hist LJ03'!J17+'Hist LJ04'!J17+'Hist LJ05'!J17+'Hist LJ06'!J17+'Hist LJ07'!J17+'Hist LJ08'!J17</f>
        <v>314344.9299999997</v>
      </c>
      <c r="K17" s="55">
        <f>'Hist LJ01'!K17+'Hist LJ02'!K17+'Hist LJ03'!K17+'Hist LJ04'!K17+'Hist LJ05'!K17+'Hist LJ06'!K17+'Hist LJ07'!K17+'Hist LJ08'!K17</f>
        <v>320833.90000000014</v>
      </c>
      <c r="L17" s="55">
        <f>'Hist LJ01'!L17+'Hist LJ02'!L17+'Hist LJ03'!L17+'Hist LJ04'!L17+'Hist LJ05'!L17+'Hist LJ06'!L17+'Hist LJ07'!L17+'Hist LJ08'!L17</f>
        <v>305670.07999999996</v>
      </c>
      <c r="M17" s="55">
        <f>'Hist LJ01'!M17+'Hist LJ02'!M17+'Hist LJ03'!M17+'Hist LJ04'!M17+'Hist LJ05'!M17+'Hist LJ06'!M17+'Hist LJ07'!M17+'Hist LJ08'!M17</f>
        <v>283112.6599999998</v>
      </c>
      <c r="N17" s="56">
        <f>'Hist LJ01'!N17+'Hist LJ02'!N17+'Hist LJ03'!N17+'Hist LJ04'!N17+'Hist LJ05'!N17+'Hist LJ06'!N17+'Hist LJ07'!N17+'Hist LJ08'!N17</f>
        <v>3852203.2799999942</v>
      </c>
      <c r="P17" t="s">
        <v>201</v>
      </c>
    </row>
    <row r="18" spans="1:16" x14ac:dyDescent="0.3">
      <c r="A18" s="60" t="s">
        <v>1292</v>
      </c>
      <c r="B18" s="61">
        <f>'Hist LJ01'!B18+'Hist LJ02'!B18+'Hist LJ03'!B18+'Hist LJ04'!B18+'Hist LJ05'!B18+'Hist LJ06'!B18+'Hist LJ07'!B18+'Hist LJ08'!B18</f>
        <v>137357.71</v>
      </c>
      <c r="C18" s="61">
        <f>'Hist LJ01'!C18+'Hist LJ02'!C18+'Hist LJ03'!C18+'Hist LJ04'!C18+'Hist LJ05'!C18+'Hist LJ06'!C18+'Hist LJ07'!C18+'Hist LJ08'!C18</f>
        <v>197429.69000000003</v>
      </c>
      <c r="D18" s="61">
        <f>'Hist LJ01'!D18+'Hist LJ02'!D18+'Hist LJ03'!D18+'Hist LJ04'!D18+'Hist LJ05'!D18+'Hist LJ06'!D18+'Hist LJ07'!D18+'Hist LJ08'!D18</f>
        <v>395227.27999999985</v>
      </c>
      <c r="E18" s="61">
        <f>'Hist LJ01'!E18+'Hist LJ02'!E18+'Hist LJ03'!E18+'Hist LJ04'!E18+'Hist LJ05'!E18+'Hist LJ06'!E18+'Hist LJ07'!E18+'Hist LJ08'!E18</f>
        <v>532993.54999999993</v>
      </c>
      <c r="F18" s="61">
        <f>'Hist LJ01'!F18+'Hist LJ02'!F18+'Hist LJ03'!F18+'Hist LJ04'!F18+'Hist LJ05'!F18+'Hist LJ06'!F18+'Hist LJ07'!F18+'Hist LJ08'!F18</f>
        <v>118884.39000000001</v>
      </c>
      <c r="G18" s="61">
        <f>'Hist LJ01'!G18+'Hist LJ02'!G18+'Hist LJ03'!G18+'Hist LJ04'!G18+'Hist LJ05'!G18+'Hist LJ06'!G18+'Hist LJ07'!G18+'Hist LJ08'!G18</f>
        <v>103194.20999999999</v>
      </c>
      <c r="H18" s="61">
        <f>'Hist LJ01'!H18+'Hist LJ02'!H18+'Hist LJ03'!H18+'Hist LJ04'!H18+'Hist LJ05'!H18+'Hist LJ06'!H18+'Hist LJ07'!H18+'Hist LJ08'!H18</f>
        <v>109267.15000000005</v>
      </c>
      <c r="I18" s="61">
        <f>'Hist LJ01'!I18+'Hist LJ02'!I18+'Hist LJ03'!I18+'Hist LJ04'!I18+'Hist LJ05'!I18+'Hist LJ06'!I18+'Hist LJ07'!I18+'Hist LJ08'!I18</f>
        <v>126333.7</v>
      </c>
      <c r="J18" s="61">
        <f>'Hist LJ01'!J18+'Hist LJ02'!J18+'Hist LJ03'!J18+'Hist LJ04'!J18+'Hist LJ05'!J18+'Hist LJ06'!J18+'Hist LJ07'!J18+'Hist LJ08'!J18</f>
        <v>139078.27000000002</v>
      </c>
      <c r="K18" s="61">
        <f>'Hist LJ01'!K18+'Hist LJ02'!K18+'Hist LJ03'!K18+'Hist LJ04'!K18+'Hist LJ05'!K18+'Hist LJ06'!K18+'Hist LJ07'!K18+'Hist LJ08'!K18</f>
        <v>139820.96000000005</v>
      </c>
      <c r="L18" s="61">
        <f>'Hist LJ01'!L18+'Hist LJ02'!L18+'Hist LJ03'!L18+'Hist LJ04'!L18+'Hist LJ05'!L18+'Hist LJ06'!L18+'Hist LJ07'!L18+'Hist LJ08'!L18</f>
        <v>136788.18000000005</v>
      </c>
      <c r="M18" s="61">
        <f>'Hist LJ01'!M18+'Hist LJ02'!M18+'Hist LJ03'!M18+'Hist LJ04'!M18+'Hist LJ05'!M18+'Hist LJ06'!M18+'Hist LJ07'!M18+'Hist LJ08'!M18</f>
        <v>139417.36000000002</v>
      </c>
      <c r="N18" s="62">
        <f>'Hist LJ01'!N18+'Hist LJ02'!N18+'Hist LJ03'!N18+'Hist LJ04'!N18+'Hist LJ05'!N18+'Hist LJ06'!N18+'Hist LJ07'!N18+'Hist LJ08'!N18</f>
        <v>2275792.4499999983</v>
      </c>
      <c r="P18" t="s">
        <v>1286</v>
      </c>
    </row>
    <row r="19" spans="1:16" ht="15.6" customHeight="1" x14ac:dyDescent="0.3">
      <c r="A19" s="57" t="s">
        <v>92</v>
      </c>
      <c r="B19" s="58">
        <f>'Hist LJ01'!B19+'Hist LJ02'!B19+'Hist LJ03'!B19+'Hist LJ04'!B19+'Hist LJ05'!B19+'Hist LJ06'!B19+'Hist LJ07'!B19+'Hist LJ08'!B19</f>
        <v>249533.08</v>
      </c>
      <c r="C19" s="58">
        <f>'Hist LJ01'!C19+'Hist LJ02'!C19+'Hist LJ03'!C19+'Hist LJ04'!C19+'Hist LJ05'!C19+'Hist LJ06'!C19+'Hist LJ07'!C19+'Hist LJ08'!C19</f>
        <v>250954.64</v>
      </c>
      <c r="D19" s="58">
        <f>'Hist LJ01'!D19+'Hist LJ02'!D19+'Hist LJ03'!D19+'Hist LJ04'!D19+'Hist LJ05'!D19+'Hist LJ06'!D19+'Hist LJ07'!D19+'Hist LJ08'!D19</f>
        <v>284076.15999999997</v>
      </c>
      <c r="E19" s="58">
        <f>'Hist LJ01'!E19+'Hist LJ02'!E19+'Hist LJ03'!E19+'Hist LJ04'!E19+'Hist LJ05'!E19+'Hist LJ06'!E19+'Hist LJ07'!E19+'Hist LJ08'!E19</f>
        <v>261065.08</v>
      </c>
      <c r="F19" s="58">
        <f>'Hist LJ01'!F19+'Hist LJ02'!F19+'Hist LJ03'!F19+'Hist LJ04'!F19+'Hist LJ05'!F19+'Hist LJ06'!F19+'Hist LJ07'!F19+'Hist LJ08'!F19</f>
        <v>293554.6100000001</v>
      </c>
      <c r="G19" s="58">
        <f>'Hist LJ01'!G19+'Hist LJ02'!G19+'Hist LJ03'!G19+'Hist LJ04'!G19+'Hist LJ05'!G19+'Hist LJ06'!G19+'Hist LJ07'!G19+'Hist LJ08'!G19</f>
        <v>287888.42999999993</v>
      </c>
      <c r="H19" s="58">
        <f>'Hist LJ01'!H19+'Hist LJ02'!H19+'Hist LJ03'!H19+'Hist LJ04'!H19+'Hist LJ05'!H19+'Hist LJ06'!H19+'Hist LJ07'!H19+'Hist LJ08'!H19</f>
        <v>281163.33000000007</v>
      </c>
      <c r="I19" s="58">
        <f>'Hist LJ01'!I19+'Hist LJ02'!I19+'Hist LJ03'!I19+'Hist LJ04'!I19+'Hist LJ05'!I19+'Hist LJ06'!I19+'Hist LJ07'!I19+'Hist LJ08'!I19</f>
        <v>286504.69000000006</v>
      </c>
      <c r="J19" s="58">
        <f>'Hist LJ01'!J19+'Hist LJ02'!J19+'Hist LJ03'!J19+'Hist LJ04'!J19+'Hist LJ05'!J19+'Hist LJ06'!J19+'Hist LJ07'!J19+'Hist LJ08'!J19</f>
        <v>276825.8</v>
      </c>
      <c r="K19" s="58">
        <f>'Hist LJ01'!K19+'Hist LJ02'!K19+'Hist LJ03'!K19+'Hist LJ04'!K19+'Hist LJ05'!K19+'Hist LJ06'!K19+'Hist LJ07'!K19+'Hist LJ08'!K19</f>
        <v>281468.94</v>
      </c>
      <c r="L19" s="58">
        <f>'Hist LJ01'!L19+'Hist LJ02'!L19+'Hist LJ03'!L19+'Hist LJ04'!L19+'Hist LJ05'!L19+'Hist LJ06'!L19+'Hist LJ07'!L19+'Hist LJ08'!L19</f>
        <v>277601.89</v>
      </c>
      <c r="M19" s="58">
        <f>'Hist LJ01'!M19+'Hist LJ02'!M19+'Hist LJ03'!M19+'Hist LJ04'!M19+'Hist LJ05'!M19+'Hist LJ06'!M19+'Hist LJ07'!M19+'Hist LJ08'!M19</f>
        <v>299044.40999999992</v>
      </c>
      <c r="N19" s="59">
        <f>'Hist LJ01'!N19+'Hist LJ02'!N19+'Hist LJ03'!N19+'Hist LJ04'!N19+'Hist LJ05'!N19+'Hist LJ06'!N19+'Hist LJ07'!N19+'Hist LJ08'!N19</f>
        <v>3329681.06</v>
      </c>
      <c r="P19" t="s">
        <v>92</v>
      </c>
    </row>
    <row r="20" spans="1:16" x14ac:dyDescent="0.3">
      <c r="A20" s="51" t="s">
        <v>64</v>
      </c>
      <c r="B20" s="52">
        <f>'Hist LJ01'!B20+'Hist LJ02'!B20+'Hist LJ03'!B20+'Hist LJ04'!B20+'Hist LJ05'!B20+'Hist LJ06'!B20+'Hist LJ07'!B20+'Hist LJ08'!B20</f>
        <v>26463387.28999998</v>
      </c>
      <c r="C20" s="52">
        <f>'Hist LJ01'!C20+'Hist LJ02'!C20+'Hist LJ03'!C20+'Hist LJ04'!C20+'Hist LJ05'!C20+'Hist LJ06'!C20+'Hist LJ07'!C20+'Hist LJ08'!C20</f>
        <v>25496698.239999965</v>
      </c>
      <c r="D20" s="52">
        <f>'Hist LJ01'!D20+'Hist LJ02'!D20+'Hist LJ03'!D20+'Hist LJ04'!D20+'Hist LJ05'!D20+'Hist LJ06'!D20+'Hist LJ07'!D20+'Hist LJ08'!D20</f>
        <v>28607643.570000067</v>
      </c>
      <c r="E20" s="52">
        <f>'Hist LJ01'!E20+'Hist LJ02'!E20+'Hist LJ03'!E20+'Hist LJ04'!E20+'Hist LJ05'!E20+'Hist LJ06'!E20+'Hist LJ07'!E20+'Hist LJ08'!E20</f>
        <v>29096925.779999994</v>
      </c>
      <c r="F20" s="52">
        <f>'Hist LJ01'!F20+'Hist LJ02'!F20+'Hist LJ03'!F20+'Hist LJ04'!F20+'Hist LJ05'!F20+'Hist LJ06'!F20+'Hist LJ07'!F20+'Hist LJ08'!F20</f>
        <v>28598245.709999979</v>
      </c>
      <c r="G20" s="52">
        <f>'Hist LJ01'!G20+'Hist LJ02'!G20+'Hist LJ03'!G20+'Hist LJ04'!G20+'Hist LJ05'!G20+'Hist LJ06'!G20+'Hist LJ07'!G20+'Hist LJ08'!G20</f>
        <v>27142168.41000006</v>
      </c>
      <c r="H20" s="52">
        <f>'Hist LJ01'!H20+'Hist LJ02'!H20+'Hist LJ03'!H20+'Hist LJ04'!H20+'Hist LJ05'!H20+'Hist LJ06'!H20+'Hist LJ07'!H20+'Hist LJ08'!H20</f>
        <v>28623443.749999952</v>
      </c>
      <c r="I20" s="52">
        <f>'Hist LJ01'!I20+'Hist LJ02'!I20+'Hist LJ03'!I20+'Hist LJ04'!I20+'Hist LJ05'!I20+'Hist LJ06'!I20+'Hist LJ07'!I20+'Hist LJ08'!I20</f>
        <v>28673916.360000048</v>
      </c>
      <c r="J20" s="52">
        <f>'Hist LJ01'!J20+'Hist LJ02'!J20+'Hist LJ03'!J20+'Hist LJ04'!J20+'Hist LJ05'!J20+'Hist LJ06'!J20+'Hist LJ07'!J20+'Hist LJ08'!J20</f>
        <v>27093247.620000038</v>
      </c>
      <c r="K20" s="52">
        <f>'Hist LJ01'!K20+'Hist LJ02'!K20+'Hist LJ03'!K20+'Hist LJ04'!K20+'Hist LJ05'!K20+'Hist LJ06'!K20+'Hist LJ07'!K20+'Hist LJ08'!K20</f>
        <v>28065647.11999999</v>
      </c>
      <c r="L20" s="52">
        <f>'Hist LJ01'!L20+'Hist LJ02'!L20+'Hist LJ03'!L20+'Hist LJ04'!L20+'Hist LJ05'!L20+'Hist LJ06'!L20+'Hist LJ07'!L20+'Hist LJ08'!L20</f>
        <v>28699918.069999967</v>
      </c>
      <c r="M20" s="52">
        <f>'Hist LJ01'!M20+'Hist LJ02'!M20+'Hist LJ03'!M20+'Hist LJ04'!M20+'Hist LJ05'!M20+'Hist LJ06'!M20+'Hist LJ07'!M20+'Hist LJ08'!M20</f>
        <v>33285813.500000075</v>
      </c>
      <c r="N20" s="52">
        <f>'Hist LJ01'!N20+'Hist LJ02'!N20+'Hist LJ03'!N20+'Hist LJ04'!N20+'Hist LJ05'!N20+'Hist LJ06'!N20+'Hist LJ07'!N20+'Hist LJ08'!N20</f>
        <v>339847055.42000014</v>
      </c>
    </row>
    <row r="21" spans="1:16" x14ac:dyDescent="0.3">
      <c r="B21" s="53">
        <f>'Hist LJ01'!B21+'Hist LJ02'!B21+'Hist LJ03'!B21+'Hist LJ04'!B21+'Hist LJ05'!B21+'Hist LJ06'!B21+'Hist LJ07'!B21+'Hist LJ08'!B21</f>
        <v>1608763.2899999998</v>
      </c>
      <c r="C21" s="53">
        <f>'Hist LJ01'!C21+'Hist LJ02'!C21+'Hist LJ03'!C21+'Hist LJ04'!C21+'Hist LJ05'!C21+'Hist LJ06'!C21+'Hist LJ07'!C21+'Hist LJ08'!C21</f>
        <v>1493883.8599999999</v>
      </c>
      <c r="D21" s="53">
        <f>'Hist LJ01'!D21+'Hist LJ02'!D21+'Hist LJ03'!D21+'Hist LJ04'!D21+'Hist LJ05'!D21+'Hist LJ06'!D21+'Hist LJ07'!D21+'Hist LJ08'!D21</f>
        <v>1671739.1499999994</v>
      </c>
      <c r="E21" s="53">
        <f>'Hist LJ01'!E21+'Hist LJ02'!E21+'Hist LJ03'!E21+'Hist LJ04'!E21+'Hist LJ05'!E21+'Hist LJ06'!E21+'Hist LJ07'!E21+'Hist LJ08'!E21</f>
        <v>1652331.4100000004</v>
      </c>
      <c r="F21" s="53">
        <f>'Hist LJ01'!F21+'Hist LJ02'!F21+'Hist LJ03'!F21+'Hist LJ04'!F21+'Hist LJ05'!F21+'Hist LJ06'!F21+'Hist LJ07'!F21+'Hist LJ08'!F21</f>
        <v>1853162.3299999996</v>
      </c>
      <c r="G21" s="53">
        <f>'Hist LJ01'!G21+'Hist LJ02'!G21+'Hist LJ03'!G21+'Hist LJ04'!G21+'Hist LJ05'!G21+'Hist LJ06'!G21+'Hist LJ07'!G21+'Hist LJ08'!G21</f>
        <v>1892702.5999999992</v>
      </c>
      <c r="H21" s="53">
        <f>'Hist LJ01'!H21+'Hist LJ02'!H21+'Hist LJ03'!H21+'Hist LJ04'!H21+'Hist LJ05'!H21+'Hist LJ06'!H21+'Hist LJ07'!H21+'Hist LJ08'!H21</f>
        <v>2004919.3900000001</v>
      </c>
      <c r="I21" s="53">
        <f>'Hist LJ01'!I21+'Hist LJ02'!I21+'Hist LJ03'!I21+'Hist LJ04'!I21+'Hist LJ05'!I21+'Hist LJ06'!I21+'Hist LJ07'!I21+'Hist LJ08'!I21</f>
        <v>2019551.97</v>
      </c>
      <c r="J21" s="53">
        <f>'Hist LJ01'!J21+'Hist LJ02'!J21+'Hist LJ03'!J21+'Hist LJ04'!J21+'Hist LJ05'!J21+'Hist LJ06'!J21+'Hist LJ07'!J21+'Hist LJ08'!J21</f>
        <v>1865099.1699999995</v>
      </c>
      <c r="K21" s="53">
        <f>'Hist LJ01'!K21+'Hist LJ02'!K21+'Hist LJ03'!K21+'Hist LJ04'!K21+'Hist LJ05'!K21+'Hist LJ06'!K21+'Hist LJ07'!K21+'Hist LJ08'!K21</f>
        <v>1928939.6699999997</v>
      </c>
      <c r="L21" s="53">
        <f>'Hist LJ01'!L21+'Hist LJ02'!L21+'Hist LJ03'!L21+'Hist LJ04'!L21+'Hist LJ05'!L21+'Hist LJ06'!L21+'Hist LJ07'!L21+'Hist LJ08'!L21</f>
        <v>1861970.9800000002</v>
      </c>
      <c r="M21" s="53">
        <f>'Hist LJ01'!M21+'Hist LJ02'!M21+'Hist LJ03'!M21+'Hist LJ04'!M21+'Hist LJ05'!M21+'Hist LJ06'!M21+'Hist LJ07'!M21+'Hist LJ08'!M21</f>
        <v>1947194.1399999997</v>
      </c>
      <c r="N21" s="53">
        <f>'Hist LJ01'!N21+'Hist LJ02'!N21+'Hist LJ03'!N21+'Hist LJ04'!N21+'Hist LJ05'!N21+'Hist LJ06'!N21+'Hist LJ07'!N21+'Hist LJ08'!N21</f>
        <v>21800257.960000001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12</vt:i4>
      </vt:variant>
    </vt:vector>
  </HeadingPairs>
  <TitlesOfParts>
    <vt:vector size="35" baseType="lpstr">
      <vt:lpstr>PLJ01</vt:lpstr>
      <vt:lpstr>PLJ02</vt:lpstr>
      <vt:lpstr>PLJ03</vt:lpstr>
      <vt:lpstr>PLJ04</vt:lpstr>
      <vt:lpstr>PLJ05</vt:lpstr>
      <vt:lpstr>PLJ06</vt:lpstr>
      <vt:lpstr>PLJ07</vt:lpstr>
      <vt:lpstr>PLJ08</vt:lpstr>
      <vt:lpstr>PLJTT</vt:lpstr>
      <vt:lpstr>QLP 30</vt:lpstr>
      <vt:lpstr>PLJ30</vt:lpstr>
      <vt:lpstr>Banco</vt:lpstr>
      <vt:lpstr>Conf</vt:lpstr>
      <vt:lpstr>Extras</vt:lpstr>
      <vt:lpstr>Hist LJ01</vt:lpstr>
      <vt:lpstr>Hist LJ02</vt:lpstr>
      <vt:lpstr>Hist LJ03</vt:lpstr>
      <vt:lpstr>Hist LJ04</vt:lpstr>
      <vt:lpstr>Hist LJ05</vt:lpstr>
      <vt:lpstr>Hist LJ06</vt:lpstr>
      <vt:lpstr>Hist LJ07</vt:lpstr>
      <vt:lpstr>Hist LJ08</vt:lpstr>
      <vt:lpstr>Hist LJTT</vt:lpstr>
      <vt:lpstr>'PLJ01'!Area_de_impressao</vt:lpstr>
      <vt:lpstr>'PLJ02'!Area_de_impressao</vt:lpstr>
      <vt:lpstr>'PLJ03'!Area_de_impressao</vt:lpstr>
      <vt:lpstr>'PLJ04'!Area_de_impressao</vt:lpstr>
      <vt:lpstr>'PLJ05'!Area_de_impressao</vt:lpstr>
      <vt:lpstr>'PLJ06'!Area_de_impressao</vt:lpstr>
      <vt:lpstr>'PLJ07'!Area_de_impressao</vt:lpstr>
      <vt:lpstr>'PLJ08'!Area_de_impressao</vt:lpstr>
      <vt:lpstr>'PLJ30'!Area_de_impressao</vt:lpstr>
      <vt:lpstr>PLJTT!Area_de_impressao</vt:lpstr>
      <vt:lpstr>'QLP 30'!Area_de_impressao</vt:lpstr>
      <vt:lpstr>'QLP 30'!Titulos_de_impressao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UMoli</dc:creator>
  <cp:keywords/>
  <dc:description/>
  <cp:lastModifiedBy>Adriano Roger Martins</cp:lastModifiedBy>
  <cp:revision/>
  <dcterms:created xsi:type="dcterms:W3CDTF">2023-01-07T11:16:38Z</dcterms:created>
  <dcterms:modified xsi:type="dcterms:W3CDTF">2026-10-12T13:43:33Z</dcterms:modified>
  <cp:category/>
  <cp:contentStatus/>
</cp:coreProperties>
</file>