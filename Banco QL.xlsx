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7" documentId="8_{AE8194AF-643A-4D73-9956-85B26EA06F18}" xr6:coauthVersionLast="47" xr6:coauthVersionMax="47" xr10:uidLastSave="{CBEA176C-D42C-4A84-AF4B-362B2598676C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Banco!$A$1:$T$1056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1" i="44" l="1"/>
  <c r="C241" i="44" s="1"/>
  <c r="A241" i="44"/>
  <c r="D229" i="44"/>
  <c r="C229" i="44" s="1"/>
  <c r="A229" i="44"/>
  <c r="D233" i="44"/>
  <c r="C233" i="44" s="1"/>
  <c r="A233" i="44"/>
  <c r="D234" i="44"/>
  <c r="C234" i="44" s="1"/>
  <c r="A234" i="44"/>
  <c r="D298" i="44"/>
  <c r="C298" i="44" s="1"/>
  <c r="A298" i="44"/>
  <c r="D300" i="44"/>
  <c r="C300" i="44" s="1"/>
  <c r="A300" i="44"/>
  <c r="D299" i="44"/>
  <c r="C299" i="44" s="1"/>
  <c r="A299" i="44"/>
  <c r="D272" i="44"/>
  <c r="C272" i="44" s="1"/>
  <c r="A272" i="44"/>
  <c r="D273" i="44"/>
  <c r="C273" i="44" s="1"/>
  <c r="A273" i="44"/>
  <c r="D274" i="44"/>
  <c r="C274" i="44" s="1"/>
  <c r="A274" i="44"/>
  <c r="D275" i="44"/>
  <c r="C275" i="44" s="1"/>
  <c r="A275" i="44"/>
  <c r="D271" i="44"/>
  <c r="C271" i="44" s="1"/>
  <c r="A271" i="44"/>
  <c r="D283" i="44"/>
  <c r="C283" i="44" s="1"/>
  <c r="A283" i="44"/>
  <c r="D281" i="44"/>
  <c r="C281" i="44" s="1"/>
  <c r="A281" i="44"/>
  <c r="D289" i="44"/>
  <c r="C289" i="44" s="1"/>
  <c r="A289" i="44"/>
  <c r="D288" i="44"/>
  <c r="C288" i="44" s="1"/>
  <c r="A288" i="44"/>
  <c r="D293" i="44"/>
  <c r="C293" i="44" s="1"/>
  <c r="A293" i="44"/>
  <c r="D277" i="44"/>
  <c r="C277" i="44" s="1"/>
  <c r="A277" i="44"/>
  <c r="D236" i="44"/>
  <c r="C236" i="44" s="1"/>
  <c r="A236" i="44"/>
  <c r="D223" i="44"/>
  <c r="C223" i="44" s="1"/>
  <c r="A223" i="44"/>
  <c r="D157" i="44"/>
  <c r="C157" i="44" s="1"/>
  <c r="A157" i="44"/>
  <c r="D180" i="44"/>
  <c r="C180" i="44" s="1"/>
  <c r="A180" i="44"/>
  <c r="D181" i="44"/>
  <c r="C181" i="44" s="1"/>
  <c r="A181" i="44"/>
  <c r="D145" i="44"/>
  <c r="C145" i="44" s="1"/>
  <c r="A145" i="44"/>
  <c r="D144" i="44"/>
  <c r="C144" i="44" s="1"/>
  <c r="A144" i="44"/>
  <c r="D146" i="44"/>
  <c r="C146" i="44" s="1"/>
  <c r="A146" i="44"/>
  <c r="D148" i="44"/>
  <c r="C148" i="44" s="1"/>
  <c r="A148" i="44"/>
  <c r="D147" i="44"/>
  <c r="C147" i="44" s="1"/>
  <c r="A147" i="44"/>
  <c r="D143" i="44"/>
  <c r="C143" i="44" s="1"/>
  <c r="A143" i="44"/>
  <c r="D141" i="44"/>
  <c r="C141" i="44" s="1"/>
  <c r="A141" i="44"/>
  <c r="D149" i="44"/>
  <c r="C149" i="44" s="1"/>
  <c r="A149" i="44"/>
  <c r="D217" i="44"/>
  <c r="C217" i="44" s="1"/>
  <c r="A217" i="44"/>
  <c r="D215" i="44"/>
  <c r="C215" i="44" s="1"/>
  <c r="A215" i="44"/>
  <c r="D216" i="44"/>
  <c r="C216" i="44" s="1"/>
  <c r="A216" i="44"/>
  <c r="D214" i="44"/>
  <c r="C214" i="44" s="1"/>
  <c r="A214" i="44"/>
  <c r="D153" i="44"/>
  <c r="C153" i="44" s="1"/>
  <c r="A153" i="44"/>
  <c r="D222" i="44"/>
  <c r="C222" i="44" s="1"/>
  <c r="A222" i="44"/>
  <c r="D221" i="44"/>
  <c r="C221" i="44" s="1"/>
  <c r="A221" i="44"/>
  <c r="D219" i="44"/>
  <c r="C219" i="44" s="1"/>
  <c r="A219" i="44"/>
  <c r="D186" i="44"/>
  <c r="C186" i="44" s="1"/>
  <c r="A186" i="44"/>
  <c r="D187" i="44"/>
  <c r="C187" i="44" s="1"/>
  <c r="A187" i="44"/>
  <c r="D184" i="44"/>
  <c r="C184" i="44" s="1"/>
  <c r="A184" i="44"/>
  <c r="D185" i="44"/>
  <c r="C185" i="44" s="1"/>
  <c r="A185" i="44"/>
  <c r="D224" i="44"/>
  <c r="C224" i="44" s="1"/>
  <c r="A224" i="44"/>
  <c r="D195" i="44"/>
  <c r="C195" i="44" s="1"/>
  <c r="A195" i="44"/>
  <c r="D203" i="44"/>
  <c r="C203" i="44" s="1"/>
  <c r="A203" i="44"/>
  <c r="D210" i="44"/>
  <c r="C210" i="44" s="1"/>
  <c r="A210" i="44"/>
  <c r="D201" i="44"/>
  <c r="C201" i="44" s="1"/>
  <c r="A201" i="44"/>
  <c r="D205" i="44"/>
  <c r="C205" i="44" s="1"/>
  <c r="A205" i="44"/>
  <c r="D207" i="44"/>
  <c r="C207" i="44" s="1"/>
  <c r="A207" i="44"/>
  <c r="D202" i="44"/>
  <c r="C202" i="44" s="1"/>
  <c r="A202" i="44"/>
  <c r="D200" i="44"/>
  <c r="C200" i="44" s="1"/>
  <c r="A200" i="44"/>
  <c r="D204" i="44"/>
  <c r="C204" i="44" s="1"/>
  <c r="A204" i="44"/>
  <c r="D209" i="44"/>
  <c r="C209" i="44" s="1"/>
  <c r="A209" i="44"/>
  <c r="D208" i="44"/>
  <c r="C208" i="44" s="1"/>
  <c r="A208" i="44"/>
  <c r="D206" i="44"/>
  <c r="C206" i="44" s="1"/>
  <c r="A206" i="44"/>
  <c r="D199" i="44"/>
  <c r="C199" i="44" s="1"/>
  <c r="A199" i="44"/>
  <c r="D160" i="44"/>
  <c r="C160" i="44" s="1"/>
  <c r="A160" i="44"/>
  <c r="D309" i="44"/>
  <c r="C309" i="44" s="1"/>
  <c r="A309" i="44"/>
  <c r="D888" i="44"/>
  <c r="C888" i="44" s="1"/>
  <c r="A888" i="44"/>
  <c r="D1041" i="44"/>
  <c r="C1041" i="44" s="1"/>
  <c r="A1041" i="44"/>
  <c r="D1042" i="44"/>
  <c r="C1042" i="44" s="1"/>
  <c r="A1042" i="44"/>
  <c r="D1040" i="44"/>
  <c r="C1040" i="44" s="1"/>
  <c r="A1040" i="44"/>
  <c r="D1043" i="44"/>
  <c r="C1043" i="44" s="1"/>
  <c r="A1043" i="44"/>
  <c r="D898" i="44"/>
  <c r="C898" i="44" s="1"/>
  <c r="A898" i="44"/>
  <c r="D1034" i="44"/>
  <c r="C1034" i="44" s="1"/>
  <c r="A1034" i="44"/>
  <c r="D1033" i="44"/>
  <c r="C1033" i="44" s="1"/>
  <c r="A1033" i="44"/>
  <c r="D872" i="44"/>
  <c r="C872" i="44" s="1"/>
  <c r="A872" i="44"/>
  <c r="D869" i="44"/>
  <c r="C869" i="44" s="1"/>
  <c r="A869" i="44"/>
  <c r="D890" i="44"/>
  <c r="C890" i="44" s="1"/>
  <c r="A890" i="44"/>
  <c r="D879" i="44"/>
  <c r="C879" i="44" s="1"/>
  <c r="A879" i="44"/>
  <c r="D880" i="44"/>
  <c r="C880" i="44" s="1"/>
  <c r="A880" i="44"/>
  <c r="D881" i="44"/>
  <c r="C881" i="44" s="1"/>
  <c r="A881" i="44"/>
  <c r="D889" i="44"/>
  <c r="C889" i="44" s="1"/>
  <c r="A889" i="44"/>
  <c r="D1004" i="44"/>
  <c r="C1004" i="44" s="1"/>
  <c r="A1004" i="44"/>
  <c r="D1006" i="44"/>
  <c r="C1006" i="44" s="1"/>
  <c r="A1006" i="44"/>
  <c r="D866" i="44"/>
  <c r="C866" i="44" s="1"/>
  <c r="A866" i="44"/>
  <c r="D873" i="44"/>
  <c r="C873" i="44" s="1"/>
  <c r="A873" i="44"/>
  <c r="D862" i="44"/>
  <c r="C862" i="44" s="1"/>
  <c r="A862" i="44"/>
  <c r="D861" i="44"/>
  <c r="C861" i="44" s="1"/>
  <c r="A861" i="44"/>
  <c r="D877" i="44"/>
  <c r="C877" i="44" s="1"/>
  <c r="A877" i="44"/>
  <c r="D871" i="44"/>
  <c r="C871" i="44" s="1"/>
  <c r="A871" i="44"/>
  <c r="D867" i="44"/>
  <c r="C867" i="44" s="1"/>
  <c r="A867" i="44"/>
  <c r="D878" i="44"/>
  <c r="C878" i="44" s="1"/>
  <c r="A878" i="44"/>
  <c r="D868" i="44"/>
  <c r="C868" i="44" s="1"/>
  <c r="A868" i="44"/>
  <c r="D892" i="44"/>
  <c r="C892" i="44" s="1"/>
  <c r="A892" i="44"/>
  <c r="D344" i="44"/>
  <c r="C344" i="44" s="1"/>
  <c r="A344" i="44"/>
  <c r="D313" i="44"/>
  <c r="C313" i="44" s="1"/>
  <c r="A313" i="44"/>
  <c r="D312" i="44"/>
  <c r="C312" i="44" s="1"/>
  <c r="A312" i="44"/>
  <c r="D306" i="44"/>
  <c r="C306" i="44" s="1"/>
  <c r="A306" i="44"/>
  <c r="D307" i="44"/>
  <c r="C307" i="44" s="1"/>
  <c r="A307" i="44"/>
  <c r="D305" i="44"/>
  <c r="C305" i="44" s="1"/>
  <c r="A305" i="44"/>
  <c r="D302" i="44"/>
  <c r="C302" i="44" s="1"/>
  <c r="A302" i="44"/>
  <c r="D304" i="44"/>
  <c r="C304" i="44" s="1"/>
  <c r="A304" i="44"/>
  <c r="D350" i="44"/>
  <c r="C350" i="44" s="1"/>
  <c r="A350" i="44"/>
  <c r="D349" i="44"/>
  <c r="C349" i="44" s="1"/>
  <c r="A349" i="44"/>
  <c r="D351" i="44"/>
  <c r="C351" i="44" s="1"/>
  <c r="A351" i="44"/>
  <c r="D310" i="44"/>
  <c r="C310" i="44" s="1"/>
  <c r="A310" i="44"/>
  <c r="D354" i="44"/>
  <c r="C354" i="44" s="1"/>
  <c r="A354" i="44"/>
  <c r="D336" i="44"/>
  <c r="C336" i="44" s="1"/>
  <c r="A336" i="44"/>
  <c r="D334" i="44"/>
  <c r="C334" i="44" s="1"/>
  <c r="A334" i="44"/>
  <c r="D335" i="44"/>
  <c r="C335" i="44" s="1"/>
  <c r="A335" i="44"/>
  <c r="D333" i="44"/>
  <c r="C333" i="44" s="1"/>
  <c r="A333" i="44"/>
  <c r="D341" i="44"/>
  <c r="C341" i="44" s="1"/>
  <c r="A341" i="44"/>
  <c r="D342" i="44"/>
  <c r="C342" i="44" s="1"/>
  <c r="A342" i="44"/>
  <c r="D346" i="44"/>
  <c r="C346" i="44" s="1"/>
  <c r="A346" i="44"/>
  <c r="D339" i="44"/>
  <c r="C339" i="44" s="1"/>
  <c r="A339" i="44"/>
  <c r="D338" i="44"/>
  <c r="C338" i="44" s="1"/>
  <c r="A338" i="44"/>
  <c r="D137" i="44"/>
  <c r="C137" i="44" s="1"/>
  <c r="A137" i="44"/>
  <c r="D75" i="44"/>
  <c r="C75" i="44" s="1"/>
  <c r="A75" i="44"/>
  <c r="D77" i="44"/>
  <c r="C77" i="44" s="1"/>
  <c r="A77" i="44"/>
  <c r="D78" i="44"/>
  <c r="C78" i="44" s="1"/>
  <c r="A78" i="44"/>
  <c r="D14" i="44"/>
  <c r="C14" i="44" s="1"/>
  <c r="A14" i="44"/>
  <c r="D11" i="44"/>
  <c r="C11" i="44" s="1"/>
  <c r="A11" i="44"/>
  <c r="D15" i="44"/>
  <c r="C15" i="44" s="1"/>
  <c r="A15" i="44"/>
  <c r="D6" i="44"/>
  <c r="C6" i="44" s="1"/>
  <c r="A6" i="44"/>
  <c r="D2" i="44"/>
  <c r="C2" i="44" s="1"/>
  <c r="A2" i="44"/>
  <c r="D7" i="44"/>
  <c r="C7" i="44" s="1"/>
  <c r="A7" i="44"/>
  <c r="D17" i="44"/>
  <c r="C17" i="44" s="1"/>
  <c r="A17" i="44"/>
  <c r="D132" i="44"/>
  <c r="C132" i="44" s="1"/>
  <c r="A132" i="44"/>
  <c r="D131" i="44"/>
  <c r="C131" i="44" s="1"/>
  <c r="A131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750" i="44"/>
  <c r="D750" i="44"/>
  <c r="A820" i="44"/>
  <c r="D820" i="44"/>
  <c r="A785" i="44"/>
  <c r="D785" i="44"/>
  <c r="A286" i="44"/>
  <c r="D286" i="44"/>
  <c r="A1011" i="44"/>
  <c r="D1011" i="44"/>
  <c r="A1009" i="44"/>
  <c r="D1009" i="44"/>
  <c r="A237" i="44"/>
  <c r="D237" i="44"/>
  <c r="A228" i="44"/>
  <c r="D228" i="44"/>
  <c r="A1008" i="44"/>
  <c r="D1008" i="44"/>
  <c r="A1014" i="44"/>
  <c r="D1014" i="44"/>
  <c r="A230" i="44"/>
  <c r="D230" i="44"/>
  <c r="A257" i="44"/>
  <c r="D257" i="44"/>
  <c r="A251" i="44"/>
  <c r="D251" i="44"/>
  <c r="A807" i="44"/>
  <c r="D807" i="44"/>
  <c r="A279" i="44"/>
  <c r="D279" i="44"/>
  <c r="A668" i="44"/>
  <c r="D668" i="44"/>
  <c r="A250" i="44"/>
  <c r="D250" i="44"/>
  <c r="A268" i="44"/>
  <c r="D268" i="44"/>
  <c r="A1028" i="44"/>
  <c r="D1028" i="44"/>
  <c r="A682" i="44"/>
  <c r="D682" i="44"/>
  <c r="A260" i="44"/>
  <c r="D260" i="44"/>
  <c r="A809" i="44"/>
  <c r="D809" i="44"/>
  <c r="A811" i="44"/>
  <c r="D811" i="44"/>
  <c r="A786" i="44"/>
  <c r="D786" i="44"/>
  <c r="A242" i="44"/>
  <c r="D242" i="44"/>
  <c r="A814" i="44"/>
  <c r="D814" i="44"/>
  <c r="A1007" i="44"/>
  <c r="D1007" i="44"/>
  <c r="A270" i="44"/>
  <c r="D270" i="44"/>
  <c r="A1016" i="44"/>
  <c r="D1016" i="44"/>
  <c r="A1012" i="44"/>
  <c r="D1012" i="44"/>
  <c r="A255" i="44"/>
  <c r="D255" i="44"/>
  <c r="A829" i="44"/>
  <c r="D829" i="44"/>
  <c r="A743" i="44"/>
  <c r="D743" i="44"/>
  <c r="A259" i="44"/>
  <c r="D259" i="44"/>
  <c r="A246" i="44"/>
  <c r="D246" i="44"/>
  <c r="A96" i="44"/>
  <c r="D96" i="44"/>
  <c r="A263" i="44"/>
  <c r="D263" i="44"/>
  <c r="A249" i="44"/>
  <c r="D249" i="44"/>
  <c r="A844" i="44"/>
  <c r="D844" i="44"/>
  <c r="A801" i="44"/>
  <c r="D801" i="44"/>
  <c r="A276" i="44"/>
  <c r="D276" i="44"/>
  <c r="A1017" i="44"/>
  <c r="D1017" i="44"/>
  <c r="A296" i="44"/>
  <c r="D296" i="44"/>
  <c r="A280" i="44"/>
  <c r="D280" i="44"/>
  <c r="A244" i="44"/>
  <c r="D244" i="44"/>
  <c r="A261" i="44"/>
  <c r="D261" i="44"/>
  <c r="A245" i="44"/>
  <c r="D245" i="44"/>
  <c r="A290" i="44"/>
  <c r="D290" i="44"/>
  <c r="A265" i="44"/>
  <c r="D265" i="44"/>
  <c r="A239" i="44"/>
  <c r="D239" i="44"/>
  <c r="A742" i="44"/>
  <c r="D742" i="44"/>
  <c r="A243" i="44"/>
  <c r="D243" i="44"/>
  <c r="A774" i="44"/>
  <c r="D774" i="44"/>
  <c r="A1013" i="44"/>
  <c r="D1013" i="44"/>
  <c r="A825" i="44"/>
  <c r="D825" i="44"/>
  <c r="A806" i="44"/>
  <c r="D806" i="44"/>
  <c r="A841" i="44"/>
  <c r="D841" i="44"/>
  <c r="A1005" i="44"/>
  <c r="D1005" i="44"/>
  <c r="A686" i="44"/>
  <c r="D686" i="44"/>
  <c r="A287" i="44"/>
  <c r="D287" i="44"/>
  <c r="A291" i="44"/>
  <c r="D291" i="44"/>
  <c r="A1010" i="44"/>
  <c r="D1010" i="44"/>
  <c r="A667" i="44"/>
  <c r="D667" i="44"/>
  <c r="A817" i="44"/>
  <c r="D817" i="44"/>
  <c r="A267" i="44"/>
  <c r="D267" i="44"/>
  <c r="A1015" i="44"/>
  <c r="D1015" i="44"/>
  <c r="A800" i="44"/>
  <c r="D800" i="44"/>
  <c r="A767" i="44"/>
  <c r="D767" i="44"/>
  <c r="A835" i="44"/>
  <c r="D835" i="44"/>
  <c r="A816" i="44"/>
  <c r="D816" i="44"/>
  <c r="A232" i="44"/>
  <c r="D232" i="44"/>
  <c r="A13" i="44"/>
  <c r="D13" i="44"/>
  <c r="A1026" i="44"/>
  <c r="D1026" i="44"/>
  <c r="A1003" i="44"/>
  <c r="D1003" i="44"/>
  <c r="A295" i="44"/>
  <c r="D295" i="44"/>
  <c r="A258" i="44"/>
  <c r="D258" i="44"/>
  <c r="A1031" i="44"/>
  <c r="D1031" i="44"/>
  <c r="A669" i="44"/>
  <c r="D669" i="44"/>
  <c r="A80" i="44"/>
  <c r="D80" i="44"/>
  <c r="A119" i="44"/>
  <c r="D119" i="44"/>
  <c r="A5" i="44"/>
  <c r="D5" i="44"/>
  <c r="A25" i="44"/>
  <c r="D25" i="44"/>
  <c r="A9" i="44"/>
  <c r="D9" i="44"/>
  <c r="A798" i="44"/>
  <c r="D798" i="44"/>
  <c r="A79" i="44"/>
  <c r="D79" i="44"/>
  <c r="A114" i="44"/>
  <c r="D114" i="44"/>
  <c r="A81" i="44"/>
  <c r="D81" i="44"/>
  <c r="A38" i="44"/>
  <c r="D38" i="44"/>
  <c r="A21" i="44"/>
  <c r="D21" i="44"/>
  <c r="A565" i="44"/>
  <c r="D565" i="44"/>
  <c r="A23" i="44"/>
  <c r="D23" i="44"/>
  <c r="A82" i="44"/>
  <c r="D82" i="44"/>
  <c r="A39" i="44"/>
  <c r="D39" i="44"/>
  <c r="A102" i="44"/>
  <c r="D102" i="44"/>
  <c r="A118" i="44"/>
  <c r="D118" i="44"/>
  <c r="A109" i="44"/>
  <c r="D109" i="44"/>
  <c r="A83" i="44"/>
  <c r="D83" i="44"/>
  <c r="A90" i="44"/>
  <c r="D90" i="44"/>
  <c r="A86" i="44"/>
  <c r="D86" i="44"/>
  <c r="A88" i="44"/>
  <c r="D88" i="44"/>
  <c r="A85" i="44"/>
  <c r="D85" i="44"/>
  <c r="A133" i="44"/>
  <c r="D133" i="44"/>
  <c r="A116" i="44"/>
  <c r="D116" i="44"/>
  <c r="A111" i="44"/>
  <c r="D111" i="44"/>
  <c r="A99" i="44"/>
  <c r="D99" i="44"/>
  <c r="A104" i="44"/>
  <c r="D10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917" i="44"/>
  <c r="B917" i="44" s="1"/>
  <c r="A917" i="44"/>
  <c r="D979" i="44"/>
  <c r="A979" i="44"/>
  <c r="D1050" i="44"/>
  <c r="C1050" i="44" s="1"/>
  <c r="A1050" i="44"/>
  <c r="D52" i="44"/>
  <c r="C52" i="44" s="1"/>
  <c r="A52" i="44"/>
  <c r="D885" i="44"/>
  <c r="B885" i="44" s="1"/>
  <c r="A885" i="44"/>
  <c r="D1029" i="44"/>
  <c r="C1029" i="44" s="1"/>
  <c r="A1029" i="44"/>
  <c r="D916" i="44"/>
  <c r="C916" i="44" s="1"/>
  <c r="A916" i="44"/>
  <c r="D964" i="44"/>
  <c r="C964" i="44" s="1"/>
  <c r="A964" i="44"/>
  <c r="D1023" i="44"/>
  <c r="B1023" i="44" s="1"/>
  <c r="A1023" i="44"/>
  <c r="D1049" i="44"/>
  <c r="A1049" i="44"/>
  <c r="D1045" i="44"/>
  <c r="B1045" i="44" s="1"/>
  <c r="A1045" i="44"/>
  <c r="D996" i="44"/>
  <c r="C996" i="44" s="1"/>
  <c r="A996" i="44"/>
  <c r="D900" i="44"/>
  <c r="B900" i="44" s="1"/>
  <c r="A900" i="44"/>
  <c r="D987" i="44"/>
  <c r="C987" i="44" s="1"/>
  <c r="A987" i="44"/>
  <c r="D929" i="44"/>
  <c r="C929" i="44" s="1"/>
  <c r="A929" i="44"/>
  <c r="D912" i="44"/>
  <c r="C912" i="44" s="1"/>
  <c r="A912" i="44"/>
  <c r="D999" i="44"/>
  <c r="B999" i="44" s="1"/>
  <c r="A999" i="44"/>
  <c r="D966" i="44"/>
  <c r="A966" i="44"/>
  <c r="D927" i="44"/>
  <c r="B927" i="44" s="1"/>
  <c r="A927" i="44"/>
  <c r="D37" i="44"/>
  <c r="C37" i="44" s="1"/>
  <c r="A37" i="44"/>
  <c r="D954" i="44"/>
  <c r="C954" i="44" s="1"/>
  <c r="A954" i="44"/>
  <c r="D988" i="44"/>
  <c r="C988" i="44" s="1"/>
  <c r="A988" i="44"/>
  <c r="D910" i="44"/>
  <c r="C910" i="44" s="1"/>
  <c r="A910" i="44"/>
  <c r="D974" i="44"/>
  <c r="C974" i="44" s="1"/>
  <c r="A974" i="44"/>
  <c r="D602" i="44"/>
  <c r="B602" i="44" s="1"/>
  <c r="A602" i="44"/>
  <c r="D952" i="44"/>
  <c r="A952" i="44"/>
  <c r="D595" i="44"/>
  <c r="B595" i="44" s="1"/>
  <c r="A595" i="44"/>
  <c r="D905" i="44"/>
  <c r="C905" i="44" s="1"/>
  <c r="A905" i="44"/>
  <c r="D973" i="44"/>
  <c r="C973" i="44" s="1"/>
  <c r="A973" i="44"/>
  <c r="D330" i="44"/>
  <c r="C330" i="44" s="1"/>
  <c r="A330" i="44"/>
  <c r="D613" i="44"/>
  <c r="C613" i="44" s="1"/>
  <c r="A613" i="44"/>
  <c r="D575" i="44"/>
  <c r="C575" i="44" s="1"/>
  <c r="A575" i="44"/>
  <c r="D317" i="44"/>
  <c r="B317" i="44" s="1"/>
  <c r="A317" i="44"/>
  <c r="D615" i="44"/>
  <c r="A615" i="44"/>
  <c r="D895" i="44"/>
  <c r="B895" i="44" s="1"/>
  <c r="A895" i="44"/>
  <c r="D605" i="44"/>
  <c r="C605" i="44" s="1"/>
  <c r="A605" i="44"/>
  <c r="D942" i="44"/>
  <c r="B942" i="44" s="1"/>
  <c r="A942" i="44"/>
  <c r="D884" i="44"/>
  <c r="C884" i="44" s="1"/>
  <c r="A884" i="44"/>
  <c r="D325" i="44"/>
  <c r="C325" i="44" s="1"/>
  <c r="A325" i="44"/>
  <c r="D315" i="44"/>
  <c r="C315" i="44" s="1"/>
  <c r="A315" i="44"/>
  <c r="D326" i="44"/>
  <c r="B326" i="44" s="1"/>
  <c r="A326" i="44"/>
  <c r="D579" i="44"/>
  <c r="A579" i="44"/>
  <c r="D612" i="44"/>
  <c r="B612" i="44" s="1"/>
  <c r="A612" i="44"/>
  <c r="D607" i="44"/>
  <c r="C607" i="44" s="1"/>
  <c r="A607" i="44"/>
  <c r="D603" i="44"/>
  <c r="B603" i="44" s="1"/>
  <c r="A603" i="44"/>
  <c r="D1035" i="44"/>
  <c r="C1035" i="44" s="1"/>
  <c r="A1035" i="44"/>
  <c r="D390" i="44"/>
  <c r="C390" i="44" s="1"/>
  <c r="A390" i="44"/>
  <c r="D352" i="44"/>
  <c r="C352" i="44" s="1"/>
  <c r="A352" i="44"/>
  <c r="D939" i="44"/>
  <c r="B939" i="44" s="1"/>
  <c r="A939" i="44"/>
  <c r="D960" i="44"/>
  <c r="A960" i="44"/>
  <c r="D571" i="44"/>
  <c r="B571" i="44" s="1"/>
  <c r="A571" i="44"/>
  <c r="D576" i="44"/>
  <c r="C576" i="44" s="1"/>
  <c r="A576" i="44"/>
  <c r="D897" i="44"/>
  <c r="B897" i="44" s="1"/>
  <c r="A897" i="44"/>
  <c r="D970" i="44"/>
  <c r="C970" i="44" s="1"/>
  <c r="A970" i="44"/>
  <c r="D592" i="44"/>
  <c r="C592" i="44" s="1"/>
  <c r="A592" i="44"/>
  <c r="D308" i="44"/>
  <c r="C308" i="44" s="1"/>
  <c r="A308" i="44"/>
  <c r="D610" i="44"/>
  <c r="B610" i="44" s="1"/>
  <c r="A610" i="44"/>
  <c r="D614" i="44"/>
  <c r="A614" i="44"/>
  <c r="D611" i="44"/>
  <c r="B611" i="44" s="1"/>
  <c r="A611" i="44"/>
  <c r="D321" i="44"/>
  <c r="C321" i="44" s="1"/>
  <c r="A321" i="44"/>
  <c r="D599" i="44"/>
  <c r="C599" i="44" s="1"/>
  <c r="A599" i="44"/>
  <c r="D937" i="44"/>
  <c r="B937" i="44" s="1"/>
  <c r="A937" i="44"/>
  <c r="D1047" i="44"/>
  <c r="C1047" i="44" s="1"/>
  <c r="A1047" i="44"/>
  <c r="D100" i="44"/>
  <c r="C100" i="44" s="1"/>
  <c r="A100" i="44"/>
  <c r="D906" i="44"/>
  <c r="B906" i="44" s="1"/>
  <c r="A906" i="44"/>
  <c r="D71" i="44"/>
  <c r="A71" i="44"/>
  <c r="D863" i="44"/>
  <c r="B863" i="44" s="1"/>
  <c r="A863" i="44"/>
  <c r="D957" i="44"/>
  <c r="C957" i="44" s="1"/>
  <c r="A957" i="44"/>
  <c r="D1055" i="44"/>
  <c r="C1055" i="44" s="1"/>
  <c r="A1055" i="44"/>
  <c r="D980" i="44"/>
  <c r="C980" i="44" s="1"/>
  <c r="A980" i="44"/>
  <c r="D523" i="44"/>
  <c r="C523" i="44" s="1"/>
  <c r="A523" i="44"/>
  <c r="D526" i="44"/>
  <c r="C526" i="44" s="1"/>
  <c r="A526" i="44"/>
  <c r="D1001" i="44"/>
  <c r="B1001" i="44" s="1"/>
  <c r="A1001" i="44"/>
  <c r="D926" i="44"/>
  <c r="A926" i="44"/>
  <c r="D947" i="44"/>
  <c r="B947" i="44" s="1"/>
  <c r="A947" i="44"/>
  <c r="D30" i="44"/>
  <c r="C30" i="44" s="1"/>
  <c r="A30" i="44"/>
  <c r="D865" i="44"/>
  <c r="C865" i="44" s="1"/>
  <c r="A865" i="44"/>
  <c r="D522" i="44"/>
  <c r="C522" i="44" s="1"/>
  <c r="A522" i="44"/>
  <c r="D539" i="44"/>
  <c r="C539" i="44" s="1"/>
  <c r="A539" i="44"/>
  <c r="D527" i="44"/>
  <c r="C527" i="44" s="1"/>
  <c r="A527" i="44"/>
  <c r="D940" i="44"/>
  <c r="B940" i="44" s="1"/>
  <c r="A940" i="44"/>
  <c r="D541" i="44"/>
  <c r="A541" i="44"/>
  <c r="D976" i="44"/>
  <c r="B976" i="44" s="1"/>
  <c r="A976" i="44"/>
  <c r="D22" i="44"/>
  <c r="C22" i="44" s="1"/>
  <c r="A22" i="44"/>
  <c r="D911" i="44"/>
  <c r="B911" i="44" s="1"/>
  <c r="A911" i="44"/>
  <c r="D196" i="44"/>
  <c r="B196" i="44" s="1"/>
  <c r="A196" i="44"/>
  <c r="D431" i="44"/>
  <c r="B431" i="44" s="1"/>
  <c r="A431" i="44"/>
  <c r="D164" i="44"/>
  <c r="C164" i="44" s="1"/>
  <c r="A164" i="44"/>
  <c r="D429" i="44"/>
  <c r="B429" i="44" s="1"/>
  <c r="A429" i="44"/>
  <c r="D422" i="44"/>
  <c r="A422" i="44"/>
  <c r="D427" i="44"/>
  <c r="B427" i="44" s="1"/>
  <c r="A427" i="44"/>
  <c r="D417" i="44"/>
  <c r="C417" i="44" s="1"/>
  <c r="A417" i="44"/>
  <c r="D514" i="44"/>
  <c r="C514" i="44" s="1"/>
  <c r="A514" i="44"/>
  <c r="D191" i="44"/>
  <c r="B191" i="44" s="1"/>
  <c r="A191" i="44"/>
  <c r="D408" i="44"/>
  <c r="C408" i="44" s="1"/>
  <c r="A408" i="44"/>
  <c r="D424" i="44"/>
  <c r="C424" i="44" s="1"/>
  <c r="A424" i="44"/>
  <c r="D419" i="44"/>
  <c r="B419" i="44" s="1"/>
  <c r="A419" i="44"/>
  <c r="D385" i="44"/>
  <c r="A385" i="44"/>
  <c r="D169" i="44"/>
  <c r="B169" i="44" s="1"/>
  <c r="A169" i="44"/>
  <c r="D163" i="44"/>
  <c r="C163" i="44" s="1"/>
  <c r="A163" i="44"/>
  <c r="D380" i="44"/>
  <c r="B380" i="44" s="1"/>
  <c r="A380" i="44"/>
  <c r="D420" i="44"/>
  <c r="C420" i="44" s="1"/>
  <c r="A420" i="44"/>
  <c r="D415" i="44"/>
  <c r="B415" i="44" s="1"/>
  <c r="A415" i="44"/>
  <c r="D372" i="44"/>
  <c r="C372" i="44" s="1"/>
  <c r="A372" i="44"/>
  <c r="D142" i="44"/>
  <c r="B142" i="44" s="1"/>
  <c r="A142" i="44"/>
  <c r="D376" i="44"/>
  <c r="A376" i="44"/>
  <c r="D154" i="44"/>
  <c r="B154" i="44" s="1"/>
  <c r="A154" i="44"/>
  <c r="D152" i="44"/>
  <c r="C152" i="44" s="1"/>
  <c r="A152" i="44"/>
  <c r="D442" i="44"/>
  <c r="C442" i="44" s="1"/>
  <c r="A442" i="44"/>
  <c r="D909" i="44"/>
  <c r="C909" i="44" s="1"/>
  <c r="A909" i="44"/>
  <c r="D406" i="44"/>
  <c r="C406" i="44" s="1"/>
  <c r="A406" i="44"/>
  <c r="D437" i="44"/>
  <c r="C437" i="44" s="1"/>
  <c r="A437" i="44"/>
  <c r="D400" i="44"/>
  <c r="B400" i="44" s="1"/>
  <c r="A400" i="44"/>
  <c r="D363" i="44"/>
  <c r="A363" i="44"/>
  <c r="D395" i="44"/>
  <c r="B395" i="44" s="1"/>
  <c r="A395" i="44"/>
  <c r="D156" i="44"/>
  <c r="C156" i="44" s="1"/>
  <c r="A156" i="44"/>
  <c r="D197" i="44"/>
  <c r="B197" i="44" s="1"/>
  <c r="A197" i="44"/>
  <c r="D392" i="44"/>
  <c r="B392" i="44" s="1"/>
  <c r="A392" i="44"/>
  <c r="D189" i="44"/>
  <c r="B189" i="44" s="1"/>
  <c r="A189" i="44"/>
  <c r="D421" i="44"/>
  <c r="C421" i="44" s="1"/>
  <c r="A421" i="44"/>
  <c r="D375" i="44"/>
  <c r="B375" i="44" s="1"/>
  <c r="A375" i="44"/>
  <c r="D213" i="44"/>
  <c r="A213" i="44"/>
  <c r="D409" i="44"/>
  <c r="B409" i="44" s="1"/>
  <c r="A409" i="44"/>
  <c r="D367" i="44"/>
  <c r="C367" i="44" s="1"/>
  <c r="A367" i="44"/>
  <c r="D362" i="44"/>
  <c r="B362" i="44" s="1"/>
  <c r="A362" i="44"/>
  <c r="D171" i="44"/>
  <c r="A171" i="44"/>
  <c r="D371" i="44"/>
  <c r="B371" i="44" s="1"/>
  <c r="A371" i="44"/>
  <c r="D359" i="44"/>
  <c r="C359" i="44" s="1"/>
  <c r="A359" i="44"/>
  <c r="D225" i="44"/>
  <c r="B225" i="44" s="1"/>
  <c r="A225" i="44"/>
  <c r="D177" i="44"/>
  <c r="C177" i="44" s="1"/>
  <c r="A177" i="44"/>
  <c r="D368" i="44"/>
  <c r="B368" i="44" s="1"/>
  <c r="A368" i="44"/>
  <c r="D361" i="44"/>
  <c r="C361" i="44" s="1"/>
  <c r="A361" i="44"/>
  <c r="B160" i="44" l="1"/>
  <c r="B203" i="44"/>
  <c r="B141" i="44"/>
  <c r="B281" i="44"/>
  <c r="B224" i="44"/>
  <c r="B217" i="44"/>
  <c r="B274" i="44"/>
  <c r="B147" i="44"/>
  <c r="B206" i="44"/>
  <c r="B184" i="44"/>
  <c r="B288" i="44"/>
  <c r="B201" i="44"/>
  <c r="B272" i="44"/>
  <c r="B145" i="44"/>
  <c r="B186" i="44"/>
  <c r="B146" i="44"/>
  <c r="B271" i="44"/>
  <c r="B209" i="44"/>
  <c r="B221" i="44"/>
  <c r="B180" i="44"/>
  <c r="B300" i="44"/>
  <c r="B207" i="44"/>
  <c r="B216" i="44"/>
  <c r="B277" i="44"/>
  <c r="B229" i="44"/>
  <c r="B200" i="44"/>
  <c r="B153" i="44"/>
  <c r="B223" i="44"/>
  <c r="B234" i="44"/>
  <c r="B309" i="44"/>
  <c r="B199" i="44"/>
  <c r="B208" i="44"/>
  <c r="B204" i="44"/>
  <c r="B202" i="44"/>
  <c r="B205" i="44"/>
  <c r="B210" i="44"/>
  <c r="B195" i="44"/>
  <c r="B185" i="44"/>
  <c r="B187" i="44"/>
  <c r="B219" i="44"/>
  <c r="B222" i="44"/>
  <c r="B214" i="44"/>
  <c r="B215" i="44"/>
  <c r="B149" i="44"/>
  <c r="B143" i="44"/>
  <c r="B148" i="44"/>
  <c r="B144" i="44"/>
  <c r="B181" i="44"/>
  <c r="B157" i="44"/>
  <c r="B236" i="44"/>
  <c r="B293" i="44"/>
  <c r="B289" i="44"/>
  <c r="B283" i="44"/>
  <c r="B275" i="44"/>
  <c r="B273" i="44"/>
  <c r="B299" i="44"/>
  <c r="B298" i="44"/>
  <c r="B233" i="44"/>
  <c r="B241" i="44"/>
  <c r="B868" i="44"/>
  <c r="B867" i="44"/>
  <c r="B877" i="44"/>
  <c r="B862" i="44"/>
  <c r="B866" i="44"/>
  <c r="B1004" i="44"/>
  <c r="B881" i="44"/>
  <c r="B879" i="44"/>
  <c r="B869" i="44"/>
  <c r="B1033" i="44"/>
  <c r="B898" i="44"/>
  <c r="B1040" i="44"/>
  <c r="B1041" i="44"/>
  <c r="B892" i="44"/>
  <c r="B878" i="44"/>
  <c r="B871" i="44"/>
  <c r="B861" i="44"/>
  <c r="B873" i="44"/>
  <c r="B1006" i="44"/>
  <c r="B889" i="44"/>
  <c r="B880" i="44"/>
  <c r="B890" i="44"/>
  <c r="B872" i="44"/>
  <c r="B1034" i="44"/>
  <c r="B1043" i="44"/>
  <c r="B1042" i="44"/>
  <c r="B888" i="44"/>
  <c r="B338" i="44"/>
  <c r="B305" i="44"/>
  <c r="B304" i="44"/>
  <c r="B11" i="44"/>
  <c r="B341" i="44"/>
  <c r="B75" i="44"/>
  <c r="B349" i="44"/>
  <c r="B78" i="44"/>
  <c r="B310" i="44"/>
  <c r="B7" i="44"/>
  <c r="B335" i="44"/>
  <c r="B132" i="44"/>
  <c r="B313" i="44"/>
  <c r="B6" i="44"/>
  <c r="B336" i="44"/>
  <c r="B346" i="44"/>
  <c r="B306" i="44"/>
  <c r="B131" i="44"/>
  <c r="B17" i="44"/>
  <c r="B2" i="44"/>
  <c r="B15" i="44"/>
  <c r="B14" i="44"/>
  <c r="B77" i="44"/>
  <c r="B137" i="44"/>
  <c r="B339" i="44"/>
  <c r="B342" i="44"/>
  <c r="B333" i="44"/>
  <c r="B334" i="44"/>
  <c r="B354" i="44"/>
  <c r="B351" i="44"/>
  <c r="B350" i="44"/>
  <c r="B302" i="44"/>
  <c r="B307" i="44"/>
  <c r="B312" i="44"/>
  <c r="B344" i="44"/>
  <c r="B104" i="44"/>
  <c r="C104" i="44"/>
  <c r="B99" i="44"/>
  <c r="C99" i="44"/>
  <c r="B111" i="44"/>
  <c r="C111" i="44"/>
  <c r="B116" i="44"/>
  <c r="C116" i="44"/>
  <c r="B133" i="44"/>
  <c r="C133" i="44"/>
  <c r="B85" i="44"/>
  <c r="C85" i="44"/>
  <c r="B88" i="44"/>
  <c r="C88" i="44"/>
  <c r="B86" i="44"/>
  <c r="C86" i="44"/>
  <c r="B90" i="44"/>
  <c r="C90" i="44"/>
  <c r="B83" i="44"/>
  <c r="C83" i="44"/>
  <c r="B109" i="44"/>
  <c r="C109" i="44"/>
  <c r="B118" i="44"/>
  <c r="C118" i="44"/>
  <c r="B102" i="44"/>
  <c r="C102" i="44"/>
  <c r="B39" i="44"/>
  <c r="C39" i="44"/>
  <c r="B82" i="44"/>
  <c r="C82" i="44"/>
  <c r="B23" i="44"/>
  <c r="C23" i="44"/>
  <c r="B565" i="44"/>
  <c r="C565" i="44"/>
  <c r="B21" i="44"/>
  <c r="C21" i="44"/>
  <c r="B38" i="44"/>
  <c r="C38" i="44"/>
  <c r="B81" i="44"/>
  <c r="C81" i="44"/>
  <c r="B114" i="44"/>
  <c r="C114" i="44"/>
  <c r="B79" i="44"/>
  <c r="C79" i="44"/>
  <c r="B798" i="44"/>
  <c r="C798" i="44"/>
  <c r="B9" i="44"/>
  <c r="C9" i="44"/>
  <c r="B25" i="44"/>
  <c r="C25" i="44"/>
  <c r="B5" i="44"/>
  <c r="C5" i="44"/>
  <c r="B119" i="44"/>
  <c r="C119" i="44"/>
  <c r="B80" i="44"/>
  <c r="C80" i="44"/>
  <c r="B669" i="44"/>
  <c r="C669" i="44"/>
  <c r="B1031" i="44"/>
  <c r="C1031" i="44"/>
  <c r="B258" i="44"/>
  <c r="C258" i="44"/>
  <c r="B295" i="44"/>
  <c r="C295" i="44"/>
  <c r="B1003" i="44"/>
  <c r="C1003" i="44"/>
  <c r="B1026" i="44"/>
  <c r="C1026" i="44"/>
  <c r="B13" i="44"/>
  <c r="C13" i="44"/>
  <c r="B232" i="44"/>
  <c r="C232" i="44"/>
  <c r="B816" i="44"/>
  <c r="C816" i="44"/>
  <c r="B835" i="44"/>
  <c r="C835" i="44"/>
  <c r="B767" i="44"/>
  <c r="C767" i="44"/>
  <c r="B800" i="44"/>
  <c r="C800" i="44"/>
  <c r="B1015" i="44"/>
  <c r="C1015" i="44"/>
  <c r="B267" i="44"/>
  <c r="C267" i="44"/>
  <c r="B817" i="44"/>
  <c r="C817" i="44"/>
  <c r="B667" i="44"/>
  <c r="C667" i="44"/>
  <c r="B1010" i="44"/>
  <c r="C1010" i="44"/>
  <c r="B291" i="44"/>
  <c r="C291" i="44"/>
  <c r="B287" i="44"/>
  <c r="C287" i="44"/>
  <c r="B686" i="44"/>
  <c r="C686" i="44"/>
  <c r="B1005" i="44"/>
  <c r="C1005" i="44"/>
  <c r="B841" i="44"/>
  <c r="C841" i="44"/>
  <c r="B806" i="44"/>
  <c r="C806" i="44"/>
  <c r="B825" i="44"/>
  <c r="C825" i="44"/>
  <c r="B1013" i="44"/>
  <c r="C1013" i="44"/>
  <c r="B774" i="44"/>
  <c r="C774" i="44"/>
  <c r="B243" i="44"/>
  <c r="C243" i="44"/>
  <c r="B742" i="44"/>
  <c r="C742" i="44"/>
  <c r="B239" i="44"/>
  <c r="C239" i="44"/>
  <c r="B265" i="44"/>
  <c r="C265" i="44"/>
  <c r="B290" i="44"/>
  <c r="C290" i="44"/>
  <c r="B245" i="44"/>
  <c r="C245" i="44"/>
  <c r="B261" i="44"/>
  <c r="C261" i="44"/>
  <c r="B244" i="44"/>
  <c r="C244" i="44"/>
  <c r="B280" i="44"/>
  <c r="C280" i="44"/>
  <c r="B296" i="44"/>
  <c r="C296" i="44"/>
  <c r="B1017" i="44"/>
  <c r="C1017" i="44"/>
  <c r="B276" i="44"/>
  <c r="C276" i="44"/>
  <c r="B801" i="44"/>
  <c r="C801" i="44"/>
  <c r="B844" i="44"/>
  <c r="C844" i="44"/>
  <c r="B249" i="44"/>
  <c r="C249" i="44"/>
  <c r="B263" i="44"/>
  <c r="C263" i="44"/>
  <c r="B96" i="44"/>
  <c r="C96" i="44"/>
  <c r="B246" i="44"/>
  <c r="C246" i="44"/>
  <c r="B259" i="44"/>
  <c r="C259" i="44"/>
  <c r="B743" i="44"/>
  <c r="C743" i="44"/>
  <c r="B829" i="44"/>
  <c r="C829" i="44"/>
  <c r="B255" i="44"/>
  <c r="C255" i="44"/>
  <c r="B1012" i="44"/>
  <c r="C1012" i="44"/>
  <c r="B1016" i="44"/>
  <c r="C1016" i="44"/>
  <c r="B270" i="44"/>
  <c r="C270" i="44"/>
  <c r="B1007" i="44"/>
  <c r="C1007" i="44"/>
  <c r="B814" i="44"/>
  <c r="C814" i="44"/>
  <c r="B242" i="44"/>
  <c r="C242" i="44"/>
  <c r="B786" i="44"/>
  <c r="C786" i="44"/>
  <c r="B811" i="44"/>
  <c r="C811" i="44"/>
  <c r="B809" i="44"/>
  <c r="C809" i="44"/>
  <c r="B260" i="44"/>
  <c r="C260" i="44"/>
  <c r="B682" i="44"/>
  <c r="C682" i="44"/>
  <c r="B1028" i="44"/>
  <c r="C1028" i="44"/>
  <c r="B268" i="44"/>
  <c r="C268" i="44"/>
  <c r="B250" i="44"/>
  <c r="C250" i="44"/>
  <c r="B668" i="44"/>
  <c r="C668" i="44"/>
  <c r="B279" i="44"/>
  <c r="C279" i="44"/>
  <c r="B807" i="44"/>
  <c r="C807" i="44"/>
  <c r="B251" i="44"/>
  <c r="C251" i="44"/>
  <c r="B257" i="44"/>
  <c r="C257" i="44"/>
  <c r="B230" i="44"/>
  <c r="C230" i="44"/>
  <c r="B1014" i="44"/>
  <c r="C1014" i="44"/>
  <c r="B1008" i="44"/>
  <c r="C1008" i="44"/>
  <c r="B228" i="44"/>
  <c r="C228" i="44"/>
  <c r="B237" i="44"/>
  <c r="C237" i="44"/>
  <c r="B1009" i="44"/>
  <c r="C1009" i="44"/>
  <c r="B1011" i="44"/>
  <c r="C1011" i="44"/>
  <c r="B286" i="44"/>
  <c r="C286" i="44"/>
  <c r="B785" i="44"/>
  <c r="C785" i="44"/>
  <c r="B820" i="44"/>
  <c r="C820" i="44"/>
  <c r="B750" i="44"/>
  <c r="C750" i="44"/>
  <c r="Y34" i="58"/>
  <c r="Y35" i="58" s="1"/>
  <c r="Y36" i="58" s="1"/>
  <c r="B6" i="56"/>
  <c r="C395" i="44"/>
  <c r="C189" i="44"/>
  <c r="C362" i="44"/>
  <c r="C392" i="44"/>
  <c r="C191" i="44"/>
  <c r="C900" i="44"/>
  <c r="B957" i="44"/>
  <c r="B330" i="44"/>
  <c r="C1045" i="44"/>
  <c r="C197" i="44"/>
  <c r="B420" i="44"/>
  <c r="C942" i="44"/>
  <c r="C380" i="44"/>
  <c r="C611" i="44"/>
  <c r="C937" i="44"/>
  <c r="C427" i="44"/>
  <c r="B980" i="44"/>
  <c r="C154" i="44"/>
  <c r="C196" i="44"/>
  <c r="C976" i="44"/>
  <c r="B30" i="44"/>
  <c r="C612" i="44"/>
  <c r="C368" i="44"/>
  <c r="C415" i="44"/>
  <c r="C409" i="44"/>
  <c r="C911" i="44"/>
  <c r="B522" i="44"/>
  <c r="C603" i="44"/>
  <c r="B884" i="44"/>
  <c r="C895" i="44"/>
  <c r="B406" i="44"/>
  <c r="B442" i="44"/>
  <c r="C906" i="44"/>
  <c r="C897" i="44"/>
  <c r="B1035" i="44"/>
  <c r="C595" i="44"/>
  <c r="B1050" i="44"/>
  <c r="B973" i="44"/>
  <c r="C927" i="44"/>
  <c r="C169" i="44"/>
  <c r="C431" i="44"/>
  <c r="B988" i="44"/>
  <c r="C885" i="44"/>
  <c r="B408" i="44"/>
  <c r="B514" i="44"/>
  <c r="B599" i="44"/>
  <c r="B909" i="44"/>
  <c r="B361" i="44"/>
  <c r="C1001" i="44"/>
  <c r="B1047" i="44"/>
  <c r="B970" i="44"/>
  <c r="C571" i="44"/>
  <c r="B987" i="44"/>
  <c r="B156" i="44"/>
  <c r="C400" i="44"/>
  <c r="B22" i="44"/>
  <c r="C940" i="44"/>
  <c r="B576" i="44"/>
  <c r="C939" i="44"/>
  <c r="B37" i="44"/>
  <c r="C999" i="44"/>
  <c r="B152" i="44"/>
  <c r="C142" i="44"/>
  <c r="B321" i="44"/>
  <c r="C610" i="44"/>
  <c r="B905" i="44"/>
  <c r="C602" i="44"/>
  <c r="C371" i="44"/>
  <c r="B163" i="44"/>
  <c r="C419" i="44"/>
  <c r="C947" i="44"/>
  <c r="C863" i="44"/>
  <c r="B605" i="44"/>
  <c r="C317" i="44"/>
  <c r="B954" i="44"/>
  <c r="B52" i="44"/>
  <c r="B865" i="44"/>
  <c r="B1055" i="44"/>
  <c r="B1029" i="44"/>
  <c r="C917" i="44"/>
  <c r="B367" i="44"/>
  <c r="C375" i="44"/>
  <c r="B417" i="44"/>
  <c r="C429" i="44"/>
  <c r="B539" i="44"/>
  <c r="B523" i="44"/>
  <c r="B607" i="44"/>
  <c r="C326" i="44"/>
  <c r="B996" i="44"/>
  <c r="C1023" i="44"/>
  <c r="C952" i="44"/>
  <c r="B952" i="44"/>
  <c r="C71" i="44"/>
  <c r="B71" i="44"/>
  <c r="C966" i="44"/>
  <c r="B966" i="44"/>
  <c r="C1049" i="44"/>
  <c r="B1049" i="44"/>
  <c r="B359" i="44"/>
  <c r="C363" i="44"/>
  <c r="B363" i="44"/>
  <c r="C385" i="44"/>
  <c r="B385" i="44"/>
  <c r="C541" i="44"/>
  <c r="B541" i="44"/>
  <c r="C614" i="44"/>
  <c r="B614" i="44"/>
  <c r="C979" i="44"/>
  <c r="B979" i="44"/>
  <c r="C225" i="44"/>
  <c r="C960" i="44"/>
  <c r="B960" i="44"/>
  <c r="B177" i="44"/>
  <c r="C926" i="44"/>
  <c r="B926" i="44"/>
  <c r="C579" i="44"/>
  <c r="B579" i="44"/>
  <c r="C171" i="44"/>
  <c r="B171" i="44"/>
  <c r="C213" i="44"/>
  <c r="B213" i="44"/>
  <c r="C376" i="44"/>
  <c r="B376" i="44"/>
  <c r="C422" i="44"/>
  <c r="B422" i="44"/>
  <c r="C615" i="44"/>
  <c r="B615" i="44"/>
  <c r="B592" i="44"/>
  <c r="B390" i="44"/>
  <c r="B325" i="44"/>
  <c r="B613" i="44"/>
  <c r="B910" i="44"/>
  <c r="B929" i="44"/>
  <c r="B916" i="44"/>
  <c r="B421" i="44"/>
  <c r="B437" i="44"/>
  <c r="B372" i="44"/>
  <c r="B424" i="44"/>
  <c r="B164" i="44"/>
  <c r="B527" i="44"/>
  <c r="B526" i="44"/>
  <c r="B100" i="44"/>
  <c r="B308" i="44"/>
  <c r="B352" i="44"/>
  <c r="B315" i="44"/>
  <c r="B575" i="44"/>
  <c r="B974" i="44"/>
  <c r="B912" i="44"/>
  <c r="B964" i="44"/>
  <c r="D680" i="44"/>
  <c r="C680" i="44" s="1"/>
  <c r="A680" i="44"/>
  <c r="D125" i="44"/>
  <c r="C125" i="44" s="1"/>
  <c r="A125" i="44"/>
  <c r="D741" i="44"/>
  <c r="C741" i="44" s="1"/>
  <c r="A741" i="44"/>
  <c r="D828" i="44"/>
  <c r="C828" i="44" s="1"/>
  <c r="A828" i="44"/>
  <c r="D675" i="44"/>
  <c r="B675" i="44" s="1"/>
  <c r="A675" i="44"/>
  <c r="D755" i="44"/>
  <c r="A755" i="44"/>
  <c r="D765" i="44"/>
  <c r="C765" i="44" s="1"/>
  <c r="A765" i="44"/>
  <c r="D285" i="44"/>
  <c r="C285" i="44" s="1"/>
  <c r="A285" i="44"/>
  <c r="D674" i="44"/>
  <c r="C674" i="44" s="1"/>
  <c r="A674" i="44"/>
  <c r="D723" i="44"/>
  <c r="C723" i="44" s="1"/>
  <c r="A723" i="44"/>
  <c r="D691" i="44"/>
  <c r="C691" i="44" s="1"/>
  <c r="A691" i="44"/>
  <c r="D827" i="44"/>
  <c r="C827" i="44" s="1"/>
  <c r="A827" i="44"/>
  <c r="D1021" i="44"/>
  <c r="C1021" i="44" s="1"/>
  <c r="A1021" i="44"/>
  <c r="D139" i="44"/>
  <c r="C139" i="44" s="1"/>
  <c r="A139" i="44"/>
  <c r="D852" i="44"/>
  <c r="C852" i="44" s="1"/>
  <c r="A852" i="44"/>
  <c r="D136" i="44"/>
  <c r="C136" i="44" s="1"/>
  <c r="A136" i="44"/>
  <c r="D1002" i="44"/>
  <c r="C1002" i="44" s="1"/>
  <c r="A1002" i="44"/>
  <c r="D799" i="44"/>
  <c r="C799" i="44" s="1"/>
  <c r="A799" i="44"/>
  <c r="D790" i="44"/>
  <c r="B790" i="44" s="1"/>
  <c r="A790" i="44"/>
  <c r="D662" i="44"/>
  <c r="C662" i="44" s="1"/>
  <c r="A662" i="44"/>
  <c r="D266" i="44"/>
  <c r="B266" i="44" s="1"/>
  <c r="A266" i="44"/>
  <c r="D793" i="44"/>
  <c r="C793" i="44" s="1"/>
  <c r="A793" i="44"/>
  <c r="D831" i="44"/>
  <c r="C831" i="44" s="1"/>
  <c r="A831" i="44"/>
  <c r="D278" i="44"/>
  <c r="C278" i="44" s="1"/>
  <c r="A278" i="44"/>
  <c r="D681" i="44"/>
  <c r="C681" i="44" s="1"/>
  <c r="A681" i="44"/>
  <c r="D824" i="44"/>
  <c r="C824" i="44" s="1"/>
  <c r="A824" i="44"/>
  <c r="D689" i="44"/>
  <c r="B689" i="44" s="1"/>
  <c r="A689" i="44"/>
  <c r="D264" i="44"/>
  <c r="C264" i="44" s="1"/>
  <c r="A264" i="44"/>
  <c r="D730" i="44"/>
  <c r="B730" i="44" s="1"/>
  <c r="A730" i="44"/>
  <c r="D840" i="44"/>
  <c r="A840" i="44"/>
  <c r="D739" i="44"/>
  <c r="C739" i="44" s="1"/>
  <c r="A739" i="44"/>
  <c r="D791" i="44"/>
  <c r="C791" i="44" s="1"/>
  <c r="A791" i="44"/>
  <c r="D764" i="44"/>
  <c r="C764" i="44" s="1"/>
  <c r="A764" i="44"/>
  <c r="D845" i="44"/>
  <c r="C845" i="44" s="1"/>
  <c r="A845" i="44"/>
  <c r="D678" i="44"/>
  <c r="B678" i="44" s="1"/>
  <c r="A678" i="44"/>
  <c r="D771" i="44"/>
  <c r="C771" i="44" s="1"/>
  <c r="A771" i="44"/>
  <c r="D838" i="44"/>
  <c r="C838" i="44" s="1"/>
  <c r="A838" i="44"/>
  <c r="D253" i="44"/>
  <c r="C253" i="44" s="1"/>
  <c r="A253" i="44"/>
  <c r="D823" i="44"/>
  <c r="A823" i="44"/>
  <c r="D812" i="44"/>
  <c r="C812" i="44" s="1"/>
  <c r="A812" i="44"/>
  <c r="D128" i="44"/>
  <c r="B128" i="44" s="1"/>
  <c r="A128" i="44"/>
  <c r="D113" i="44"/>
  <c r="C113" i="44" s="1"/>
  <c r="A113" i="44"/>
  <c r="D240" i="44"/>
  <c r="B240" i="44" s="1"/>
  <c r="A240" i="44"/>
  <c r="D757" i="44"/>
  <c r="C757" i="44" s="1"/>
  <c r="A757" i="44"/>
  <c r="D247" i="44"/>
  <c r="A247" i="44"/>
  <c r="D569" i="44"/>
  <c r="C569" i="44" s="1"/>
  <c r="A569" i="44"/>
  <c r="D738" i="44"/>
  <c r="B738" i="44" s="1"/>
  <c r="A738" i="44"/>
  <c r="D618" i="44"/>
  <c r="C618" i="44" s="1"/>
  <c r="A618" i="44"/>
  <c r="D646" i="44"/>
  <c r="B646" i="44" s="1"/>
  <c r="A646" i="44"/>
  <c r="D870" i="44"/>
  <c r="C870" i="44" s="1"/>
  <c r="A870" i="44"/>
  <c r="D803" i="44"/>
  <c r="B803" i="44" s="1"/>
  <c r="A803" i="44"/>
  <c r="D770" i="44"/>
  <c r="C770" i="44" s="1"/>
  <c r="A770" i="44"/>
  <c r="D732" i="44"/>
  <c r="C732" i="44" s="1"/>
  <c r="A732" i="44"/>
  <c r="D826" i="44"/>
  <c r="C826" i="44" s="1"/>
  <c r="A826" i="44"/>
  <c r="D627" i="44"/>
  <c r="B627" i="44" s="1"/>
  <c r="A627" i="44"/>
  <c r="D564" i="44"/>
  <c r="C564" i="44" s="1"/>
  <c r="A564" i="44"/>
  <c r="D659" i="44"/>
  <c r="B659" i="44" s="1"/>
  <c r="A659" i="44"/>
  <c r="D580" i="44"/>
  <c r="C580" i="44" s="1"/>
  <c r="A580" i="44"/>
  <c r="D631" i="44"/>
  <c r="A631" i="44"/>
  <c r="D640" i="44"/>
  <c r="C640" i="44" s="1"/>
  <c r="A640" i="44"/>
  <c r="D633" i="44"/>
  <c r="C633" i="44" s="1"/>
  <c r="A633" i="44"/>
  <c r="D706" i="44"/>
  <c r="C706" i="44" s="1"/>
  <c r="A706" i="44"/>
  <c r="D619" i="44"/>
  <c r="B619" i="44" s="1"/>
  <c r="A619" i="44"/>
  <c r="D891" i="44"/>
  <c r="C891" i="44" s="1"/>
  <c r="A891" i="44"/>
  <c r="D758" i="44"/>
  <c r="B758" i="44" s="1"/>
  <c r="A758" i="44"/>
  <c r="D617" i="44"/>
  <c r="C617" i="44" s="1"/>
  <c r="A617" i="44"/>
  <c r="D718" i="44"/>
  <c r="B718" i="44" s="1"/>
  <c r="A718" i="44"/>
  <c r="D854" i="44"/>
  <c r="C854" i="44" s="1"/>
  <c r="A854" i="44"/>
  <c r="D561" i="44"/>
  <c r="C561" i="44" s="1"/>
  <c r="A561" i="44"/>
  <c r="D505" i="44"/>
  <c r="C505" i="44" s="1"/>
  <c r="A505" i="44"/>
  <c r="D626" i="44"/>
  <c r="B626" i="44" s="1"/>
  <c r="A626" i="44"/>
  <c r="D647" i="44"/>
  <c r="C647" i="44" s="1"/>
  <c r="A647" i="44"/>
  <c r="D721" i="44"/>
  <c r="B721" i="44" s="1"/>
  <c r="A721" i="44"/>
  <c r="D703" i="44"/>
  <c r="C703" i="44" s="1"/>
  <c r="A703" i="44"/>
  <c r="D559" i="44"/>
  <c r="B559" i="44" s="1"/>
  <c r="A559" i="44"/>
  <c r="D623" i="44"/>
  <c r="C623" i="44" s="1"/>
  <c r="A623" i="44"/>
  <c r="D574" i="44"/>
  <c r="B574" i="44" s="1"/>
  <c r="A574" i="44"/>
  <c r="D616" i="44"/>
  <c r="A616" i="44"/>
  <c r="D683" i="44"/>
  <c r="B683" i="44" s="1"/>
  <c r="A683" i="44"/>
  <c r="D636" i="44"/>
  <c r="C636" i="44" s="1"/>
  <c r="A636" i="44"/>
  <c r="D625" i="44"/>
  <c r="A625" i="44"/>
  <c r="D847" i="44"/>
  <c r="C847" i="44" s="1"/>
  <c r="A847" i="44"/>
  <c r="D587" i="44"/>
  <c r="B587" i="44" s="1"/>
  <c r="A587" i="44"/>
  <c r="D585" i="44"/>
  <c r="A585" i="44"/>
  <c r="D586" i="44"/>
  <c r="C586" i="44" s="1"/>
  <c r="A586" i="44"/>
  <c r="D751" i="44"/>
  <c r="C751" i="44" s="1"/>
  <c r="A751" i="44"/>
  <c r="D756" i="44"/>
  <c r="C756" i="44" s="1"/>
  <c r="A756" i="44"/>
  <c r="D773" i="44"/>
  <c r="C773" i="44" s="1"/>
  <c r="A773" i="44"/>
  <c r="D808" i="44"/>
  <c r="B808" i="44" s="1"/>
  <c r="A808" i="44"/>
  <c r="D850" i="44"/>
  <c r="C850" i="44" s="1"/>
  <c r="A850" i="44"/>
  <c r="D746" i="44"/>
  <c r="B746" i="44" s="1"/>
  <c r="A746" i="44"/>
  <c r="D784" i="44"/>
  <c r="C784" i="44" s="1"/>
  <c r="A784" i="44"/>
  <c r="D787" i="44"/>
  <c r="B787" i="44" s="1"/>
  <c r="A787" i="44"/>
  <c r="D736" i="44"/>
  <c r="A736" i="44"/>
  <c r="D716" i="44"/>
  <c r="C716" i="44" s="1"/>
  <c r="A716" i="44"/>
  <c r="D622" i="44"/>
  <c r="C622" i="44" s="1"/>
  <c r="A622" i="44"/>
  <c r="D661" i="44"/>
  <c r="B661" i="44" s="1"/>
  <c r="A661" i="44"/>
  <c r="D570" i="44"/>
  <c r="C570" i="44" s="1"/>
  <c r="A570" i="44"/>
  <c r="D581" i="44"/>
  <c r="B581" i="44" s="1"/>
  <c r="A581" i="44"/>
  <c r="D648" i="44"/>
  <c r="C648" i="44" s="1"/>
  <c r="A648" i="44"/>
  <c r="D781" i="44"/>
  <c r="C781" i="44" s="1"/>
  <c r="A781" i="44"/>
  <c r="D724" i="44"/>
  <c r="C724" i="44" s="1"/>
  <c r="A724" i="44"/>
  <c r="D775" i="44"/>
  <c r="B775" i="44" s="1"/>
  <c r="A775" i="44"/>
  <c r="D737" i="44"/>
  <c r="C737" i="44" s="1"/>
  <c r="A737" i="44"/>
  <c r="D692" i="44"/>
  <c r="B692" i="44" s="1"/>
  <c r="A692" i="44"/>
  <c r="D670" i="44"/>
  <c r="C670" i="44" s="1"/>
  <c r="A670" i="44"/>
  <c r="D740" i="44"/>
  <c r="B740" i="44" s="1"/>
  <c r="A740" i="44"/>
  <c r="D893" i="44"/>
  <c r="C893" i="44" s="1"/>
  <c r="A893" i="44"/>
  <c r="D729" i="44"/>
  <c r="C729" i="44" s="1"/>
  <c r="A729" i="44"/>
  <c r="D687" i="44"/>
  <c r="C687" i="44" s="1"/>
  <c r="A687" i="44"/>
  <c r="D684" i="44"/>
  <c r="B684" i="44" s="1"/>
  <c r="A684" i="44"/>
  <c r="D705" i="44"/>
  <c r="C705" i="44" s="1"/>
  <c r="A705" i="44"/>
  <c r="D630" i="44"/>
  <c r="B630" i="44" s="1"/>
  <c r="A630" i="44"/>
  <c r="D583" i="44"/>
  <c r="C583" i="44" s="1"/>
  <c r="A583" i="44"/>
  <c r="D644" i="44"/>
  <c r="B644" i="44" s="1"/>
  <c r="A644" i="44"/>
  <c r="D656" i="44"/>
  <c r="C656" i="44" s="1"/>
  <c r="A656" i="44"/>
  <c r="D632" i="44"/>
  <c r="B632" i="44" s="1"/>
  <c r="A632" i="44"/>
  <c r="D584" i="44"/>
  <c r="A584" i="44"/>
  <c r="D856" i="44"/>
  <c r="C856" i="44" s="1"/>
  <c r="A856" i="44"/>
  <c r="D639" i="44"/>
  <c r="C639" i="44" s="1"/>
  <c r="A639" i="44"/>
  <c r="D94" i="44"/>
  <c r="B94" i="44" s="1"/>
  <c r="A94" i="44"/>
  <c r="D709" i="44"/>
  <c r="C709" i="44" s="1"/>
  <c r="A709" i="44"/>
  <c r="D479" i="44"/>
  <c r="B479" i="44" s="1"/>
  <c r="A479" i="44"/>
  <c r="D469" i="44"/>
  <c r="C469" i="44" s="1"/>
  <c r="A469" i="44"/>
  <c r="D490" i="44"/>
  <c r="C490" i="44" s="1"/>
  <c r="A490" i="44"/>
  <c r="D459" i="44"/>
  <c r="A459" i="44"/>
  <c r="D699" i="44"/>
  <c r="B699" i="44" s="1"/>
  <c r="A699" i="44"/>
  <c r="D657" i="44"/>
  <c r="C657" i="44" s="1"/>
  <c r="A657" i="44"/>
  <c r="D480" i="44"/>
  <c r="B480" i="44" s="1"/>
  <c r="A480" i="44"/>
  <c r="D695" i="44"/>
  <c r="C695" i="44" s="1"/>
  <c r="A695" i="44"/>
  <c r="D788" i="44"/>
  <c r="B788" i="44" s="1"/>
  <c r="A788" i="44"/>
  <c r="D97" i="44"/>
  <c r="C97" i="44" s="1"/>
  <c r="A97" i="44"/>
  <c r="D282" i="44"/>
  <c r="C282" i="44" s="1"/>
  <c r="A282" i="44"/>
  <c r="D226" i="44"/>
  <c r="B226" i="44" s="1"/>
  <c r="A226" i="44"/>
  <c r="D832" i="44"/>
  <c r="B832" i="44" s="1"/>
  <c r="A832" i="44"/>
  <c r="D124" i="44"/>
  <c r="B124" i="44" s="1"/>
  <c r="A124" i="44"/>
  <c r="D833" i="44"/>
  <c r="C833" i="44" s="1"/>
  <c r="A833" i="44"/>
  <c r="D843" i="44"/>
  <c r="C843" i="44" s="1"/>
  <c r="A843" i="44"/>
  <c r="D112" i="44"/>
  <c r="A112" i="44"/>
  <c r="D121" i="44"/>
  <c r="B121" i="44" s="1"/>
  <c r="A121" i="44"/>
  <c r="D107" i="44"/>
  <c r="B107" i="44" s="1"/>
  <c r="A107" i="44"/>
  <c r="D95" i="44"/>
  <c r="B95" i="44" s="1"/>
  <c r="A95" i="44"/>
  <c r="D663" i="44"/>
  <c r="B663" i="44" s="1"/>
  <c r="A663" i="44"/>
  <c r="D151" i="44"/>
  <c r="A151" i="44"/>
  <c r="D284" i="44"/>
  <c r="B284" i="44" s="1"/>
  <c r="A284" i="44"/>
  <c r="D294" i="44"/>
  <c r="C294" i="44" s="1"/>
  <c r="A294" i="44"/>
  <c r="D783" i="44"/>
  <c r="C783" i="44" s="1"/>
  <c r="A783" i="44"/>
  <c r="D297" i="44"/>
  <c r="C297" i="44" s="1"/>
  <c r="A297" i="44"/>
  <c r="D248" i="44"/>
  <c r="C248" i="44" s="1"/>
  <c r="A248" i="44"/>
  <c r="D815" i="44"/>
  <c r="B815" i="44" s="1"/>
  <c r="A815" i="44"/>
  <c r="D752" i="44"/>
  <c r="A752" i="44"/>
  <c r="D262" i="44"/>
  <c r="C262" i="44" s="1"/>
  <c r="A262" i="44"/>
  <c r="D830" i="44"/>
  <c r="C830" i="44" s="1"/>
  <c r="A830" i="44"/>
  <c r="D665" i="44"/>
  <c r="A665" i="44"/>
  <c r="D122" i="44"/>
  <c r="C122" i="44" s="1"/>
  <c r="A122" i="44"/>
  <c r="D269" i="44"/>
  <c r="C269" i="44" s="1"/>
  <c r="A269" i="44"/>
  <c r="D875" i="44"/>
  <c r="B875" i="44" s="1"/>
  <c r="A875" i="44"/>
  <c r="D672" i="44"/>
  <c r="C672" i="44" s="1"/>
  <c r="A672" i="44"/>
  <c r="D747" i="44"/>
  <c r="C747" i="44" s="1"/>
  <c r="A747" i="44"/>
  <c r="D256" i="44"/>
  <c r="B256" i="44" s="1"/>
  <c r="A256" i="44"/>
  <c r="D120" i="44"/>
  <c r="C120" i="44" s="1"/>
  <c r="A120" i="44"/>
  <c r="D794" i="44"/>
  <c r="B794" i="44" s="1"/>
  <c r="A794" i="44"/>
  <c r="D813" i="44"/>
  <c r="B813" i="44" s="1"/>
  <c r="A813" i="44"/>
  <c r="D517" i="44"/>
  <c r="A517" i="44"/>
  <c r="D894" i="44"/>
  <c r="A894" i="44"/>
  <c r="D903" i="44"/>
  <c r="B903" i="44" s="1"/>
  <c r="A903" i="44"/>
  <c r="D518" i="44"/>
  <c r="B518" i="44" s="1"/>
  <c r="A518" i="44"/>
  <c r="D502" i="44"/>
  <c r="C502" i="44" s="1"/>
  <c r="A502" i="44"/>
  <c r="D1024" i="44"/>
  <c r="B1024" i="44" s="1"/>
  <c r="A1024" i="44"/>
  <c r="D456" i="44"/>
  <c r="A456" i="44"/>
  <c r="D18" i="44"/>
  <c r="C18" i="44" s="1"/>
  <c r="A18" i="44"/>
  <c r="D956" i="44"/>
  <c r="C956" i="44" s="1"/>
  <c r="A956" i="44"/>
  <c r="D495" i="44"/>
  <c r="A495" i="44"/>
  <c r="D984" i="44"/>
  <c r="A984" i="44"/>
  <c r="D1037" i="44"/>
  <c r="C1037" i="44" s="1"/>
  <c r="A1037" i="44"/>
  <c r="D997" i="44"/>
  <c r="C997" i="44" s="1"/>
  <c r="A997" i="44"/>
  <c r="D534" i="44"/>
  <c r="B534" i="44" s="1"/>
  <c r="A534" i="44"/>
  <c r="D110" i="44"/>
  <c r="B110" i="44" s="1"/>
  <c r="A110" i="44"/>
  <c r="D462" i="44"/>
  <c r="C462" i="44" s="1"/>
  <c r="A462" i="44"/>
  <c r="D531" i="44"/>
  <c r="C531" i="44" s="1"/>
  <c r="A531" i="44"/>
  <c r="D12" i="44"/>
  <c r="B12" i="44" s="1"/>
  <c r="A12" i="44"/>
  <c r="D550" i="44"/>
  <c r="B550" i="44" s="1"/>
  <c r="A550" i="44"/>
  <c r="D1051" i="44"/>
  <c r="B1051" i="44" s="1"/>
  <c r="A1051" i="44"/>
  <c r="D931" i="44"/>
  <c r="A931" i="44"/>
  <c r="D1044" i="44"/>
  <c r="A1044" i="44"/>
  <c r="D16" i="44"/>
  <c r="C16" i="44" s="1"/>
  <c r="A16" i="44"/>
  <c r="D983" i="44"/>
  <c r="B983" i="44" s="1"/>
  <c r="A983" i="44"/>
  <c r="D92" i="44"/>
  <c r="C92" i="44" s="1"/>
  <c r="A92" i="44"/>
  <c r="D1054" i="44"/>
  <c r="B1054" i="44" s="1"/>
  <c r="A1054" i="44"/>
  <c r="D1052" i="44"/>
  <c r="B1052" i="44" s="1"/>
  <c r="A1052" i="44"/>
  <c r="D1046" i="44"/>
  <c r="A1046" i="44"/>
  <c r="D921" i="44"/>
  <c r="C921" i="44" s="1"/>
  <c r="A921" i="44"/>
  <c r="D1053" i="44"/>
  <c r="A1053" i="44"/>
  <c r="D935" i="44"/>
  <c r="C935" i="44" s="1"/>
  <c r="A935" i="44"/>
  <c r="D1056" i="44"/>
  <c r="C1056" i="44" s="1"/>
  <c r="A1056" i="44"/>
  <c r="D959" i="44"/>
  <c r="A959" i="44"/>
  <c r="D68" i="44"/>
  <c r="A68" i="44"/>
  <c r="D41" i="44"/>
  <c r="B41" i="44" s="1"/>
  <c r="A41" i="44"/>
  <c r="D676" i="44"/>
  <c r="B676" i="44" s="1"/>
  <c r="A676" i="44"/>
  <c r="D556" i="44"/>
  <c r="C556" i="44" s="1"/>
  <c r="A556" i="44"/>
  <c r="D858" i="44"/>
  <c r="A858" i="44"/>
  <c r="D713" i="44"/>
  <c r="C713" i="44" s="1"/>
  <c r="A713" i="44"/>
  <c r="D637" i="44"/>
  <c r="A637" i="44"/>
  <c r="D698" i="44"/>
  <c r="B698" i="44" s="1"/>
  <c r="A698" i="44"/>
  <c r="D707" i="44"/>
  <c r="B707" i="44" s="1"/>
  <c r="A707" i="44"/>
  <c r="D1030" i="44"/>
  <c r="A1030" i="44"/>
  <c r="D722" i="44"/>
  <c r="C722" i="44" s="1"/>
  <c r="A722" i="44"/>
  <c r="D846" i="44"/>
  <c r="C846" i="44" s="1"/>
  <c r="A846" i="44"/>
  <c r="D780" i="44"/>
  <c r="B780" i="44" s="1"/>
  <c r="A780" i="44"/>
  <c r="D697" i="44"/>
  <c r="B697" i="44" s="1"/>
  <c r="A697" i="44"/>
  <c r="D641" i="44"/>
  <c r="A641" i="44"/>
  <c r="D563" i="44"/>
  <c r="B563" i="44" s="1"/>
  <c r="A563" i="44"/>
  <c r="D652" i="44"/>
  <c r="A652" i="44"/>
  <c r="D777" i="44"/>
  <c r="A777" i="44"/>
  <c r="D628" i="44"/>
  <c r="C628" i="44" s="1"/>
  <c r="A628" i="44"/>
  <c r="D849" i="44"/>
  <c r="C849" i="44" s="1"/>
  <c r="A849" i="44"/>
  <c r="D557" i="44"/>
  <c r="B557" i="44" s="1"/>
  <c r="A557" i="44"/>
  <c r="D567" i="44"/>
  <c r="B567" i="44" s="1"/>
  <c r="A567" i="44"/>
  <c r="D779" i="44"/>
  <c r="C779" i="44" s="1"/>
  <c r="A779" i="44"/>
  <c r="D629" i="44"/>
  <c r="B629" i="44" s="1"/>
  <c r="A629" i="44"/>
  <c r="D558" i="44"/>
  <c r="C558" i="44" s="1"/>
  <c r="A558" i="44"/>
  <c r="D566" i="44"/>
  <c r="A566" i="44"/>
  <c r="D1032" i="44"/>
  <c r="C1032" i="44" s="1"/>
  <c r="A1032" i="44"/>
  <c r="D720" i="44"/>
  <c r="A720" i="44"/>
  <c r="D588" i="44"/>
  <c r="B588" i="44" s="1"/>
  <c r="A588" i="44"/>
  <c r="D645" i="44"/>
  <c r="C645" i="44" s="1"/>
  <c r="A645" i="44"/>
  <c r="D708" i="44"/>
  <c r="C708" i="44" s="1"/>
  <c r="A708" i="44"/>
  <c r="D717" i="44"/>
  <c r="B717" i="44" s="1"/>
  <c r="A717" i="44"/>
  <c r="D582" i="44"/>
  <c r="A582" i="44"/>
  <c r="D693" i="44"/>
  <c r="C693" i="44" s="1"/>
  <c r="A693" i="44"/>
  <c r="D671" i="44"/>
  <c r="C671" i="44" s="1"/>
  <c r="A671" i="44"/>
  <c r="D655" i="44"/>
  <c r="C655" i="44" s="1"/>
  <c r="A655" i="44"/>
  <c r="D553" i="44"/>
  <c r="A553" i="44"/>
  <c r="D700" i="44"/>
  <c r="C700" i="44" s="1"/>
  <c r="A700" i="44"/>
  <c r="D673" i="44"/>
  <c r="A673" i="44"/>
  <c r="D731" i="44"/>
  <c r="B731" i="44" s="1"/>
  <c r="A731" i="44"/>
  <c r="D554" i="44"/>
  <c r="C554" i="44" s="1"/>
  <c r="A554" i="44"/>
  <c r="D129" i="44"/>
  <c r="A129" i="44"/>
  <c r="D446" i="44"/>
  <c r="A446" i="44"/>
  <c r="D27" i="44"/>
  <c r="A27" i="44"/>
  <c r="D920" i="44"/>
  <c r="B920" i="44" s="1"/>
  <c r="A920" i="44"/>
  <c r="D946" i="44"/>
  <c r="B946" i="44" s="1"/>
  <c r="A946" i="44"/>
  <c r="D953" i="44"/>
  <c r="C953" i="44" s="1"/>
  <c r="A953" i="44"/>
  <c r="D51" i="44"/>
  <c r="A51" i="44"/>
  <c r="D103" i="44"/>
  <c r="A103" i="44"/>
  <c r="D507" i="44"/>
  <c r="C507" i="44" s="1"/>
  <c r="A507" i="44"/>
  <c r="D489" i="44"/>
  <c r="C489" i="44" s="1"/>
  <c r="A489" i="44"/>
  <c r="D464" i="44"/>
  <c r="A464" i="44"/>
  <c r="D487" i="44"/>
  <c r="B487" i="44" s="1"/>
  <c r="A487" i="44"/>
  <c r="D57" i="44"/>
  <c r="A57" i="44"/>
  <c r="D467" i="44"/>
  <c r="B467" i="44" s="1"/>
  <c r="A467" i="44"/>
  <c r="D43" i="44"/>
  <c r="C43" i="44" s="1"/>
  <c r="A43" i="44"/>
  <c r="D89" i="44"/>
  <c r="A89" i="44"/>
  <c r="D140" i="44"/>
  <c r="C140" i="44" s="1"/>
  <c r="A140" i="44"/>
  <c r="D512" i="44"/>
  <c r="A512" i="44"/>
  <c r="D497" i="44"/>
  <c r="C497" i="44" s="1"/>
  <c r="A497" i="44"/>
  <c r="D47" i="44"/>
  <c r="B47" i="44" s="1"/>
  <c r="A47" i="44"/>
  <c r="D46" i="44"/>
  <c r="C46" i="44" s="1"/>
  <c r="A46" i="44"/>
  <c r="D24" i="44"/>
  <c r="C24" i="44" s="1"/>
  <c r="A24" i="44"/>
  <c r="D98" i="44"/>
  <c r="A98" i="44"/>
  <c r="D45" i="44"/>
  <c r="C45" i="44" s="1"/>
  <c r="A45" i="44"/>
  <c r="D460" i="44"/>
  <c r="A460" i="44"/>
  <c r="D31" i="44"/>
  <c r="C31" i="44" s="1"/>
  <c r="A31" i="44"/>
  <c r="D509" i="44"/>
  <c r="C509" i="44" s="1"/>
  <c r="A509" i="44"/>
  <c r="D19" i="44"/>
  <c r="A19" i="44"/>
  <c r="D494" i="44"/>
  <c r="B494" i="44" s="1"/>
  <c r="A494" i="44"/>
  <c r="D530" i="44"/>
  <c r="C530" i="44" s="1"/>
  <c r="A530" i="44"/>
  <c r="D48" i="44"/>
  <c r="A48" i="44"/>
  <c r="D63" i="44"/>
  <c r="B63" i="44" s="1"/>
  <c r="A63" i="44"/>
  <c r="D66" i="44"/>
  <c r="A66" i="44"/>
  <c r="D3" i="44"/>
  <c r="A3" i="44"/>
  <c r="D117" i="44"/>
  <c r="C117" i="44" s="1"/>
  <c r="A117" i="44"/>
  <c r="D76" i="44"/>
  <c r="B76" i="44" s="1"/>
  <c r="A76" i="44"/>
  <c r="D40" i="44"/>
  <c r="B40" i="44" s="1"/>
  <c r="A40" i="44"/>
  <c r="D55" i="44"/>
  <c r="C55" i="44" s="1"/>
  <c r="A55" i="44"/>
  <c r="D914" i="44"/>
  <c r="B914" i="44" s="1"/>
  <c r="A914" i="44"/>
  <c r="D902" i="44"/>
  <c r="C902" i="44" s="1"/>
  <c r="A902" i="44"/>
  <c r="D93" i="44"/>
  <c r="C93" i="44" s="1"/>
  <c r="A93" i="44"/>
  <c r="D34" i="44"/>
  <c r="A34" i="44"/>
  <c r="D53" i="44"/>
  <c r="C53" i="44" s="1"/>
  <c r="A53" i="44"/>
  <c r="D465" i="44"/>
  <c r="A465" i="44"/>
  <c r="D32" i="44"/>
  <c r="C32" i="44" s="1"/>
  <c r="A32" i="44"/>
  <c r="D919" i="44"/>
  <c r="C919" i="44" s="1"/>
  <c r="A919" i="44"/>
  <c r="D61" i="44"/>
  <c r="B61" i="44" s="1"/>
  <c r="A61" i="44"/>
  <c r="D64" i="44"/>
  <c r="B64" i="44" s="1"/>
  <c r="A64" i="44"/>
  <c r="D72" i="44"/>
  <c r="C72" i="44" s="1"/>
  <c r="A72" i="44"/>
  <c r="D461" i="44"/>
  <c r="B461" i="44" s="1"/>
  <c r="A461" i="44"/>
  <c r="D65" i="44"/>
  <c r="B65" i="44" s="1"/>
  <c r="A65" i="44"/>
  <c r="D950" i="44"/>
  <c r="C950" i="44" s="1"/>
  <c r="A950" i="44"/>
  <c r="D105" i="44"/>
  <c r="B105" i="44" s="1"/>
  <c r="A105" i="44"/>
  <c r="D44" i="44"/>
  <c r="A44" i="44"/>
  <c r="D138" i="44"/>
  <c r="B138" i="44" s="1"/>
  <c r="A138" i="44"/>
  <c r="D67" i="44"/>
  <c r="B67" i="44" s="1"/>
  <c r="A67" i="44"/>
  <c r="D1025" i="44"/>
  <c r="C1025" i="44" s="1"/>
  <c r="A1025" i="44"/>
  <c r="D35" i="44"/>
  <c r="A35" i="44"/>
  <c r="D538" i="44"/>
  <c r="A538" i="44"/>
  <c r="D936" i="44"/>
  <c r="C936" i="44" s="1"/>
  <c r="A936" i="44"/>
  <c r="D87" i="44"/>
  <c r="A87" i="44"/>
  <c r="D4" i="44"/>
  <c r="C4" i="44" s="1"/>
  <c r="A4" i="44"/>
  <c r="D968" i="44"/>
  <c r="B968" i="44" s="1"/>
  <c r="A968" i="44"/>
  <c r="D915" i="44"/>
  <c r="B915" i="44" s="1"/>
  <c r="A915" i="44"/>
  <c r="D551" i="44"/>
  <c r="C551" i="44" s="1"/>
  <c r="A551" i="44"/>
  <c r="D69" i="44"/>
  <c r="B69" i="44" s="1"/>
  <c r="A69" i="44"/>
  <c r="D59" i="44"/>
  <c r="C59" i="44" s="1"/>
  <c r="A59" i="44"/>
  <c r="D58" i="44"/>
  <c r="B58" i="44" s="1"/>
  <c r="A58" i="44"/>
  <c r="D49" i="44"/>
  <c r="B49" i="44" s="1"/>
  <c r="A49" i="44"/>
  <c r="D468" i="44"/>
  <c r="A468" i="44"/>
  <c r="D74" i="44"/>
  <c r="B74" i="44" s="1"/>
  <c r="A74" i="44"/>
  <c r="D8" i="44"/>
  <c r="C8" i="44" s="1"/>
  <c r="A8" i="44"/>
  <c r="D907" i="44"/>
  <c r="C907" i="44" s="1"/>
  <c r="A907" i="44"/>
  <c r="D134" i="44"/>
  <c r="B134" i="44" s="1"/>
  <c r="A134" i="44"/>
  <c r="D106" i="44"/>
  <c r="B106" i="44" s="1"/>
  <c r="A106" i="44"/>
  <c r="D26" i="44"/>
  <c r="C26" i="44" s="1"/>
  <c r="A26" i="44"/>
  <c r="D529" i="44"/>
  <c r="A529" i="44"/>
  <c r="D101" i="44"/>
  <c r="C101" i="44" s="1"/>
  <c r="A101" i="44"/>
  <c r="D922" i="44"/>
  <c r="A922" i="44"/>
  <c r="D943" i="44"/>
  <c r="B943" i="44" s="1"/>
  <c r="A943" i="44"/>
  <c r="D544" i="44"/>
  <c r="A544" i="44"/>
  <c r="D33" i="44"/>
  <c r="B33" i="44" s="1"/>
  <c r="A33" i="44"/>
  <c r="D496" i="44"/>
  <c r="A496" i="44"/>
  <c r="D486" i="44"/>
  <c r="C486" i="44" s="1"/>
  <c r="A486" i="44"/>
  <c r="D56" i="44"/>
  <c r="B56" i="44" s="1"/>
  <c r="A56" i="44"/>
  <c r="D235" i="44"/>
  <c r="A235" i="44"/>
  <c r="D50" i="44"/>
  <c r="A50" i="44"/>
  <c r="D42" i="44"/>
  <c r="B42" i="44" s="1"/>
  <c r="A42" i="44"/>
  <c r="D482" i="44"/>
  <c r="C482" i="44" s="1"/>
  <c r="A482" i="44"/>
  <c r="D450" i="44"/>
  <c r="C450" i="44" s="1"/>
  <c r="A450" i="44"/>
  <c r="D933" i="44"/>
  <c r="A933" i="44"/>
  <c r="D1027" i="44"/>
  <c r="A1027" i="44"/>
  <c r="D62" i="44"/>
  <c r="B62" i="44" s="1"/>
  <c r="A62" i="44"/>
  <c r="D499" i="44"/>
  <c r="A499" i="44"/>
  <c r="D340" i="44"/>
  <c r="B340" i="44" s="1"/>
  <c r="A340" i="44"/>
  <c r="D604" i="44"/>
  <c r="A604" i="44"/>
  <c r="D572" i="44"/>
  <c r="B572" i="44" s="1"/>
  <c r="A572" i="44"/>
  <c r="D314" i="44"/>
  <c r="B314" i="44" s="1"/>
  <c r="A314" i="44"/>
  <c r="D337" i="44"/>
  <c r="C337" i="44" s="1"/>
  <c r="A337" i="44"/>
  <c r="D332" i="44"/>
  <c r="B332" i="44" s="1"/>
  <c r="A332" i="44"/>
  <c r="D347" i="44"/>
  <c r="C347" i="44" s="1"/>
  <c r="A347" i="44"/>
  <c r="D998" i="44"/>
  <c r="C998" i="44" s="1"/>
  <c r="A998" i="44"/>
  <c r="D593" i="44"/>
  <c r="A593" i="44"/>
  <c r="D329" i="44"/>
  <c r="B329" i="44" s="1"/>
  <c r="A329" i="44"/>
  <c r="D348" i="44"/>
  <c r="C348" i="44" s="1"/>
  <c r="A348" i="44"/>
  <c r="D887" i="44"/>
  <c r="B887" i="44" s="1"/>
  <c r="A887" i="44"/>
  <c r="D591" i="44"/>
  <c r="C591" i="44" s="1"/>
  <c r="A591" i="44"/>
  <c r="D577" i="44"/>
  <c r="B577" i="44" s="1"/>
  <c r="A577" i="44"/>
  <c r="D597" i="44"/>
  <c r="C597" i="44" s="1"/>
  <c r="A597" i="44"/>
  <c r="D316" i="44"/>
  <c r="B316" i="44" s="1"/>
  <c r="A316" i="44"/>
  <c r="D606" i="44"/>
  <c r="A606" i="44"/>
  <c r="D989" i="44"/>
  <c r="B989" i="44" s="1"/>
  <c r="A989" i="44"/>
  <c r="D327" i="44"/>
  <c r="C327" i="44" s="1"/>
  <c r="A327" i="44"/>
  <c r="D578" i="44"/>
  <c r="B578" i="44" s="1"/>
  <c r="A578" i="44"/>
  <c r="D343" i="44"/>
  <c r="C343" i="44" s="1"/>
  <c r="A343" i="44"/>
  <c r="D601" i="44"/>
  <c r="B601" i="44" s="1"/>
  <c r="A601" i="44"/>
  <c r="D924" i="44"/>
  <c r="B924" i="44" s="1"/>
  <c r="A924" i="44"/>
  <c r="D303" i="44"/>
  <c r="B303" i="44" s="1"/>
  <c r="A303" i="44"/>
  <c r="D573" i="44"/>
  <c r="A573" i="44"/>
  <c r="D324" i="44"/>
  <c r="A324" i="44"/>
  <c r="D311" i="44"/>
  <c r="C311" i="44" s="1"/>
  <c r="A311" i="44"/>
  <c r="D634" i="44"/>
  <c r="B634" i="44" s="1"/>
  <c r="A634" i="44"/>
  <c r="D600" i="44"/>
  <c r="C600" i="44" s="1"/>
  <c r="A600" i="44"/>
  <c r="D353" i="44"/>
  <c r="B353" i="44" s="1"/>
  <c r="A353" i="44"/>
  <c r="D635" i="44"/>
  <c r="C635" i="44" s="1"/>
  <c r="A635" i="44"/>
  <c r="D982" i="44"/>
  <c r="C982" i="44" s="1"/>
  <c r="A982" i="44"/>
  <c r="D972" i="44"/>
  <c r="A972" i="44"/>
  <c r="D594" i="44"/>
  <c r="A594" i="44"/>
  <c r="D322" i="44"/>
  <c r="C322" i="44" s="1"/>
  <c r="A322" i="44"/>
  <c r="D319" i="44"/>
  <c r="A319" i="44"/>
  <c r="D876" i="44"/>
  <c r="A876" i="44"/>
  <c r="D1036" i="44"/>
  <c r="A1036" i="44"/>
  <c r="D596" i="44"/>
  <c r="C596" i="44" s="1"/>
  <c r="A596" i="44"/>
  <c r="D318" i="44"/>
  <c r="B318" i="44" s="1"/>
  <c r="A318" i="44"/>
  <c r="D589" i="44"/>
  <c r="A589" i="44"/>
  <c r="D323" i="44"/>
  <c r="A323" i="44"/>
  <c r="D598" i="44"/>
  <c r="A598" i="44"/>
  <c r="D328" i="44"/>
  <c r="B328" i="44" s="1"/>
  <c r="A328" i="44"/>
  <c r="D993" i="44"/>
  <c r="C993" i="44" s="1"/>
  <c r="A993" i="44"/>
  <c r="D355" i="44"/>
  <c r="B355" i="44" s="1"/>
  <c r="A355" i="44"/>
  <c r="D590" i="44"/>
  <c r="C590" i="44" s="1"/>
  <c r="A590" i="44"/>
  <c r="D995" i="44"/>
  <c r="C995" i="44" s="1"/>
  <c r="A995" i="44"/>
  <c r="D978" i="44"/>
  <c r="A978" i="44"/>
  <c r="D1039" i="44"/>
  <c r="A1039" i="44"/>
  <c r="D685" i="44"/>
  <c r="C685" i="44" s="1"/>
  <c r="A685" i="44"/>
  <c r="D842" i="44"/>
  <c r="B842" i="44" s="1"/>
  <c r="A842" i="44"/>
  <c r="D796" i="44"/>
  <c r="C796" i="44" s="1"/>
  <c r="A796" i="44"/>
  <c r="D734" i="44"/>
  <c r="B734" i="44" s="1"/>
  <c r="A734" i="44"/>
  <c r="D749" i="44"/>
  <c r="C749" i="44" s="1"/>
  <c r="A749" i="44"/>
  <c r="D733" i="44"/>
  <c r="C733" i="44" s="1"/>
  <c r="A733" i="44"/>
  <c r="D789" i="44"/>
  <c r="C789" i="44" s="1"/>
  <c r="A789" i="44"/>
  <c r="D851" i="44"/>
  <c r="B851" i="44" s="1"/>
  <c r="A851" i="44"/>
  <c r="D776" i="44"/>
  <c r="C776" i="44" s="1"/>
  <c r="A776" i="44"/>
  <c r="D769" i="44"/>
  <c r="A769" i="44"/>
  <c r="D859" i="44"/>
  <c r="A859" i="44"/>
  <c r="D836" i="44"/>
  <c r="B836" i="44" s="1"/>
  <c r="A836" i="44"/>
  <c r="D130" i="44"/>
  <c r="A130" i="44"/>
  <c r="D728" i="44"/>
  <c r="C728" i="44" s="1"/>
  <c r="A728" i="44"/>
  <c r="D726" i="44"/>
  <c r="C726" i="44" s="1"/>
  <c r="A726" i="44"/>
  <c r="D805" i="44"/>
  <c r="B805" i="44" s="1"/>
  <c r="A805" i="44"/>
  <c r="D690" i="44"/>
  <c r="C690" i="44" s="1"/>
  <c r="A690" i="44"/>
  <c r="D725" i="44"/>
  <c r="A725" i="44"/>
  <c r="D762" i="44"/>
  <c r="C762" i="44" s="1"/>
  <c r="A762" i="44"/>
  <c r="D727" i="44"/>
  <c r="A727" i="44"/>
  <c r="D766" i="44"/>
  <c r="C766" i="44" s="1"/>
  <c r="A766" i="44"/>
  <c r="D822" i="44"/>
  <c r="B822" i="44" s="1"/>
  <c r="A822" i="44"/>
  <c r="D804" i="44"/>
  <c r="C804" i="44" s="1"/>
  <c r="A804" i="44"/>
  <c r="D754" i="44"/>
  <c r="A754" i="44"/>
  <c r="D679" i="44"/>
  <c r="C679" i="44" s="1"/>
  <c r="A679" i="44"/>
  <c r="D899" i="44"/>
  <c r="A899" i="44"/>
  <c r="D837" i="44"/>
  <c r="A837" i="44"/>
  <c r="D28" i="44"/>
  <c r="B28" i="44" s="1"/>
  <c r="A28" i="44"/>
  <c r="D792" i="44"/>
  <c r="C792" i="44" s="1"/>
  <c r="A792" i="44"/>
  <c r="D883" i="44"/>
  <c r="B883" i="44" s="1"/>
  <c r="A883" i="44"/>
  <c r="D821" i="44"/>
  <c r="A821" i="44"/>
  <c r="D735" i="44"/>
  <c r="B735" i="44" s="1"/>
  <c r="A735" i="44"/>
  <c r="D759" i="44"/>
  <c r="C759" i="44" s="1"/>
  <c r="A759" i="44"/>
  <c r="D882" i="44"/>
  <c r="A882" i="44"/>
  <c r="D795" i="44"/>
  <c r="C795" i="44" s="1"/>
  <c r="A795" i="44"/>
  <c r="D857" i="44"/>
  <c r="C857" i="44" s="1"/>
  <c r="A857" i="44"/>
  <c r="D753" i="44"/>
  <c r="A753" i="44"/>
  <c r="D301" i="44"/>
  <c r="C301" i="44" s="1"/>
  <c r="A301" i="44"/>
  <c r="D688" i="44"/>
  <c r="C688" i="44" s="1"/>
  <c r="A688" i="44"/>
  <c r="D666" i="44"/>
  <c r="B666" i="44" s="1"/>
  <c r="A666" i="44"/>
  <c r="D515" i="44"/>
  <c r="B515" i="44" s="1"/>
  <c r="A515" i="44"/>
  <c r="D506" i="44"/>
  <c r="A506" i="44"/>
  <c r="D651" i="44"/>
  <c r="C651" i="44" s="1"/>
  <c r="A651" i="44"/>
  <c r="D696" i="44"/>
  <c r="A696" i="44"/>
  <c r="D501" i="44"/>
  <c r="C501" i="44" s="1"/>
  <c r="A501" i="44"/>
  <c r="D528" i="44"/>
  <c r="C528" i="44" s="1"/>
  <c r="A528" i="44"/>
  <c r="D701" i="44"/>
  <c r="B701" i="44" s="1"/>
  <c r="A701" i="44"/>
  <c r="D537" i="44"/>
  <c r="C537" i="44" s="1"/>
  <c r="A537" i="44"/>
  <c r="D853" i="44"/>
  <c r="B853" i="44" s="1"/>
  <c r="A853" i="44"/>
  <c r="D624" i="44"/>
  <c r="C624" i="44" s="1"/>
  <c r="A624" i="44"/>
  <c r="D444" i="44"/>
  <c r="B444" i="44" s="1"/>
  <c r="A444" i="44"/>
  <c r="D511" i="44"/>
  <c r="C511" i="44" s="1"/>
  <c r="A511" i="44"/>
  <c r="D508" i="44"/>
  <c r="B508" i="44" s="1"/>
  <c r="A508" i="44"/>
  <c r="D452" i="44"/>
  <c r="C452" i="44" s="1"/>
  <c r="A452" i="44"/>
  <c r="D711" i="44"/>
  <c r="B711" i="44" s="1"/>
  <c r="A711" i="44"/>
  <c r="D658" i="44"/>
  <c r="C658" i="44" s="1"/>
  <c r="A658" i="44"/>
  <c r="D470" i="44"/>
  <c r="C470" i="44" s="1"/>
  <c r="A470" i="44"/>
  <c r="D150" i="44"/>
  <c r="A150" i="44"/>
  <c r="D443" i="44"/>
  <c r="A443" i="44"/>
  <c r="D91" i="44"/>
  <c r="A91" i="44"/>
  <c r="D855" i="44"/>
  <c r="C855" i="44" s="1"/>
  <c r="A855" i="44"/>
  <c r="D481" i="44"/>
  <c r="C481" i="44" s="1"/>
  <c r="A481" i="44"/>
  <c r="D704" i="44"/>
  <c r="A704" i="44"/>
  <c r="D543" i="44"/>
  <c r="A543" i="44"/>
  <c r="D447" i="44"/>
  <c r="C447" i="44" s="1"/>
  <c r="A447" i="44"/>
  <c r="D562" i="44"/>
  <c r="C562" i="44" s="1"/>
  <c r="A562" i="44"/>
  <c r="D653" i="44"/>
  <c r="B653" i="44" s="1"/>
  <c r="A653" i="44"/>
  <c r="D694" i="44"/>
  <c r="A694" i="44"/>
  <c r="D516" i="44"/>
  <c r="C516" i="44" s="1"/>
  <c r="A516" i="44"/>
  <c r="D485" i="44"/>
  <c r="C485" i="44" s="1"/>
  <c r="A485" i="44"/>
  <c r="D532" i="44"/>
  <c r="B532" i="44" s="1"/>
  <c r="A532" i="44"/>
  <c r="D483" i="44"/>
  <c r="C483" i="44" s="1"/>
  <c r="A483" i="44"/>
  <c r="D536" i="44"/>
  <c r="A536" i="44"/>
  <c r="D525" i="44"/>
  <c r="C525" i="44" s="1"/>
  <c r="A525" i="44"/>
  <c r="D710" i="44"/>
  <c r="A710" i="44"/>
  <c r="D719" i="44"/>
  <c r="C719" i="44" s="1"/>
  <c r="A719" i="44"/>
  <c r="D445" i="44"/>
  <c r="B445" i="44" s="1"/>
  <c r="A445" i="44"/>
  <c r="D660" i="44"/>
  <c r="A660" i="44"/>
  <c r="D458" i="44"/>
  <c r="B458" i="44" s="1"/>
  <c r="A458" i="44"/>
  <c r="D454" i="44"/>
  <c r="A454" i="44"/>
  <c r="D457" i="44"/>
  <c r="B457" i="44" s="1"/>
  <c r="A457" i="44"/>
  <c r="D545" i="44"/>
  <c r="A545" i="44"/>
  <c r="D560" i="44"/>
  <c r="C560" i="44" s="1"/>
  <c r="A560" i="44"/>
  <c r="D533" i="44"/>
  <c r="A533" i="44"/>
  <c r="D493" i="44"/>
  <c r="B493" i="44" s="1"/>
  <c r="A493" i="44"/>
  <c r="D568" i="44"/>
  <c r="C568" i="44" s="1"/>
  <c r="A568" i="44"/>
  <c r="D463" i="44"/>
  <c r="C463" i="44" s="1"/>
  <c r="A463" i="44"/>
  <c r="D513" i="44"/>
  <c r="A513" i="44"/>
  <c r="D654" i="44"/>
  <c r="C654" i="44" s="1"/>
  <c r="A654" i="44"/>
  <c r="D498" i="44"/>
  <c r="A498" i="44"/>
  <c r="D714" i="44"/>
  <c r="C714" i="44" s="1"/>
  <c r="A714" i="44"/>
  <c r="D478" i="44"/>
  <c r="A478" i="44"/>
  <c r="D503" i="44"/>
  <c r="B503" i="44" s="1"/>
  <c r="A503" i="44"/>
  <c r="D642" i="44"/>
  <c r="C642" i="44" s="1"/>
  <c r="A642" i="44"/>
  <c r="D488" i="44"/>
  <c r="C488" i="44" s="1"/>
  <c r="A488" i="44"/>
  <c r="D649" i="44"/>
  <c r="A649" i="44"/>
  <c r="D466" i="44"/>
  <c r="C466" i="44" s="1"/>
  <c r="A466" i="44"/>
  <c r="D491" i="44"/>
  <c r="C491" i="44" s="1"/>
  <c r="A491" i="44"/>
  <c r="D473" i="44"/>
  <c r="B473" i="44" s="1"/>
  <c r="A473" i="44"/>
  <c r="D546" i="44"/>
  <c r="A546" i="44"/>
  <c r="D29" i="44"/>
  <c r="B29" i="44" s="1"/>
  <c r="A29" i="44"/>
  <c r="D474" i="44"/>
  <c r="A474" i="44"/>
  <c r="D500" i="44"/>
  <c r="A500" i="44"/>
  <c r="D451" i="44"/>
  <c r="B451" i="44" s="1"/>
  <c r="A451" i="44"/>
  <c r="D510" i="44"/>
  <c r="C510" i="44" s="1"/>
  <c r="A510" i="44"/>
  <c r="D540" i="44"/>
  <c r="C540" i="44" s="1"/>
  <c r="A540" i="44"/>
  <c r="D504" i="44"/>
  <c r="B504" i="44" s="1"/>
  <c r="A504" i="44"/>
  <c r="D620" i="44"/>
  <c r="A620" i="44"/>
  <c r="D519" i="44"/>
  <c r="B519" i="44" s="1"/>
  <c r="A519" i="44"/>
  <c r="D476" i="44"/>
  <c r="A476" i="44"/>
  <c r="D477" i="44"/>
  <c r="A477" i="44"/>
  <c r="D548" i="44"/>
  <c r="B548" i="44" s="1"/>
  <c r="A548" i="44"/>
  <c r="D455" i="44"/>
  <c r="C455" i="44" s="1"/>
  <c r="A455" i="44"/>
  <c r="D552" i="44"/>
  <c r="C552" i="44" s="1"/>
  <c r="A552" i="44"/>
  <c r="D448" i="44"/>
  <c r="B448" i="44" s="1"/>
  <c r="A448" i="44"/>
  <c r="D472" i="44"/>
  <c r="A472" i="44"/>
  <c r="D542" i="44"/>
  <c r="B542" i="44" s="1"/>
  <c r="A542" i="44"/>
  <c r="D643" i="44"/>
  <c r="C643" i="44" s="1"/>
  <c r="A643" i="44"/>
  <c r="D549" i="44"/>
  <c r="A549" i="44"/>
  <c r="D547" i="44"/>
  <c r="B547" i="44" s="1"/>
  <c r="A547" i="44"/>
  <c r="D60" i="44"/>
  <c r="C60" i="44" s="1"/>
  <c r="A60" i="44"/>
  <c r="D10" i="44"/>
  <c r="C10" i="44" s="1"/>
  <c r="A10" i="44"/>
  <c r="D650" i="44"/>
  <c r="C650" i="44" s="1"/>
  <c r="A650" i="44"/>
  <c r="D73" i="44"/>
  <c r="A73" i="44"/>
  <c r="D702" i="44"/>
  <c r="B702" i="44" s="1"/>
  <c r="A702" i="44"/>
  <c r="D715" i="44"/>
  <c r="C715" i="44" s="1"/>
  <c r="A715" i="44"/>
  <c r="D638" i="44"/>
  <c r="A638" i="44"/>
  <c r="D621" i="44"/>
  <c r="B621" i="44" s="1"/>
  <c r="A621" i="44"/>
  <c r="D475" i="44"/>
  <c r="B475" i="44" s="1"/>
  <c r="A475" i="44"/>
  <c r="D471" i="44"/>
  <c r="C471" i="44" s="1"/>
  <c r="A471" i="44"/>
  <c r="D453" i="44"/>
  <c r="C453" i="44" s="1"/>
  <c r="A453" i="44"/>
  <c r="D449" i="44"/>
  <c r="A449" i="44"/>
  <c r="D608" i="44"/>
  <c r="B608" i="44" s="1"/>
  <c r="A608" i="44"/>
  <c r="D874" i="44"/>
  <c r="C874" i="44" s="1"/>
  <c r="A874" i="44"/>
  <c r="D712" i="44"/>
  <c r="A712" i="44"/>
  <c r="D524" i="44"/>
  <c r="B524" i="44" s="1"/>
  <c r="A524" i="44"/>
  <c r="D492" i="44"/>
  <c r="C492" i="44" s="1"/>
  <c r="A492" i="44"/>
  <c r="D70" i="44"/>
  <c r="C70" i="44" s="1"/>
  <c r="A70" i="44"/>
  <c r="D54" i="44"/>
  <c r="C54" i="44" s="1"/>
  <c r="A54" i="44"/>
  <c r="D484" i="44"/>
  <c r="A484" i="44"/>
  <c r="D520" i="44"/>
  <c r="B520" i="44" s="1"/>
  <c r="A520" i="44"/>
  <c r="D405" i="44"/>
  <c r="C405" i="44" s="1"/>
  <c r="A405" i="44"/>
  <c r="D386" i="44"/>
  <c r="A386" i="44"/>
  <c r="D374" i="44"/>
  <c r="B374" i="44" s="1"/>
  <c r="A374" i="44"/>
  <c r="D190" i="44"/>
  <c r="C190" i="44" s="1"/>
  <c r="A190" i="44"/>
  <c r="D378" i="44"/>
  <c r="C378" i="44" s="1"/>
  <c r="A378" i="44"/>
  <c r="D212" i="44"/>
  <c r="B212" i="44" s="1"/>
  <c r="A212" i="44"/>
  <c r="D398" i="44"/>
  <c r="C398" i="44" s="1"/>
  <c r="A398" i="44"/>
  <c r="D366" i="44"/>
  <c r="B366" i="44" s="1"/>
  <c r="A366" i="44"/>
  <c r="D414" i="44"/>
  <c r="C414" i="44" s="1"/>
  <c r="A414" i="44"/>
  <c r="D389" i="44"/>
  <c r="A389" i="44"/>
  <c r="D402" i="44"/>
  <c r="B402" i="44" s="1"/>
  <c r="A402" i="44"/>
  <c r="D370" i="44"/>
  <c r="C370" i="44" s="1"/>
  <c r="A370" i="44"/>
  <c r="D135" i="44"/>
  <c r="C135" i="44" s="1"/>
  <c r="A135" i="44"/>
  <c r="D407" i="44"/>
  <c r="C407" i="44" s="1"/>
  <c r="A407" i="44"/>
  <c r="D158" i="44"/>
  <c r="C158" i="44" s="1"/>
  <c r="A158" i="44"/>
  <c r="D441" i="44"/>
  <c r="B441" i="44" s="1"/>
  <c r="A441" i="44"/>
  <c r="D218" i="44"/>
  <c r="C218" i="44" s="1"/>
  <c r="A218" i="44"/>
  <c r="D356" i="44"/>
  <c r="A356" i="44"/>
  <c r="D384" i="44"/>
  <c r="B384" i="44" s="1"/>
  <c r="A384" i="44"/>
  <c r="D220" i="44"/>
  <c r="C220" i="44" s="1"/>
  <c r="A220" i="44"/>
  <c r="D377" i="44"/>
  <c r="C377" i="44" s="1"/>
  <c r="A377" i="44"/>
  <c r="D198" i="44"/>
  <c r="B198" i="44" s="1"/>
  <c r="A198" i="44"/>
  <c r="D410" i="44"/>
  <c r="C410" i="44" s="1"/>
  <c r="A410" i="44"/>
  <c r="D418" i="44"/>
  <c r="B418" i="44" s="1"/>
  <c r="A418" i="44"/>
  <c r="D173" i="44"/>
  <c r="C173" i="44" s="1"/>
  <c r="A173" i="44"/>
  <c r="D373" i="44"/>
  <c r="A373" i="44"/>
  <c r="D155" i="44"/>
  <c r="B155" i="44" s="1"/>
  <c r="A155" i="44"/>
  <c r="D192" i="44"/>
  <c r="C192" i="44" s="1"/>
  <c r="A192" i="44"/>
  <c r="D416" i="44"/>
  <c r="C416" i="44" s="1"/>
  <c r="A416" i="44"/>
  <c r="D388" i="44"/>
  <c r="C388" i="44" s="1"/>
  <c r="A388" i="44"/>
  <c r="D194" i="44"/>
  <c r="C194" i="44" s="1"/>
  <c r="A194" i="44"/>
  <c r="D439" i="44"/>
  <c r="B439" i="44" s="1"/>
  <c r="A439" i="44"/>
  <c r="D365" i="44"/>
  <c r="C365" i="44" s="1"/>
  <c r="A365" i="44"/>
  <c r="D391" i="44"/>
  <c r="A391" i="44"/>
  <c r="D428" i="44"/>
  <c r="B428" i="44" s="1"/>
  <c r="A428" i="44"/>
  <c r="D182" i="44"/>
  <c r="B182" i="44" s="1"/>
  <c r="A182" i="44"/>
  <c r="D394" i="44"/>
  <c r="C394" i="44" s="1"/>
  <c r="A394" i="44"/>
  <c r="D165" i="44"/>
  <c r="C165" i="44" s="1"/>
  <c r="A165" i="44"/>
  <c r="D404" i="44"/>
  <c r="C404" i="44" s="1"/>
  <c r="A404" i="44"/>
  <c r="D411" i="44"/>
  <c r="B411" i="44" s="1"/>
  <c r="A411" i="44"/>
  <c r="D387" i="44"/>
  <c r="C387" i="44" s="1"/>
  <c r="A387" i="44"/>
  <c r="D396" i="44"/>
  <c r="A396" i="44"/>
  <c r="D393" i="44"/>
  <c r="B393" i="44" s="1"/>
  <c r="A393" i="44"/>
  <c r="D425" i="44"/>
  <c r="C425" i="44" s="1"/>
  <c r="A425" i="44"/>
  <c r="D381" i="44"/>
  <c r="C381" i="44" s="1"/>
  <c r="A381" i="44"/>
  <c r="D172" i="44"/>
  <c r="C172" i="44" s="1"/>
  <c r="A172" i="44"/>
  <c r="D438" i="44"/>
  <c r="C438" i="44" s="1"/>
  <c r="A438" i="44"/>
  <c r="D179" i="44"/>
  <c r="B179" i="44" s="1"/>
  <c r="A179" i="44"/>
  <c r="D162" i="44"/>
  <c r="C162" i="44" s="1"/>
  <c r="A162" i="44"/>
  <c r="D178" i="44"/>
  <c r="A178" i="44"/>
  <c r="D399" i="44"/>
  <c r="B399" i="44" s="1"/>
  <c r="A399" i="44"/>
  <c r="D403" i="44"/>
  <c r="C403" i="44" s="1"/>
  <c r="A403" i="44"/>
  <c r="D358" i="44"/>
  <c r="B358" i="44" s="1"/>
  <c r="A358" i="44"/>
  <c r="D379" i="44"/>
  <c r="B379" i="44" s="1"/>
  <c r="A379" i="44"/>
  <c r="D193" i="44"/>
  <c r="C193" i="44" s="1"/>
  <c r="A193" i="44"/>
  <c r="D364" i="44"/>
  <c r="B364" i="44" s="1"/>
  <c r="A364" i="44"/>
  <c r="D168" i="44"/>
  <c r="C168" i="44" s="1"/>
  <c r="A168" i="44"/>
  <c r="D360" i="44"/>
  <c r="A360" i="44"/>
  <c r="D166" i="44"/>
  <c r="B166" i="44" s="1"/>
  <c r="A166" i="44"/>
  <c r="D433" i="44"/>
  <c r="C433" i="44" s="1"/>
  <c r="A433" i="44"/>
  <c r="D188" i="44"/>
  <c r="C188" i="44" s="1"/>
  <c r="A188" i="44"/>
  <c r="D382" i="44"/>
  <c r="B382" i="44" s="1"/>
  <c r="A382" i="44"/>
  <c r="D167" i="44"/>
  <c r="C167" i="44" s="1"/>
  <c r="A167" i="44"/>
  <c r="D436" i="44"/>
  <c r="B436" i="44" s="1"/>
  <c r="A436" i="44"/>
  <c r="D397" i="44"/>
  <c r="C397" i="44" s="1"/>
  <c r="A397" i="44"/>
  <c r="D430" i="44"/>
  <c r="A430" i="44"/>
  <c r="D369" i="44"/>
  <c r="B369" i="44" s="1"/>
  <c r="A369" i="44"/>
  <c r="D183" i="44"/>
  <c r="B183" i="44" s="1"/>
  <c r="A183" i="44"/>
  <c r="D211" i="44"/>
  <c r="B211" i="44" s="1"/>
  <c r="A211" i="44"/>
  <c r="D432" i="44"/>
  <c r="C432" i="44" s="1"/>
  <c r="A432" i="44"/>
  <c r="D440" i="44"/>
  <c r="C440" i="44" s="1"/>
  <c r="A440" i="44"/>
  <c r="B894" i="44" l="1"/>
  <c r="C894" i="44"/>
  <c r="C95" i="44"/>
  <c r="C49" i="44"/>
  <c r="C332" i="44"/>
  <c r="B188" i="44"/>
  <c r="B642" i="44"/>
  <c r="C33" i="44"/>
  <c r="C138" i="44"/>
  <c r="C198" i="44"/>
  <c r="B759" i="44"/>
  <c r="B558" i="44"/>
  <c r="B53" i="44"/>
  <c r="C626" i="44"/>
  <c r="C1051" i="44"/>
  <c r="B453" i="44"/>
  <c r="C578" i="44"/>
  <c r="C780" i="44"/>
  <c r="C182" i="44"/>
  <c r="C106" i="44"/>
  <c r="C915" i="44"/>
  <c r="B783" i="44"/>
  <c r="C62" i="44"/>
  <c r="C738" i="44"/>
  <c r="C493" i="44"/>
  <c r="C65" i="44"/>
  <c r="C63" i="44"/>
  <c r="C518" i="44"/>
  <c r="B492" i="44"/>
  <c r="B388" i="44"/>
  <c r="C374" i="44"/>
  <c r="B540" i="44"/>
  <c r="C56" i="44"/>
  <c r="C74" i="44"/>
  <c r="C40" i="44"/>
  <c r="C1054" i="44"/>
  <c r="C479" i="44"/>
  <c r="C364" i="44"/>
  <c r="B596" i="44"/>
  <c r="C946" i="44"/>
  <c r="C534" i="44"/>
  <c r="C382" i="44"/>
  <c r="C503" i="44"/>
  <c r="C943" i="44"/>
  <c r="C968" i="44"/>
  <c r="B950" i="44"/>
  <c r="B32" i="44"/>
  <c r="C457" i="44"/>
  <c r="C577" i="44"/>
  <c r="C572" i="44"/>
  <c r="C64" i="44"/>
  <c r="C557" i="44"/>
  <c r="C646" i="44"/>
  <c r="B569" i="44"/>
  <c r="B168" i="44"/>
  <c r="B60" i="44"/>
  <c r="C473" i="44"/>
  <c r="C653" i="44"/>
  <c r="C822" i="44"/>
  <c r="C887" i="44"/>
  <c r="C697" i="44"/>
  <c r="C676" i="44"/>
  <c r="B92" i="44"/>
  <c r="C815" i="44"/>
  <c r="C284" i="44"/>
  <c r="C775" i="44"/>
  <c r="B158" i="44"/>
  <c r="C520" i="44"/>
  <c r="B455" i="44"/>
  <c r="B857" i="44"/>
  <c r="B486" i="44"/>
  <c r="C134" i="44"/>
  <c r="C58" i="44"/>
  <c r="C914" i="44"/>
  <c r="C76" i="44"/>
  <c r="B46" i="44"/>
  <c r="B671" i="44"/>
  <c r="B491" i="44"/>
  <c r="C124" i="44"/>
  <c r="C718" i="44"/>
  <c r="B10" i="44"/>
  <c r="C448" i="44"/>
  <c r="C853" i="44"/>
  <c r="C851" i="44"/>
  <c r="B462" i="44"/>
  <c r="C627" i="44"/>
  <c r="C266" i="44"/>
  <c r="C418" i="44"/>
  <c r="C475" i="44"/>
  <c r="B568" i="44"/>
  <c r="C924" i="44"/>
  <c r="C316" i="44"/>
  <c r="B482" i="44"/>
  <c r="C67" i="44"/>
  <c r="C105" i="44"/>
  <c r="C61" i="44"/>
  <c r="C567" i="44"/>
  <c r="C550" i="44"/>
  <c r="B956" i="44"/>
  <c r="C813" i="44"/>
  <c r="C256" i="44"/>
  <c r="B893" i="44"/>
  <c r="C574" i="44"/>
  <c r="C787" i="44"/>
  <c r="B706" i="44"/>
  <c r="B838" i="44"/>
  <c r="B139" i="44"/>
  <c r="B165" i="44"/>
  <c r="B122" i="44"/>
  <c r="B262" i="44"/>
  <c r="C702" i="44"/>
  <c r="C451" i="44"/>
  <c r="B470" i="44"/>
  <c r="C735" i="44"/>
  <c r="B766" i="44"/>
  <c r="C842" i="44"/>
  <c r="C42" i="44"/>
  <c r="B24" i="44"/>
  <c r="B497" i="44"/>
  <c r="C920" i="44"/>
  <c r="C707" i="44"/>
  <c r="C1052" i="44"/>
  <c r="C663" i="44"/>
  <c r="C788" i="44"/>
  <c r="C632" i="44"/>
  <c r="C746" i="44"/>
  <c r="C692" i="44"/>
  <c r="C240" i="44"/>
  <c r="B483" i="44"/>
  <c r="B658" i="44"/>
  <c r="B995" i="44"/>
  <c r="B982" i="44"/>
  <c r="B282" i="44"/>
  <c r="C369" i="44"/>
  <c r="C436" i="44"/>
  <c r="C358" i="44"/>
  <c r="B404" i="44"/>
  <c r="B365" i="44"/>
  <c r="B370" i="44"/>
  <c r="C212" i="44"/>
  <c r="B643" i="44"/>
  <c r="B516" i="44"/>
  <c r="B688" i="44"/>
  <c r="B347" i="44"/>
  <c r="C314" i="44"/>
  <c r="C340" i="44"/>
  <c r="B551" i="44"/>
  <c r="C1024" i="44"/>
  <c r="C794" i="44"/>
  <c r="C480" i="44"/>
  <c r="C644" i="44"/>
  <c r="C581" i="44"/>
  <c r="B751" i="44"/>
  <c r="C559" i="44"/>
  <c r="B854" i="44"/>
  <c r="C758" i="44"/>
  <c r="B770" i="44"/>
  <c r="B1037" i="44"/>
  <c r="B747" i="44"/>
  <c r="B672" i="44"/>
  <c r="B662" i="44"/>
  <c r="B1021" i="44"/>
  <c r="C211" i="44"/>
  <c r="B193" i="44"/>
  <c r="B381" i="44"/>
  <c r="B173" i="44"/>
  <c r="B410" i="44"/>
  <c r="B218" i="44"/>
  <c r="B407" i="44"/>
  <c r="C366" i="44"/>
  <c r="C608" i="44"/>
  <c r="B466" i="44"/>
  <c r="C445" i="44"/>
  <c r="B525" i="44"/>
  <c r="B511" i="44"/>
  <c r="B728" i="44"/>
  <c r="C328" i="44"/>
  <c r="C634" i="44"/>
  <c r="B59" i="44"/>
  <c r="C717" i="44"/>
  <c r="C698" i="44"/>
  <c r="C983" i="44"/>
  <c r="C684" i="44"/>
  <c r="B633" i="44"/>
  <c r="C179" i="44"/>
  <c r="B387" i="44"/>
  <c r="B220" i="44"/>
  <c r="C402" i="44"/>
  <c r="C532" i="44"/>
  <c r="B855" i="44"/>
  <c r="B690" i="44"/>
  <c r="B590" i="44"/>
  <c r="C318" i="44"/>
  <c r="B635" i="44"/>
  <c r="B343" i="44"/>
  <c r="C989" i="44"/>
  <c r="B733" i="44"/>
  <c r="B998" i="44"/>
  <c r="B31" i="44"/>
  <c r="B140" i="44"/>
  <c r="B489" i="44"/>
  <c r="C832" i="44"/>
  <c r="C740" i="44"/>
  <c r="B756" i="44"/>
  <c r="B732" i="44"/>
  <c r="C730" i="44"/>
  <c r="C675" i="44"/>
  <c r="C183" i="44"/>
  <c r="B397" i="44"/>
  <c r="B433" i="44"/>
  <c r="C379" i="44"/>
  <c r="B398" i="44"/>
  <c r="B70" i="44"/>
  <c r="C519" i="44"/>
  <c r="B654" i="44"/>
  <c r="B719" i="44"/>
  <c r="B452" i="44"/>
  <c r="C69" i="44"/>
  <c r="C494" i="44"/>
  <c r="B693" i="44"/>
  <c r="B16" i="44"/>
  <c r="C121" i="44"/>
  <c r="C699" i="44"/>
  <c r="C630" i="44"/>
  <c r="B648" i="44"/>
  <c r="C661" i="44"/>
  <c r="B827" i="44"/>
  <c r="B162" i="44"/>
  <c r="B414" i="44"/>
  <c r="B874" i="44"/>
  <c r="B715" i="44"/>
  <c r="B650" i="44"/>
  <c r="C548" i="44"/>
  <c r="B562" i="44"/>
  <c r="C443" i="44"/>
  <c r="B443" i="44"/>
  <c r="C444" i="44"/>
  <c r="C805" i="44"/>
  <c r="C130" i="44"/>
  <c r="B130" i="44"/>
  <c r="B1036" i="44"/>
  <c r="C1036" i="44"/>
  <c r="B594" i="44"/>
  <c r="C594" i="44"/>
  <c r="C89" i="44"/>
  <c r="B89" i="44"/>
  <c r="C1046" i="44"/>
  <c r="B1046" i="44"/>
  <c r="B631" i="44"/>
  <c r="C631" i="44"/>
  <c r="B823" i="44"/>
  <c r="C823" i="44"/>
  <c r="C456" i="44"/>
  <c r="B456" i="44"/>
  <c r="B172" i="44"/>
  <c r="B190" i="44"/>
  <c r="C498" i="44"/>
  <c r="B498" i="44"/>
  <c r="C696" i="44"/>
  <c r="B696" i="44"/>
  <c r="B1039" i="44"/>
  <c r="C1039" i="44"/>
  <c r="B35" i="44"/>
  <c r="C35" i="44"/>
  <c r="C3" i="44"/>
  <c r="B3" i="44"/>
  <c r="C48" i="44"/>
  <c r="B48" i="44"/>
  <c r="C446" i="44"/>
  <c r="B446" i="44"/>
  <c r="C641" i="44"/>
  <c r="B641" i="44"/>
  <c r="B858" i="44"/>
  <c r="C858" i="44"/>
  <c r="B899" i="44"/>
  <c r="C899" i="44"/>
  <c r="C465" i="44"/>
  <c r="B465" i="44"/>
  <c r="B432" i="44"/>
  <c r="C393" i="44"/>
  <c r="C411" i="44"/>
  <c r="C439" i="44"/>
  <c r="C441" i="44"/>
  <c r="B405" i="44"/>
  <c r="B54" i="44"/>
  <c r="C542" i="44"/>
  <c r="B552" i="44"/>
  <c r="B510" i="44"/>
  <c r="C474" i="44"/>
  <c r="B474" i="44"/>
  <c r="B560" i="44"/>
  <c r="B694" i="44"/>
  <c r="C694" i="44"/>
  <c r="C508" i="44"/>
  <c r="B301" i="44"/>
  <c r="C876" i="44"/>
  <c r="B876" i="44"/>
  <c r="C303" i="44"/>
  <c r="C601" i="44"/>
  <c r="B450" i="44"/>
  <c r="B922" i="44"/>
  <c r="C922" i="44"/>
  <c r="C512" i="44"/>
  <c r="B512" i="44"/>
  <c r="C584" i="44"/>
  <c r="B584" i="44"/>
  <c r="C616" i="44"/>
  <c r="B616" i="44"/>
  <c r="B754" i="44"/>
  <c r="C754" i="44"/>
  <c r="B725" i="44"/>
  <c r="C725" i="44"/>
  <c r="C978" i="44"/>
  <c r="B978" i="44"/>
  <c r="C598" i="44"/>
  <c r="B598" i="44"/>
  <c r="C87" i="44"/>
  <c r="B87" i="44"/>
  <c r="C44" i="44"/>
  <c r="B44" i="44"/>
  <c r="B66" i="44"/>
  <c r="C66" i="44"/>
  <c r="C777" i="44"/>
  <c r="B777" i="44"/>
  <c r="C247" i="44"/>
  <c r="B247" i="44"/>
  <c r="C840" i="44"/>
  <c r="B840" i="44"/>
  <c r="C755" i="44"/>
  <c r="B755" i="44"/>
  <c r="B377" i="44"/>
  <c r="B471" i="44"/>
  <c r="C504" i="44"/>
  <c r="C29" i="44"/>
  <c r="C666" i="44"/>
  <c r="B882" i="44"/>
  <c r="C882" i="44"/>
  <c r="C821" i="44"/>
  <c r="B821" i="44"/>
  <c r="C859" i="44"/>
  <c r="B859" i="44"/>
  <c r="B749" i="44"/>
  <c r="B319" i="44"/>
  <c r="C319" i="44"/>
  <c r="B591" i="44"/>
  <c r="C329" i="44"/>
  <c r="B50" i="44"/>
  <c r="C50" i="44"/>
  <c r="B51" i="44"/>
  <c r="C51" i="44"/>
  <c r="B1053" i="44"/>
  <c r="C1053" i="44"/>
  <c r="B625" i="44"/>
  <c r="C625" i="44"/>
  <c r="B192" i="44"/>
  <c r="C476" i="44"/>
  <c r="B476" i="44"/>
  <c r="C545" i="44"/>
  <c r="B545" i="44"/>
  <c r="C543" i="44"/>
  <c r="B543" i="44"/>
  <c r="C506" i="44"/>
  <c r="B506" i="44"/>
  <c r="B753" i="44"/>
  <c r="C753" i="44"/>
  <c r="C837" i="44"/>
  <c r="B837" i="44"/>
  <c r="B323" i="44"/>
  <c r="C323" i="44"/>
  <c r="B34" i="44"/>
  <c r="C34" i="44"/>
  <c r="B553" i="44"/>
  <c r="C553" i="44"/>
  <c r="C1030" i="44"/>
  <c r="B1030" i="44"/>
  <c r="C736" i="44"/>
  <c r="B736" i="44"/>
  <c r="B440" i="44"/>
  <c r="B438" i="44"/>
  <c r="B714" i="44"/>
  <c r="B501" i="44"/>
  <c r="C883" i="44"/>
  <c r="B727" i="44"/>
  <c r="C727" i="44"/>
  <c r="B769" i="44"/>
  <c r="C769" i="44"/>
  <c r="B324" i="44"/>
  <c r="C324" i="44"/>
  <c r="B597" i="44"/>
  <c r="C1027" i="44"/>
  <c r="B1027" i="44"/>
  <c r="C235" i="44"/>
  <c r="B235" i="44"/>
  <c r="C529" i="44"/>
  <c r="B529" i="44"/>
  <c r="C585" i="44"/>
  <c r="B585" i="44"/>
  <c r="B8" i="44"/>
  <c r="B902" i="44"/>
  <c r="B507" i="44"/>
  <c r="B1056" i="44"/>
  <c r="B269" i="44"/>
  <c r="B248" i="44"/>
  <c r="B297" i="44"/>
  <c r="B294" i="44"/>
  <c r="B833" i="44"/>
  <c r="B97" i="44"/>
  <c r="B729" i="44"/>
  <c r="B781" i="44"/>
  <c r="B561" i="44"/>
  <c r="B771" i="44"/>
  <c r="C689" i="44"/>
  <c r="B741" i="44"/>
  <c r="B936" i="44"/>
  <c r="B953" i="44"/>
  <c r="B655" i="44"/>
  <c r="B556" i="44"/>
  <c r="C41" i="44"/>
  <c r="B921" i="44"/>
  <c r="B531" i="44"/>
  <c r="C587" i="44"/>
  <c r="C619" i="44"/>
  <c r="B757" i="44"/>
  <c r="C128" i="44"/>
  <c r="B253" i="44"/>
  <c r="B45" i="44"/>
  <c r="B700" i="44"/>
  <c r="B645" i="44"/>
  <c r="B1032" i="44"/>
  <c r="B628" i="44"/>
  <c r="B722" i="44"/>
  <c r="B713" i="44"/>
  <c r="B18" i="44"/>
  <c r="B120" i="44"/>
  <c r="B490" i="44"/>
  <c r="B856" i="44"/>
  <c r="B716" i="44"/>
  <c r="B586" i="44"/>
  <c r="B691" i="44"/>
  <c r="C467" i="44"/>
  <c r="B554" i="44"/>
  <c r="C629" i="44"/>
  <c r="C563" i="44"/>
  <c r="C903" i="44"/>
  <c r="C683" i="44"/>
  <c r="B640" i="44"/>
  <c r="C659" i="44"/>
  <c r="B826" i="44"/>
  <c r="C678" i="44"/>
  <c r="B793" i="44"/>
  <c r="C94" i="44"/>
  <c r="B687" i="44"/>
  <c r="B724" i="44"/>
  <c r="B784" i="44"/>
  <c r="C808" i="44"/>
  <c r="B623" i="44"/>
  <c r="C721" i="44"/>
  <c r="B505" i="44"/>
  <c r="C803" i="44"/>
  <c r="B264" i="44"/>
  <c r="C790" i="44"/>
  <c r="B828" i="44"/>
  <c r="C484" i="44"/>
  <c r="B484" i="44"/>
  <c r="C500" i="44"/>
  <c r="B500" i="44"/>
  <c r="C533" i="44"/>
  <c r="B533" i="44"/>
  <c r="C454" i="44"/>
  <c r="B454" i="44"/>
  <c r="C710" i="44"/>
  <c r="B710" i="44"/>
  <c r="B403" i="44"/>
  <c r="C428" i="44"/>
  <c r="C155" i="44"/>
  <c r="B135" i="44"/>
  <c r="C524" i="44"/>
  <c r="C449" i="44"/>
  <c r="B449" i="44"/>
  <c r="C430" i="44"/>
  <c r="B430" i="44"/>
  <c r="B167" i="44"/>
  <c r="B425" i="44"/>
  <c r="C356" i="44"/>
  <c r="B356" i="44"/>
  <c r="C621" i="44"/>
  <c r="C73" i="44"/>
  <c r="B73" i="44"/>
  <c r="C360" i="44"/>
  <c r="B360" i="44"/>
  <c r="C386" i="44"/>
  <c r="B386" i="44"/>
  <c r="C547" i="44"/>
  <c r="C472" i="44"/>
  <c r="B472" i="44"/>
  <c r="C478" i="44"/>
  <c r="B478" i="44"/>
  <c r="C513" i="44"/>
  <c r="B513" i="44"/>
  <c r="C178" i="44"/>
  <c r="B178" i="44"/>
  <c r="C712" i="44"/>
  <c r="B712" i="44"/>
  <c r="C620" i="44"/>
  <c r="B620" i="44"/>
  <c r="B704" i="44"/>
  <c r="C704" i="44"/>
  <c r="C150" i="44"/>
  <c r="B150" i="44"/>
  <c r="C396" i="44"/>
  <c r="B396" i="44"/>
  <c r="C373" i="44"/>
  <c r="B373" i="44"/>
  <c r="C638" i="44"/>
  <c r="B638" i="44"/>
  <c r="C546" i="44"/>
  <c r="B546" i="44"/>
  <c r="C660" i="44"/>
  <c r="B660" i="44"/>
  <c r="C166" i="44"/>
  <c r="B394" i="44"/>
  <c r="C391" i="44"/>
  <c r="B391" i="44"/>
  <c r="B194" i="44"/>
  <c r="C384" i="44"/>
  <c r="B378" i="44"/>
  <c r="C549" i="44"/>
  <c r="B549" i="44"/>
  <c r="C649" i="44"/>
  <c r="B649" i="44"/>
  <c r="C536" i="44"/>
  <c r="B536" i="44"/>
  <c r="C91" i="44"/>
  <c r="B91" i="44"/>
  <c r="C399" i="44"/>
  <c r="B416" i="44"/>
  <c r="C389" i="44"/>
  <c r="B389" i="44"/>
  <c r="C477" i="44"/>
  <c r="B477" i="44"/>
  <c r="C573" i="44"/>
  <c r="B573" i="44"/>
  <c r="B481" i="44"/>
  <c r="C701" i="44"/>
  <c r="B762" i="44"/>
  <c r="B322" i="44"/>
  <c r="C353" i="44"/>
  <c r="B327" i="44"/>
  <c r="C499" i="44"/>
  <c r="B499" i="44"/>
  <c r="C538" i="44"/>
  <c r="B538" i="44"/>
  <c r="B537" i="44"/>
  <c r="B651" i="44"/>
  <c r="C606" i="44"/>
  <c r="B606" i="44"/>
  <c r="C604" i="44"/>
  <c r="B604" i="44"/>
  <c r="C544" i="44"/>
  <c r="B544" i="44"/>
  <c r="C468" i="44"/>
  <c r="B468" i="44"/>
  <c r="C28" i="44"/>
  <c r="B679" i="44"/>
  <c r="B796" i="44"/>
  <c r="B993" i="44"/>
  <c r="C972" i="44"/>
  <c r="B972" i="44"/>
  <c r="B348" i="44"/>
  <c r="C593" i="44"/>
  <c r="B593" i="44"/>
  <c r="C933" i="44"/>
  <c r="B933" i="44"/>
  <c r="C496" i="44"/>
  <c r="B496" i="44"/>
  <c r="B488" i="44"/>
  <c r="B463" i="44"/>
  <c r="C458" i="44"/>
  <c r="B447" i="44"/>
  <c r="B624" i="44"/>
  <c r="B804" i="44"/>
  <c r="C836" i="44"/>
  <c r="B776" i="44"/>
  <c r="B600" i="44"/>
  <c r="B485" i="44"/>
  <c r="C711" i="44"/>
  <c r="C515" i="44"/>
  <c r="B795" i="44"/>
  <c r="B792" i="44"/>
  <c r="B726" i="44"/>
  <c r="C734" i="44"/>
  <c r="B685" i="44"/>
  <c r="C589" i="44"/>
  <c r="B589" i="44"/>
  <c r="B311" i="44"/>
  <c r="B337" i="44"/>
  <c r="B528" i="44"/>
  <c r="B789" i="44"/>
  <c r="C355" i="44"/>
  <c r="B101" i="44"/>
  <c r="B1025" i="44"/>
  <c r="C461" i="44"/>
  <c r="B55" i="44"/>
  <c r="C464" i="44"/>
  <c r="B464" i="44"/>
  <c r="C652" i="44"/>
  <c r="B652" i="44"/>
  <c r="B26" i="44"/>
  <c r="C57" i="44"/>
  <c r="B57" i="44"/>
  <c r="C566" i="44"/>
  <c r="B566" i="44"/>
  <c r="B907" i="44"/>
  <c r="B4" i="44"/>
  <c r="B72" i="44"/>
  <c r="B919" i="44"/>
  <c r="B19" i="44"/>
  <c r="C19" i="44"/>
  <c r="C103" i="44"/>
  <c r="B103" i="44"/>
  <c r="C582" i="44"/>
  <c r="B582" i="44"/>
  <c r="C720" i="44"/>
  <c r="B720" i="44"/>
  <c r="C98" i="44"/>
  <c r="B98" i="44"/>
  <c r="C129" i="44"/>
  <c r="B129" i="44"/>
  <c r="C460" i="44"/>
  <c r="B460" i="44"/>
  <c r="C27" i="44"/>
  <c r="B27" i="44"/>
  <c r="C673" i="44"/>
  <c r="B673" i="44"/>
  <c r="B93" i="44"/>
  <c r="B530" i="44"/>
  <c r="B43" i="44"/>
  <c r="C959" i="44"/>
  <c r="B959" i="44"/>
  <c r="C984" i="44"/>
  <c r="B984" i="44"/>
  <c r="B117" i="44"/>
  <c r="C47" i="44"/>
  <c r="C731" i="44"/>
  <c r="C588" i="44"/>
  <c r="C637" i="44"/>
  <c r="B637" i="44"/>
  <c r="B935" i="44"/>
  <c r="B665" i="44"/>
  <c r="C665" i="44"/>
  <c r="B779" i="44"/>
  <c r="B846" i="44"/>
  <c r="C931" i="44"/>
  <c r="B931" i="44"/>
  <c r="C110" i="44"/>
  <c r="B495" i="44"/>
  <c r="C495" i="44"/>
  <c r="C112" i="44"/>
  <c r="B112" i="44"/>
  <c r="B509" i="44"/>
  <c r="C487" i="44"/>
  <c r="B708" i="44"/>
  <c r="B849" i="44"/>
  <c r="B68" i="44"/>
  <c r="C68" i="44"/>
  <c r="B502" i="44"/>
  <c r="C517" i="44"/>
  <c r="B517" i="44"/>
  <c r="B1044" i="44"/>
  <c r="C1044" i="44"/>
  <c r="B997" i="44"/>
  <c r="C875" i="44"/>
  <c r="C226" i="44"/>
  <c r="B830" i="44"/>
  <c r="C12" i="44"/>
  <c r="C107" i="44"/>
  <c r="C752" i="44"/>
  <c r="B752" i="44"/>
  <c r="C151" i="44"/>
  <c r="B151" i="44"/>
  <c r="B843" i="44"/>
  <c r="B695" i="44"/>
  <c r="C459" i="44"/>
  <c r="B459" i="44"/>
  <c r="B657" i="44"/>
  <c r="B469" i="44"/>
  <c r="B656" i="44"/>
  <c r="B739" i="44"/>
  <c r="B831" i="44"/>
  <c r="B852" i="44"/>
  <c r="B765" i="44"/>
  <c r="B639" i="44"/>
  <c r="B705" i="44"/>
  <c r="B737" i="44"/>
  <c r="B622" i="44"/>
  <c r="B773" i="44"/>
  <c r="B636" i="44"/>
  <c r="B647" i="44"/>
  <c r="B891" i="44"/>
  <c r="B564" i="44"/>
  <c r="B618" i="44"/>
  <c r="B812" i="44"/>
  <c r="B791" i="44"/>
  <c r="B278" i="44"/>
  <c r="B136" i="44"/>
  <c r="B285" i="44"/>
  <c r="B764" i="44"/>
  <c r="B681" i="44"/>
  <c r="B1002" i="44"/>
  <c r="B674" i="44"/>
  <c r="B680" i="44"/>
  <c r="B709" i="44"/>
  <c r="B583" i="44"/>
  <c r="B670" i="44"/>
  <c r="B570" i="44"/>
  <c r="B850" i="44"/>
  <c r="B847" i="44"/>
  <c r="B703" i="44"/>
  <c r="B617" i="44"/>
  <c r="B580" i="44"/>
  <c r="B870" i="44"/>
  <c r="B113" i="44"/>
  <c r="B845" i="44"/>
  <c r="B824" i="44"/>
  <c r="B799" i="44"/>
  <c r="B723" i="44"/>
  <c r="B125" i="44"/>
  <c r="D962" i="44" l="1"/>
  <c r="D819" i="44"/>
  <c r="B819" i="44" s="1"/>
  <c r="D913" i="44"/>
  <c r="C913" i="44" s="1"/>
  <c r="D521" i="44"/>
  <c r="C521" i="44" s="1"/>
  <c r="D435" i="44"/>
  <c r="D161" i="44"/>
  <c r="C161" i="44" s="1"/>
  <c r="D848" i="44"/>
  <c r="D254" i="44"/>
  <c r="D1000" i="44"/>
  <c r="D159" i="44"/>
  <c r="B159" i="44" s="1"/>
  <c r="D664" i="44"/>
  <c r="C664" i="44" s="1"/>
  <c r="D951" i="44"/>
  <c r="C951" i="44" s="1"/>
  <c r="D908" i="44"/>
  <c r="D975" i="44"/>
  <c r="C975" i="44" s="1"/>
  <c r="D941" i="44"/>
  <c r="D991" i="44"/>
  <c r="D115" i="44"/>
  <c r="D932" i="44"/>
  <c r="B932" i="44" s="1"/>
  <c r="D357" i="44"/>
  <c r="B357" i="44" s="1"/>
  <c r="D961" i="44"/>
  <c r="C961" i="44" s="1"/>
  <c r="D938" i="44"/>
  <c r="D1038" i="44"/>
  <c r="C1038" i="44" s="1"/>
  <c r="D886" i="44"/>
  <c r="D748" i="44"/>
  <c r="D839" i="44"/>
  <c r="D981" i="44"/>
  <c r="B981" i="44" s="1"/>
  <c r="D1048" i="44"/>
  <c r="C1048" i="44" s="1"/>
  <c r="D20" i="44"/>
  <c r="C20" i="44" s="1"/>
  <c r="D1022" i="44"/>
  <c r="D928" i="44"/>
  <c r="C928" i="44" s="1"/>
  <c r="D1020" i="44"/>
  <c r="D345" i="44"/>
  <c r="D127" i="44"/>
  <c r="D426" i="44"/>
  <c r="B426" i="44" s="1"/>
  <c r="D745" i="44"/>
  <c r="C745" i="44" s="1"/>
  <c r="D834" i="44"/>
  <c r="B834" i="44" s="1"/>
  <c r="D108" i="44"/>
  <c r="C108" i="44" s="1"/>
  <c r="D170" i="44"/>
  <c r="C170" i="44" s="1"/>
  <c r="D609" i="44"/>
  <c r="D963" i="44"/>
  <c r="C963" i="44" s="1"/>
  <c r="D238" i="44"/>
  <c r="C238" i="44" s="1"/>
  <c r="D864" i="44"/>
  <c r="D810" i="44"/>
  <c r="B810" i="44" s="1"/>
  <c r="D413" i="44"/>
  <c r="C413" i="44" s="1"/>
  <c r="D971" i="44"/>
  <c r="C971" i="44" s="1"/>
  <c r="D965" i="44"/>
  <c r="C965" i="44" s="1"/>
  <c r="D227" i="44"/>
  <c r="D331" i="44"/>
  <c r="C331" i="44" s="1"/>
  <c r="D918" i="44"/>
  <c r="C918" i="44" s="1"/>
  <c r="D412" i="44"/>
  <c r="B412" i="44" s="1"/>
  <c r="D985" i="44"/>
  <c r="C985" i="44" s="1"/>
  <c r="D555" i="44"/>
  <c r="C555" i="44" s="1"/>
  <c r="D925" i="44"/>
  <c r="C925" i="44" s="1"/>
  <c r="D176" i="44"/>
  <c r="C176" i="44" s="1"/>
  <c r="D967" i="44"/>
  <c r="D797" i="44"/>
  <c r="C797" i="44" s="1"/>
  <c r="D760" i="44"/>
  <c r="C760" i="44" s="1"/>
  <c r="D923" i="44"/>
  <c r="B923" i="44" s="1"/>
  <c r="D383" i="44"/>
  <c r="C383" i="44" s="1"/>
  <c r="D948" i="44"/>
  <c r="C948" i="44" s="1"/>
  <c r="D949" i="44"/>
  <c r="C949" i="44" s="1"/>
  <c r="D778" i="44"/>
  <c r="C778" i="44" s="1"/>
  <c r="D944" i="44"/>
  <c r="D423" i="44"/>
  <c r="C423" i="44" s="1"/>
  <c r="D401" i="44"/>
  <c r="C401" i="44" s="1"/>
  <c r="D535" i="44"/>
  <c r="B535" i="44" s="1"/>
  <c r="D955" i="44"/>
  <c r="C955" i="44" s="1"/>
  <c r="D990" i="44"/>
  <c r="C990" i="44" s="1"/>
  <c r="D934" i="44"/>
  <c r="C934" i="44" s="1"/>
  <c r="D175" i="44"/>
  <c r="C175" i="44" s="1"/>
  <c r="D969" i="44"/>
  <c r="D320" i="44"/>
  <c r="C320" i="44" s="1"/>
  <c r="D945" i="44"/>
  <c r="B945" i="44" s="1"/>
  <c r="D123" i="44"/>
  <c r="D977" i="44"/>
  <c r="C977" i="44" s="1"/>
  <c r="D434" i="44"/>
  <c r="C434" i="44" s="1"/>
  <c r="D126" i="44"/>
  <c r="C126" i="44" s="1"/>
  <c r="D782" i="44"/>
  <c r="C782" i="44" s="1"/>
  <c r="D992" i="44"/>
  <c r="D930" i="44"/>
  <c r="C930" i="44" s="1"/>
  <c r="D231" i="44"/>
  <c r="C231" i="44" s="1"/>
  <c r="D1019" i="44"/>
  <c r="B1019" i="44" s="1"/>
  <c r="D904" i="44"/>
  <c r="C904" i="44" s="1"/>
  <c r="D174" i="44"/>
  <c r="C174" i="44" s="1"/>
  <c r="D860" i="44"/>
  <c r="B860" i="44" s="1"/>
  <c r="D901" i="44"/>
  <c r="C901" i="44" s="1"/>
  <c r="D986" i="44"/>
  <c r="B986" i="44" s="1"/>
  <c r="D994" i="44"/>
  <c r="C994" i="44" s="1"/>
  <c r="D1018" i="44"/>
  <c r="B1018" i="44" s="1"/>
  <c r="D958" i="44"/>
  <c r="D768" i="44"/>
  <c r="C768" i="44" s="1"/>
  <c r="D84" i="44"/>
  <c r="C84" i="44" s="1"/>
  <c r="D761" i="44"/>
  <c r="C761" i="44" s="1"/>
  <c r="D36" i="44"/>
  <c r="C36" i="44" s="1"/>
  <c r="D818" i="44"/>
  <c r="D763" i="44"/>
  <c r="C763" i="44" s="1"/>
  <c r="D896" i="44"/>
  <c r="B896" i="44" s="1"/>
  <c r="D772" i="44"/>
  <c r="D292" i="44"/>
  <c r="C292" i="44" s="1"/>
  <c r="D252" i="44"/>
  <c r="C252" i="44" s="1"/>
  <c r="D802" i="44"/>
  <c r="C802" i="44" s="1"/>
  <c r="D744" i="44"/>
  <c r="C744" i="44" s="1"/>
  <c r="D677" i="44"/>
  <c r="C677" i="44" s="1"/>
  <c r="A962" i="44"/>
  <c r="A819" i="44"/>
  <c r="A913" i="44"/>
  <c r="A521" i="44"/>
  <c r="A435" i="44"/>
  <c r="A161" i="44"/>
  <c r="A848" i="44"/>
  <c r="A254" i="44"/>
  <c r="A1000" i="44"/>
  <c r="A159" i="44"/>
  <c r="A664" i="44"/>
  <c r="A951" i="44"/>
  <c r="A908" i="44"/>
  <c r="A975" i="44"/>
  <c r="A941" i="44"/>
  <c r="A991" i="44"/>
  <c r="A115" i="44"/>
  <c r="A932" i="44"/>
  <c r="A357" i="44"/>
  <c r="A961" i="44"/>
  <c r="A938" i="44"/>
  <c r="A1038" i="44"/>
  <c r="A886" i="44"/>
  <c r="A748" i="44"/>
  <c r="A839" i="44"/>
  <c r="A981" i="44"/>
  <c r="A1048" i="44"/>
  <c r="A20" i="44"/>
  <c r="A1022" i="44"/>
  <c r="A928" i="44"/>
  <c r="A1020" i="44"/>
  <c r="A345" i="44"/>
  <c r="A127" i="44"/>
  <c r="A426" i="44"/>
  <c r="A745" i="44"/>
  <c r="A834" i="44"/>
  <c r="A108" i="44"/>
  <c r="A170" i="44"/>
  <c r="A609" i="44"/>
  <c r="A963" i="44"/>
  <c r="A238" i="44"/>
  <c r="A864" i="44"/>
  <c r="A810" i="44"/>
  <c r="A413" i="44"/>
  <c r="A971" i="44"/>
  <c r="A965" i="44"/>
  <c r="A227" i="44"/>
  <c r="A331" i="44"/>
  <c r="A918" i="44"/>
  <c r="A412" i="44"/>
  <c r="A985" i="44"/>
  <c r="A555" i="44"/>
  <c r="A925" i="44"/>
  <c r="A176" i="44"/>
  <c r="A967" i="44"/>
  <c r="A797" i="44"/>
  <c r="A760" i="44"/>
  <c r="A923" i="44"/>
  <c r="A383" i="44"/>
  <c r="A948" i="44"/>
  <c r="A949" i="44"/>
  <c r="A778" i="44"/>
  <c r="A944" i="44"/>
  <c r="A423" i="44"/>
  <c r="A401" i="44"/>
  <c r="A535" i="44"/>
  <c r="A955" i="44"/>
  <c r="A990" i="44"/>
  <c r="A934" i="44"/>
  <c r="A175" i="44"/>
  <c r="A969" i="44"/>
  <c r="A320" i="44"/>
  <c r="A945" i="44"/>
  <c r="A123" i="44"/>
  <c r="A977" i="44"/>
  <c r="A434" i="44"/>
  <c r="A126" i="44"/>
  <c r="A782" i="44"/>
  <c r="A992" i="44"/>
  <c r="A930" i="44"/>
  <c r="A231" i="44"/>
  <c r="A1019" i="44"/>
  <c r="A904" i="44"/>
  <c r="A174" i="44"/>
  <c r="A860" i="44"/>
  <c r="A901" i="44"/>
  <c r="A986" i="44"/>
  <c r="A994" i="44"/>
  <c r="A1018" i="44"/>
  <c r="A958" i="44"/>
  <c r="A768" i="44"/>
  <c r="A84" i="44"/>
  <c r="A761" i="44"/>
  <c r="A36" i="44"/>
  <c r="A818" i="44"/>
  <c r="A763" i="44"/>
  <c r="A896" i="44"/>
  <c r="A772" i="44"/>
  <c r="A292" i="44"/>
  <c r="A252" i="44"/>
  <c r="A802" i="44"/>
  <c r="A744" i="44"/>
  <c r="A677" i="44"/>
  <c r="B934" i="44" l="1"/>
  <c r="B949" i="44"/>
  <c r="B925" i="44"/>
  <c r="B971" i="44"/>
  <c r="B108" i="44"/>
  <c r="B951" i="44"/>
  <c r="C772" i="44"/>
  <c r="B772" i="44"/>
  <c r="C123" i="44"/>
  <c r="B123" i="44"/>
  <c r="C967" i="44"/>
  <c r="B967" i="44"/>
  <c r="C969" i="44"/>
  <c r="B969" i="44"/>
  <c r="B802" i="44"/>
  <c r="C864" i="44"/>
  <c r="B864" i="44"/>
  <c r="C958" i="44"/>
  <c r="B958" i="44"/>
  <c r="B761" i="44"/>
  <c r="B126" i="44"/>
  <c r="C818" i="44"/>
  <c r="B818" i="44"/>
  <c r="C886" i="44"/>
  <c r="B886" i="44"/>
  <c r="C992" i="44"/>
  <c r="B992" i="44"/>
  <c r="C944" i="44"/>
  <c r="B944" i="44"/>
  <c r="C227" i="44"/>
  <c r="B227" i="44"/>
  <c r="C609" i="44"/>
  <c r="B609" i="44"/>
  <c r="C1020" i="44"/>
  <c r="B1020" i="44"/>
  <c r="C941" i="44"/>
  <c r="B941" i="44"/>
  <c r="C848" i="44"/>
  <c r="B848" i="44"/>
  <c r="C127" i="44"/>
  <c r="B127" i="44"/>
  <c r="C839" i="44"/>
  <c r="B839" i="44"/>
  <c r="C115" i="44"/>
  <c r="B115" i="44"/>
  <c r="C1000" i="44"/>
  <c r="B1000" i="44"/>
  <c r="C962" i="44"/>
  <c r="B962" i="44"/>
  <c r="B252" i="44"/>
  <c r="B84" i="44"/>
  <c r="B174" i="44"/>
  <c r="B434" i="44"/>
  <c r="B990" i="44"/>
  <c r="B948" i="44"/>
  <c r="B555" i="44"/>
  <c r="B413" i="44"/>
  <c r="B664" i="44"/>
  <c r="C345" i="44"/>
  <c r="B345" i="44"/>
  <c r="C748" i="44"/>
  <c r="B748" i="44"/>
  <c r="C991" i="44"/>
  <c r="B991" i="44"/>
  <c r="C254" i="44"/>
  <c r="B254" i="44"/>
  <c r="B292" i="44"/>
  <c r="B768" i="44"/>
  <c r="B904" i="44"/>
  <c r="B977" i="44"/>
  <c r="B955" i="44"/>
  <c r="B383" i="44"/>
  <c r="B985" i="44"/>
  <c r="B745" i="44"/>
  <c r="B1038" i="44"/>
  <c r="B961" i="44"/>
  <c r="B231" i="44"/>
  <c r="B401" i="44"/>
  <c r="B760" i="44"/>
  <c r="B918" i="44"/>
  <c r="B238" i="44"/>
  <c r="B161" i="44"/>
  <c r="C435" i="44"/>
  <c r="B435" i="44"/>
  <c r="B763" i="44"/>
  <c r="B994" i="44"/>
  <c r="B930" i="44"/>
  <c r="B320" i="44"/>
  <c r="B423" i="44"/>
  <c r="B797" i="44"/>
  <c r="B331" i="44"/>
  <c r="B963" i="44"/>
  <c r="B928" i="44"/>
  <c r="B521" i="44"/>
  <c r="C1022" i="44"/>
  <c r="B1022" i="44"/>
  <c r="C938" i="44"/>
  <c r="B938" i="44"/>
  <c r="C908" i="44"/>
  <c r="B908" i="44"/>
  <c r="B20" i="44"/>
  <c r="B913" i="44"/>
  <c r="B744" i="44"/>
  <c r="B36" i="44"/>
  <c r="B901" i="44"/>
  <c r="B782" i="44"/>
  <c r="B175" i="44"/>
  <c r="B778" i="44"/>
  <c r="B176" i="44"/>
  <c r="B965" i="44"/>
  <c r="B170" i="44"/>
  <c r="B1048" i="44"/>
  <c r="B975" i="44"/>
  <c r="B677" i="44"/>
  <c r="C986" i="44"/>
  <c r="C426" i="44"/>
  <c r="C981" i="44"/>
  <c r="C932" i="44"/>
  <c r="C159" i="44"/>
  <c r="C819" i="44"/>
  <c r="C860" i="44"/>
  <c r="C357" i="44"/>
  <c r="C834" i="44"/>
  <c r="C810" i="44"/>
  <c r="C1019" i="44"/>
  <c r="C535" i="44"/>
  <c r="C923" i="44"/>
  <c r="C412" i="44"/>
  <c r="C896" i="44"/>
  <c r="C1018" i="44"/>
  <c r="C94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<sst xmlns="http://schemas.openxmlformats.org/spreadsheetml/2006/main" count="12155" uniqueCount="3967">
  <si>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</si>
  <si>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</si>
  <si>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</si>
  <si>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</si>
  <si>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</si>
  <si>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</si>
  <si>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</si>
  <si>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</si>
  <si>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</si>
  <si>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</si>
  <si>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</si>
  <si>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</si>
  <si>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</si>
  <si>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</si>
  <si>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</si>
  <si>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</si>
  <si>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</si>
  <si>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</si>
  <si>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</si>
  <si>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</si>
  <si>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</si>
  <si>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</si>
  <si>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</si>
  <si>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</si>
  <si>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</si>
  <si>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</si>
  <si>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</si>
  <si>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</si>
  <si>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</si>
  <si>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</si>
  <si>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</si>
  <si>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</si>
  <si>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</si>
  <si>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</si>
  <si>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</si>
  <si>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</si>
  <si>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</si>
  <si>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</si>
  <si>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</si>
  <si>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</si>
  <si>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</si>
  <si>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</si>
  <si>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</si>
  <si>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</si>
  <si>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</si>
  <si>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</si>
  <si>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</si>
  <si>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</si>
  <si>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</si>
  <si>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</si>
  <si>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</si>
  <si>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</si>
  <si>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</si>
  <si>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</si>
  <si>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</si>
  <si>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</si>
  <si>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</si>
  <si>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</si>
  <si>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</si>
  <si>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</si>
  <si>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</si>
  <si>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</si>
  <si>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</si>
  <si>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</si>
  <si>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</si>
  <si>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</si>
  <si>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</si>
  <si>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</si>
  <si>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</si>
  <si>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</si>
  <si>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</si>
  <si>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</si>
  <si>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</si>
  <si>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</si>
  <si>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</si>
  <si>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</si>
  <si>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</si>
  <si>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</si>
  <si>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</si>
  <si>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</si>
  <si>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</si>
  <si>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</si>
  <si>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</si>
  <si>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</si>
  <si>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</si>
  <si>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</si>
  <si>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</si>
  <si>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</si>
  <si>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</si>
  <si>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</si>
  <si>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</si>
  <si>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</si>
  <si>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</si>
  <si>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</si>
  <si>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</si>
  <si>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</si>
  <si>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</si>
  <si>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</si>
  <si>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</si>
  <si>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</si>
  <si>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</si>
  <si>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</si>
  <si>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</si>
  <si>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</si>
  <si>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</si>
  <si>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</si>
  <si>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</si>
  <si>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</si>
  <si>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</si>
  <si>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</si>
  <si>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</si>
  <si>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</si>
  <si>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</si>
  <si>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</si>
  <si>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</si>
  <si>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</si>
  <si>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</si>
  <si>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</si>
  <si>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</si>
  <si>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</si>
  <si>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</si>
  <si>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</si>
  <si>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</si>
  <si>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</si>
  <si>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</si>
  <si>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</si>
  <si>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</si>
  <si>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</si>
  <si>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</si>
  <si>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</si>
  <si>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</si>
  <si>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</si>
  <si>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</si>
  <si>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</si>
  <si>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</si>
  <si>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</si>
  <si>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</si>
  <si>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</si>
  <si>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</si>
  <si>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</si>
  <si>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</si>
  <si>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</si>
  <si>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</si>
  <si>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</si>
  <si>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</si>
  <si>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</si>
  <si>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</si>
  <si>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</si>
  <si>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</si>
  <si>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</si>
  <si>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</si>
  <si>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</si>
  <si>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</si>
  <si>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</si>
  <si>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</si>
  <si>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</si>
  <si>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</si>
  <si>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</si>
  <si>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</si>
  <si>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</si>
  <si>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</si>
  <si>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</si>
  <si>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</si>
  <si>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</si>
  <si>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</si>
  <si>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</si>
  <si>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</si>
  <si>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</si>
  <si>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</si>
  <si>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</si>
  <si>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</si>
  <si>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</si>
  <si>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</si>
  <si>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</si>
  <si>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</si>
  <si>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</si>
  <si>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</si>
  <si>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</si>
  <si>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</si>
  <si>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</si>
  <si>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</si>
  <si>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</si>
  <si>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</si>
  <si>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</si>
  <si>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</si>
  <si>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</si>
  <si>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</si>
  <si>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</si>
  <si>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</si>
  <si>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</si>
  <si>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</si>
  <si>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</si>
  <si>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</si>
  <si>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</si>
  <si>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</si>
  <si>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</si>
  <si>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</si>
  <si>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</si>
  <si>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</si>
  <si>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</si>
  <si>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</si>
  <si>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</si>
  <si>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</si>
  <si>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</si>
  <si>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</si>
  <si>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</si>
  <si>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</si>
  <si>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</si>
  <si>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</si>
  <si>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</si>
  <si>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</si>
  <si>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</si>
  <si>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</si>
  <si>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</si>
  <si>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</si>
  <si>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</si>
  <si>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</si>
  <si>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</si>
  <si>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</si>
  <si>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</si>
  <si>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</si>
  <si>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</si>
  <si>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</si>
  <si>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</si>
  <si>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</si>
  <si>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</si>
  <si>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</si>
  <si>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</si>
  <si>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</si>
  <si>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DAIANE SANTOS DA CRUZ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</si>
  <si>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</si>
  <si>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</si>
  <si>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</si>
  <si>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</si>
  <si>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</si>
  <si>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</si>
  <si>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</si>
  <si>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</si>
  <si>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</si>
  <si>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</si>
  <si>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</si>
  <si>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</si>
  <si>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</si>
  <si>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</si>
  <si>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</si>
  <si>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</si>
  <si>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</si>
  <si>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</si>
  <si>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</si>
  <si>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</si>
  <si>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</si>
  <si>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</si>
  <si>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</si>
  <si>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</si>
  <si>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</si>
  <si>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</si>
  <si>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</si>
  <si>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</si>
  <si>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</si>
  <si>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</si>
  <si>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</si>
  <si>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</si>
  <si>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</si>
  <si>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</si>
  <si>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</si>
  <si>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</si>
  <si>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</si>
  <si>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</si>
  <si>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</si>
  <si>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</si>
  <si>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</si>
  <si>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</si>
  <si>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</si>
  <si>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</si>
  <si>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</si>
  <si>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</si>
  <si>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</si>
  <si>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</si>
  <si>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</si>
  <si>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</si>
  <si>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</si>
  <si>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</si>
  <si>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</si>
  <si>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</si>
  <si>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</si>
  <si>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</si>
  <si>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</si>
  <si>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</si>
  <si>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</si>
  <si>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</si>
  <si>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</si>
  <si>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</si>
  <si>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</si>
  <si>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</si>
  <si>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</si>
  <si>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</si>
  <si>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</si>
  <si>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</si>
  <si>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</si>
  <si>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</si>
  <si>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</si>
  <si>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</si>
  <si>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</si>
  <si>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</si>
  <si>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</si>
  <si>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</si>
  <si>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</si>
  <si>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</si>
  <si>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</si>
  <si>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</si>
  <si>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</si>
  <si>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</si>
  <si>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</si>
  <si>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</si>
  <si>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</si>
  <si>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</si>
  <si>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</si>
  <si>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</si>
  <si>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</si>
  <si>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ALEXSANDRO GONÇALVES FARIA</t>
  </si>
  <si>
    <t>15/05/2026</t>
  </si>
  <si>
    <t>29/07/2005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</si>
  <si>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</si>
  <si>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</si>
  <si>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</si>
  <si>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</si>
  <si>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</si>
  <si>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</si>
  <si>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</si>
  <si>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</si>
  <si>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</si>
  <si>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</si>
  <si>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</si>
  <si>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</si>
  <si>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</si>
  <si>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</si>
  <si>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</si>
  <si>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</si>
  <si>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</si>
  <si>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</si>
  <si>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03/05/2026</t>
  </si>
  <si>
    <t>22/07/2000</t>
  </si>
  <si>
    <t>11/10/2018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</si>
  <si>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</si>
  <si>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</si>
  <si>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</si>
  <si>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</si>
  <si>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</si>
  <si>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</si>
  <si>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</si>
  <si>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</si>
  <si>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</si>
  <si>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</si>
  <si>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</si>
  <si>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</si>
  <si>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</si>
  <si>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</si>
  <si>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</si>
  <si>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</si>
  <si>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</si>
  <si>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</si>
  <si>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</si>
  <si>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</si>
  <si>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</si>
  <si>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</si>
  <si>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</si>
  <si>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</si>
  <si>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</si>
  <si>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</si>
  <si>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</si>
  <si>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</si>
  <si>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</si>
  <si>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</si>
  <si>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</si>
  <si>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</si>
  <si>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</si>
  <si>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</si>
  <si>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</si>
  <si>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</si>
  <si>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</si>
  <si>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</si>
  <si>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</si>
  <si>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</si>
  <si>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</si>
  <si>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</si>
  <si>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</si>
  <si>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</si>
  <si>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</si>
  <si>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</si>
  <si>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</si>
  <si>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</si>
  <si>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</si>
  <si>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</si>
  <si>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</si>
  <si>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</si>
  <si>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</si>
  <si>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</si>
  <si>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</si>
  <si>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</si>
  <si>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</si>
  <si>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</si>
  <si>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</si>
  <si>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</si>
  <si>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</si>
  <si>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</si>
  <si>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</si>
  <si>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</si>
  <si>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</si>
  <si>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</si>
  <si>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</si>
  <si>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</si>
  <si>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</si>
  <si>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</si>
  <si>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</si>
  <si>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</si>
  <si>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</si>
  <si>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</si>
  <si>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</si>
  <si>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</si>
  <si>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</si>
  <si>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</si>
  <si>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</si>
  <si>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</si>
  <si>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</si>
  <si>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</si>
  <si>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</si>
  <si>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</si>
  <si>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</si>
  <si>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</si>
  <si>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</si>
  <si>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</si>
  <si>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</si>
  <si>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</si>
  <si>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</si>
  <si>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</si>
  <si>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</si>
  <si>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</si>
  <si>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</si>
  <si>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</si>
  <si>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</si>
  <si>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</si>
  <si>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</si>
  <si>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</si>
  <si>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</si>
  <si>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</si>
  <si>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</si>
  <si>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</si>
  <si>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</si>
  <si>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</si>
  <si>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</si>
  <si>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</si>
  <si>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</si>
  <si>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</si>
  <si>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</si>
  <si>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</si>
  <si>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</si>
  <si>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</si>
  <si>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</si>
  <si>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</si>
  <si>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JOSE BUENO DE OLIVEIRA</t>
  </si>
  <si>
    <t>14/05/2026</t>
  </si>
  <si>
    <t>23/12/2008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</si>
  <si>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</si>
  <si>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</si>
  <si>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</si>
  <si>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</si>
  <si>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</si>
  <si>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</si>
  <si>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</si>
  <si>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</si>
  <si>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</si>
  <si>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</si>
  <si>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</si>
  <si>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</si>
  <si>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</si>
  <si>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</si>
  <si>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</si>
  <si>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</si>
  <si>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</si>
  <si>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</si>
  <si>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</si>
  <si>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</si>
  <si>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</si>
  <si>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</si>
  <si>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</si>
  <si>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</si>
  <si>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</si>
  <si>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</si>
  <si>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</si>
  <si>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</si>
  <si>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VICTORIA ROBERT FIGUERA RIVAS</t>
  </si>
  <si>
    <t>08/11/1996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</si>
  <si>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</si>
  <si>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</si>
  <si>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</si>
  <si>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</si>
  <si>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</si>
  <si>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</si>
  <si>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</si>
  <si>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</si>
  <si>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</si>
  <si>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</si>
  <si>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</si>
  <si>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</si>
  <si>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</si>
  <si>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</si>
  <si>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</si>
  <si>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</si>
  <si>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</si>
  <si>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</si>
  <si>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</si>
  <si>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</si>
  <si>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</si>
  <si>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</si>
  <si>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</si>
  <si>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</si>
  <si>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</si>
  <si>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</si>
  <si>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</si>
  <si>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</si>
  <si>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</si>
  <si>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</si>
  <si>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</si>
  <si>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PABLO CAPONI</t>
  </si>
  <si>
    <t>02/03/1987</t>
  </si>
  <si>
    <t>17/04/2026</t>
  </si>
  <si>
    <t>PAMELLA DE JESUS SANT ANNA KUEHN</t>
  </si>
  <si>
    <t>18/05/2026</t>
  </si>
  <si>
    <t>24/01/1999</t>
  </si>
  <si>
    <t>25/04/2026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</si>
  <si>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</si>
  <si>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</si>
  <si>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</si>
  <si>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</si>
  <si>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</si>
  <si>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</si>
  <si>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</si>
  <si>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</si>
  <si>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</si>
  <si>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</si>
  <si>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</si>
  <si>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</si>
  <si>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</si>
  <si>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</si>
  <si>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</si>
  <si>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</si>
  <si>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</si>
  <si>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</si>
  <si>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</si>
  <si>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</si>
  <si>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</si>
  <si>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</si>
  <si>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</si>
  <si>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</si>
  <si>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</si>
  <si>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</si>
  <si>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</si>
  <si>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</si>
  <si>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</si>
  <si>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</si>
  <si>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</si>
  <si>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</si>
  <si>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</si>
  <si>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</si>
  <si>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</si>
  <si>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</si>
  <si>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</si>
  <si>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</si>
  <si>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</si>
  <si>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</si>
  <si>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</si>
  <si>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</si>
  <si>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</si>
  <si>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</si>
  <si>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</si>
  <si>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</si>
  <si>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</si>
  <si>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</si>
  <si>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</si>
  <si>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</si>
  <si>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</si>
  <si>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</si>
  <si>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</si>
  <si>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</si>
  <si>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</si>
  <si>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</si>
  <si>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</si>
  <si>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</si>
  <si>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</si>
  <si>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</si>
  <si>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</si>
  <si>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</si>
  <si>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</si>
  <si>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</si>
  <si>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</si>
  <si>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</si>
  <si>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</si>
  <si>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</si>
  <si>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</si>
  <si>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</si>
  <si>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</si>
  <si>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</si>
  <si>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</si>
  <si>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</si>
  <si>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</si>
  <si>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</si>
  <si>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</si>
  <si>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</si>
  <si>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</si>
  <si>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</si>
  <si>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</si>
  <si>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</si>
  <si>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</si>
  <si>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</si>
  <si>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</si>
  <si>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</si>
  <si>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</si>
  <si>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</si>
  <si>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</si>
  <si>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</si>
  <si>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</si>
  <si>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</si>
  <si>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</si>
  <si>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</si>
  <si>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</si>
  <si>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</si>
  <si>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</si>
  <si>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</si>
  <si>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</si>
  <si>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</si>
  <si>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</si>
  <si>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</si>
  <si>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</si>
  <si>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</si>
  <si>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</si>
  <si>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</si>
  <si>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</si>
  <si>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</si>
  <si>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</si>
  <si>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</si>
  <si>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</si>
  <si>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</si>
  <si>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</si>
  <si>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</si>
  <si>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</si>
  <si>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</si>
  <si>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</si>
  <si>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</si>
  <si>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</si>
  <si>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</si>
  <si>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</si>
  <si>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</si>
  <si>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</si>
  <si>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</si>
  <si>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</si>
  <si>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</si>
  <si>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</si>
  <si>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</si>
  <si>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</si>
  <si>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</si>
  <si>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</si>
  <si>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</si>
  <si>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</si>
  <si>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</si>
  <si>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</si>
  <si>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</si>
  <si>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</si>
  <si>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</si>
  <si>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</si>
  <si>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</si>
  <si>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</si>
  <si>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</si>
  <si>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</si>
  <si>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</si>
  <si>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</si>
  <si>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</si>
  <si>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</si>
  <si>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</si>
  <si>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</si>
  <si>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</si>
  <si>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</si>
  <si>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</si>
  <si>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</si>
  <si>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</si>
  <si>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</si>
  <si>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</si>
  <si>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</si>
  <si>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</si>
  <si>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</si>
  <si>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20/02/1982</t>
  </si>
  <si>
    <t>19/03/2024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</si>
  <si>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</si>
  <si>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</si>
  <si>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</si>
  <si>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</si>
  <si>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</si>
  <si>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</si>
  <si>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</si>
  <si>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</si>
  <si>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</si>
  <si>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</si>
  <si>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</si>
  <si>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</si>
  <si>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</si>
  <si>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</si>
  <si>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</si>
  <si>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</si>
  <si>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</si>
  <si>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</si>
  <si>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</si>
  <si>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</si>
  <si>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</si>
  <si>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</si>
  <si>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</si>
  <si>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</si>
  <si>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</si>
  <si>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</si>
  <si>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</si>
  <si>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</si>
  <si>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</si>
  <si>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</si>
  <si>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</si>
  <si>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</si>
  <si>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</si>
  <si>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</si>
  <si>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</si>
  <si>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</si>
  <si>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</si>
  <si>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</si>
  <si>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</si>
  <si>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</si>
  <si>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</si>
  <si>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</si>
  <si>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</si>
  <si>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</si>
  <si>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</si>
  <si>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</si>
  <si>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</si>
  <si>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</si>
  <si>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</si>
  <si>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</si>
  <si>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</si>
  <si>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</si>
  <si>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</si>
  <si>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</si>
  <si>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</si>
  <si>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</si>
  <si>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</si>
  <si>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</si>
  <si>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</si>
  <si>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</si>
  <si>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</si>
  <si>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</si>
  <si>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</si>
  <si>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</si>
  <si>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</si>
  <si>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</si>
  <si>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</si>
  <si>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</si>
  <si>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</si>
  <si>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</si>
  <si>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</si>
  <si>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</si>
  <si>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</si>
  <si>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</si>
  <si>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</si>
  <si>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</si>
  <si>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</si>
  <si>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</si>
  <si>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</si>
  <si>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</si>
  <si>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</si>
  <si>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</si>
  <si>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</si>
  <si>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</si>
  <si>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</si>
  <si>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</si>
  <si>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</si>
  <si>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JOSE CICERO BARBOSA DA SILVA</t>
  </si>
  <si>
    <t>20/05/1984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</si>
  <si>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</si>
  <si>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</si>
  <si>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</si>
  <si>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</si>
  <si>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</si>
  <si>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</si>
  <si>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VITOR FERREIRA</t>
  </si>
  <si>
    <t>13/03/1952</t>
  </si>
  <si>
    <t>FELIPE CIRQUEIRA TUASCO</t>
  </si>
  <si>
    <t>26/02/2026</t>
  </si>
  <si>
    <t>27/08/2007</t>
  </si>
  <si>
    <t>09/09/2025</t>
  </si>
  <si>
    <t>1.2.1.1.4.2.3</t>
  </si>
  <si>
    <t>BALCONISTA DE ACOUGUE - PEREC E FIAMB - LOJA 2</t>
  </si>
  <si>
    <t>00010000030103</t>
  </si>
  <si>
    <t>MARLON DE MORAES PRONIEWICZ</t>
  </si>
  <si>
    <t>08/06/1994</t>
  </si>
  <si>
    <t>20/04/2026</t>
  </si>
  <si>
    <t>GISLAINE APARECIDA RAMOS</t>
  </si>
  <si>
    <t>SG-SB 06:00-10:00 12:00-15:20</t>
  </si>
  <si>
    <t>11/04/1993</t>
  </si>
  <si>
    <t>09/05/2026</t>
  </si>
  <si>
    <t>ACOUGUEIRO (A) DESOSSADOR - PEREC E FIAMB - LOJA 2</t>
  </si>
  <si>
    <t>IGOR COSTA FIGUEIREDO</t>
  </si>
  <si>
    <t>26/06/2006</t>
  </si>
  <si>
    <t>07/04/2025</t>
  </si>
  <si>
    <t>PAULO ROBERTO TELES FERNANDES</t>
  </si>
  <si>
    <t>02/04/1970</t>
  </si>
  <si>
    <t>05/12/2025</t>
  </si>
  <si>
    <t>KAIO RAFAEL VIDAL</t>
  </si>
  <si>
    <t>16/08/1994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</si>
  <si>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</si>
  <si>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</si>
  <si>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</si>
  <si>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</si>
  <si>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</si>
  <si>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</si>
  <si>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CLAUDIO HENRIQUE DIAS DE ALMEIDA</t>
  </si>
  <si>
    <t>06/10/2003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</si>
  <si>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</si>
  <si>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</si>
  <si>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</si>
  <si>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</si>
  <si>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</si>
  <si>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</si>
  <si>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</si>
  <si>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MATHEUS HENRIQUE PEREIRA GIMENES</t>
  </si>
  <si>
    <t>17/08/2000</t>
  </si>
  <si>
    <t>10/03/2025</t>
  </si>
  <si>
    <t>1.2.1.1.5.1</t>
  </si>
  <si>
    <t>GERENTE DE RECEBIMENTO E EXPEDICAO DE MERCADORIAS - LOJA 2</t>
  </si>
  <si>
    <t>000100000400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</si>
  <si>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</si>
  <si>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</si>
  <si>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</si>
  <si>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</si>
  <si>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</si>
  <si>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</si>
  <si>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MARCOS ANTONIO FERNANDES DE LIMA</t>
  </si>
  <si>
    <t>SG-SB 10:00-14:00 16:00-19:20</t>
  </si>
  <si>
    <t>12/05/2026</t>
  </si>
  <si>
    <t>02/04/1967</t>
  </si>
  <si>
    <t>10/05/2024</t>
  </si>
  <si>
    <t>MARIA ROSENIL DA SILVA MARYNOWSKI</t>
  </si>
  <si>
    <t>26/06/1956</t>
  </si>
  <si>
    <t>12/11/2024</t>
  </si>
  <si>
    <t>1.2.1.1.2.1.1</t>
  </si>
  <si>
    <t>EMPACOTADOR - FRENTE DE CAIXA - LOJA 2</t>
  </si>
  <si>
    <t>00010000010001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</si>
  <si>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</si>
  <si>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</si>
  <si>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</si>
  <si>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</si>
  <si>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</si>
  <si>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</si>
  <si>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</si>
  <si>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</si>
  <si>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</si>
  <si>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</si>
  <si>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</si>
  <si>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</si>
  <si>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</si>
  <si>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</si>
  <si>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</si>
  <si>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</si>
  <si>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</si>
  <si>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</si>
  <si>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</si>
  <si>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</si>
  <si>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</si>
  <si>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</si>
  <si>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</si>
  <si>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</si>
  <si>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</si>
  <si>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</si>
  <si>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</si>
  <si>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</si>
  <si>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</si>
  <si>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</si>
  <si>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</si>
  <si>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</si>
  <si>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</si>
  <si>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</si>
  <si>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</si>
  <si>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</si>
  <si>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</si>
  <si>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</si>
  <si>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</si>
  <si>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</si>
  <si>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</si>
  <si>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</si>
  <si>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</si>
  <si>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</si>
  <si>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</si>
  <si>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</si>
  <si>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</si>
  <si>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</si>
  <si>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</si>
  <si>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</si>
  <si>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</si>
  <si>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</si>
  <si>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</si>
  <si>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</si>
  <si>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</si>
  <si>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</si>
  <si>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</si>
  <si>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</si>
  <si>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REBECA DA SILVA DE AGUIAR</t>
  </si>
  <si>
    <t>21/04/2006</t>
  </si>
  <si>
    <t>15/09/2025</t>
  </si>
  <si>
    <t>BALCONISTA - FRIOS - LOJA 2</t>
  </si>
  <si>
    <t>KARINI DE ALMEIDA</t>
  </si>
  <si>
    <t>09/09/1982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</si>
  <si>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</si>
  <si>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</si>
  <si>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</si>
  <si>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</si>
  <si>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</si>
  <si>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</si>
  <si>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</si>
  <si>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</si>
  <si>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</si>
  <si>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</si>
  <si>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</si>
  <si>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</si>
  <si>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</si>
  <si>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ADNILSON GOUVEIA</t>
  </si>
  <si>
    <t>02/09/1969</t>
  </si>
  <si>
    <t>REPOSITOR - HORTIFRUTI - LOJA 2</t>
  </si>
  <si>
    <t>ALMIR JOSE GONCALVES</t>
  </si>
  <si>
    <t>07/10/1960</t>
  </si>
  <si>
    <t>11/11/2024</t>
  </si>
  <si>
    <t>JOAO LUCAS RODRIGUES COLOGNESE</t>
  </si>
  <si>
    <t>08/05/2026</t>
  </si>
  <si>
    <t>21/10/2007</t>
  </si>
  <si>
    <t>SERGIO HENRIQUE DE SOUZA</t>
  </si>
  <si>
    <t>15/11/1974</t>
  </si>
  <si>
    <t>12/03/2026</t>
  </si>
  <si>
    <t>JOSIANE DE SOUZA</t>
  </si>
  <si>
    <t>SG,QA-SB 11-20:20 TR 10-19:20</t>
  </si>
  <si>
    <t>20/11/2018</t>
  </si>
  <si>
    <t>27/03/1986</t>
  </si>
  <si>
    <t>01/06/2015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</si>
  <si>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</si>
  <si>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</si>
  <si>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</si>
  <si>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</si>
  <si>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</si>
  <si>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</si>
  <si>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</si>
  <si>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</si>
  <si>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</si>
  <si>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</si>
  <si>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</si>
  <si>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</si>
  <si>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</si>
  <si>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</si>
  <si>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</si>
  <si>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</si>
  <si>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</si>
  <si>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</si>
  <si>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</si>
  <si>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</si>
  <si>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</si>
  <si>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</si>
  <si>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</si>
  <si>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</si>
  <si>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</si>
  <si>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</si>
  <si>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</si>
  <si>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</si>
  <si>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EMANUELA RAISSA PINATTI MALTA</t>
  </si>
  <si>
    <t>15/03/2011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</si>
  <si>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</si>
  <si>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</si>
  <si>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</si>
  <si>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</si>
  <si>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</si>
  <si>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</si>
  <si>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</si>
  <si>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</si>
  <si>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</si>
  <si>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</si>
  <si>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</si>
  <si>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FELIPE DOS SANTOS DE ARAUJO</t>
  </si>
  <si>
    <t>03/08/2001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</si>
  <si>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</si>
  <si>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</si>
  <si>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</si>
  <si>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</si>
  <si>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</si>
  <si>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</si>
  <si>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</si>
  <si>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</si>
  <si>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</si>
  <si>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EMANUEL TELES</t>
  </si>
  <si>
    <t>24/12/1959</t>
  </si>
  <si>
    <t>REPOSITOR (A) - LOJA - LOJA 2</t>
  </si>
  <si>
    <t>FELIPE PRYJMAK MAZIERO</t>
  </si>
  <si>
    <t>10/05/2026</t>
  </si>
  <si>
    <t>30/05/2008</t>
  </si>
  <si>
    <t>JEFERSON BERTONCIN DE LIMA</t>
  </si>
  <si>
    <t>07/03/1976</t>
  </si>
  <si>
    <t>JOAO PAULO DA SILVA MOURA</t>
  </si>
  <si>
    <t>29/01/2008</t>
  </si>
  <si>
    <t>12/02/2026</t>
  </si>
  <si>
    <t>JULIO CEZAR FERREIRA DA COSTA SILVA</t>
  </si>
  <si>
    <t>08/07/2008</t>
  </si>
  <si>
    <t>21/10/2025</t>
  </si>
  <si>
    <t>LETICIA DE JESUS PAULINO</t>
  </si>
  <si>
    <t>21/02/1985</t>
  </si>
  <si>
    <t>PEDRO HENRIQUE NOGUEIRA STRUETT</t>
  </si>
  <si>
    <t>28/01/2009</t>
  </si>
  <si>
    <t>ROSIVALDO RIBEIRO</t>
  </si>
  <si>
    <t>30/01/2010</t>
  </si>
  <si>
    <t>WALLACE ROCHA MOREIRA DE LIMA</t>
  </si>
  <si>
    <t>10/07/2009</t>
  </si>
  <si>
    <t>CRISTIANO VALLE AFONSO</t>
  </si>
  <si>
    <t>07/12/1976</t>
  </si>
  <si>
    <t>09/04/2025</t>
  </si>
  <si>
    <t>ADERILZA DE SOUZA SILVA</t>
  </si>
  <si>
    <t>16/02/1981</t>
  </si>
  <si>
    <t>24/05/2022</t>
  </si>
  <si>
    <t>01.02.01.07.01.01.01</t>
  </si>
  <si>
    <t>AUXILIAR DE CONFEITARIA</t>
  </si>
  <si>
    <t>00010007000000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</si>
  <si>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</si>
  <si>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</si>
  <si>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</si>
  <si>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</si>
  <si>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</si>
  <si>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</si>
  <si>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</si>
  <si>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</si>
  <si>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</si>
  <si>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</si>
  <si>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</si>
  <si>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</si>
  <si>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</si>
  <si>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</si>
  <si>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</si>
  <si>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</si>
  <si>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</si>
  <si>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DANIELA ALVES MENDES</t>
  </si>
  <si>
    <t>29/05/1981</t>
  </si>
  <si>
    <t>AUXILIAR DE PRODUCAO DE ALIMENTOS - LOJA 2</t>
  </si>
  <si>
    <t>RICIELI ANA MENEGUZZI</t>
  </si>
  <si>
    <t>25/03/1986</t>
  </si>
  <si>
    <t>23/03/2026</t>
  </si>
  <si>
    <t>BALCONISTA - PROD DE ALM - LOJA 2</t>
  </si>
  <si>
    <t>TAIS BERNABE SARMENTO</t>
  </si>
  <si>
    <t>08/08/1996</t>
  </si>
  <si>
    <t>VITOR HUGO SANTOS DE SA</t>
  </si>
  <si>
    <t>09/02/1999</t>
  </si>
  <si>
    <t>24/04/2026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</si>
  <si>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</si>
  <si>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</si>
  <si>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</si>
  <si>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</si>
  <si>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</si>
  <si>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</si>
  <si>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BRUNA CAROLINE MASCHETO DOS SANTOS</t>
  </si>
  <si>
    <t>23/12/1994</t>
  </si>
  <si>
    <t>19/11/2025</t>
  </si>
  <si>
    <t>1.2.1.1.4.1.0</t>
  </si>
  <si>
    <t>ENC DE PROD DE ALIMENTOS - LOJA 2</t>
  </si>
  <si>
    <t>00010000030000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</si>
  <si>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</si>
  <si>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</si>
  <si>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</si>
  <si>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</si>
  <si>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</si>
  <si>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</si>
  <si>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SERGIO DIEGO JORDAO LAGE</t>
  </si>
  <si>
    <t>13/06/1985</t>
  </si>
  <si>
    <t>PADEIRO - PROD DE ALM - LOJA 2</t>
  </si>
  <si>
    <t>VICTOR HUGO SANTI DO NASCIMENTO</t>
  </si>
  <si>
    <t>17/09/1993</t>
  </si>
  <si>
    <t>ADAO GUIMARAES SANTOS</t>
  </si>
  <si>
    <t>SG-SB 07:50-12:00 14:00-17:10</t>
  </si>
  <si>
    <t>26/05/1951</t>
  </si>
  <si>
    <t>PORTEIRO(A)- PORTARIA</t>
  </si>
  <si>
    <t>ELIAS DE SA JUNIOR</t>
  </si>
  <si>
    <t>18/10/1993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</si>
  <si>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</si>
  <si>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</si>
  <si>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</si>
  <si>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</si>
  <si>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</si>
  <si>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</si>
  <si>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</si>
  <si>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</si>
  <si>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</si>
  <si>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</si>
  <si>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</si>
  <si>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</si>
  <si>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</si>
  <si>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</si>
  <si>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</si>
  <si>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</si>
  <si>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DANIEL SILVA DE SANTANA</t>
  </si>
  <si>
    <t>26/10/2007</t>
  </si>
  <si>
    <t>1.3.1.1.4.2.3</t>
  </si>
  <si>
    <t>00020000030103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</si>
  <si>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</si>
  <si>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</si>
  <si>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</si>
  <si>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</si>
  <si>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</si>
  <si>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</si>
  <si>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</si>
  <si>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</si>
  <si>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</si>
  <si>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</si>
  <si>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</si>
  <si>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</si>
  <si>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</si>
  <si>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</si>
  <si>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</si>
  <si>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VINICIUS GABRIEL LEITE</t>
  </si>
  <si>
    <t>07/01/2002</t>
  </si>
  <si>
    <t>1.3.1.1.4.2.2</t>
  </si>
  <si>
    <t>00020000030102</t>
  </si>
  <si>
    <t>JACKSON ALBERTO MARCAL</t>
  </si>
  <si>
    <t>30/06/1988</t>
  </si>
  <si>
    <t>1.3.1.1.4.2.0</t>
  </si>
  <si>
    <t>ENCARREGADO (A) DE AÇOUGUE - LOJA 3</t>
  </si>
  <si>
    <t>00020000030100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</si>
  <si>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</si>
  <si>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</si>
  <si>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</si>
  <si>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</si>
  <si>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</si>
  <si>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</si>
  <si>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</si>
  <si>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</si>
  <si>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</si>
  <si>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</si>
  <si>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</si>
  <si>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</si>
  <si>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</si>
  <si>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</si>
  <si>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</si>
  <si>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</si>
  <si>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</si>
  <si>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</si>
  <si>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</si>
  <si>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</si>
  <si>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MATHEUS SANTOS MOURA</t>
  </si>
  <si>
    <t>07/02/1998</t>
  </si>
  <si>
    <t>15/07/2025</t>
  </si>
  <si>
    <t>1.3.1.1.5.1</t>
  </si>
  <si>
    <t>GERENTE DE RECEBIMENTO E EXPEDICAO DE MERCADORIAS - LOJA 3</t>
  </si>
  <si>
    <t>000200000400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</si>
  <si>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</si>
  <si>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</si>
  <si>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</si>
  <si>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</si>
  <si>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</si>
  <si>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</si>
  <si>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</si>
  <si>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</si>
  <si>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</si>
  <si>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</si>
  <si>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</si>
  <si>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</si>
  <si>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</si>
  <si>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</si>
  <si>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</si>
  <si>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MARIA ELOIZA DA SILVA SANTANA</t>
  </si>
  <si>
    <t>25/05/2026</t>
  </si>
  <si>
    <t>16/02/2003</t>
  </si>
  <si>
    <t>09/03/2021</t>
  </si>
  <si>
    <t>NEUZA MARIA BUENO DE LIMA</t>
  </si>
  <si>
    <t>19/11/1979</t>
  </si>
  <si>
    <t>ANA CLAUDIA DA SILVA DELFINO</t>
  </si>
  <si>
    <t>12/04/2008</t>
  </si>
  <si>
    <t>00010003010001</t>
  </si>
  <si>
    <t>ANNA JULHIA CARVALHO DE SANTANA</t>
  </si>
  <si>
    <t>23/01/2008</t>
  </si>
  <si>
    <t>07/11/2025</t>
  </si>
  <si>
    <t>ARTHUR HENRIQUE DE OLIVEIRA</t>
  </si>
  <si>
    <t>12/02/2009</t>
  </si>
  <si>
    <t>EMANUELLY GOMES PACHECO</t>
  </si>
  <si>
    <t>30/09/2007</t>
  </si>
  <si>
    <t>09/10/2024</t>
  </si>
  <si>
    <t>GUSTAVO HENRIQUE VIEIRA GONÇALVES</t>
  </si>
  <si>
    <t>30/05/2007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</si>
  <si>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</si>
  <si>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</si>
  <si>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</si>
  <si>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</si>
  <si>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</si>
  <si>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</si>
  <si>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</si>
  <si>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</si>
  <si>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</si>
  <si>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</si>
  <si>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MELISSA GOUVEIA MARQUES</t>
  </si>
  <si>
    <t>02/05/2002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</si>
  <si>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</si>
  <si>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</si>
  <si>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</si>
  <si>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</si>
  <si>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</si>
  <si>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</si>
  <si>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</si>
  <si>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</si>
  <si>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</si>
  <si>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</si>
  <si>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</si>
  <si>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</si>
  <si>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</si>
  <si>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</si>
  <si>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</si>
  <si>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</si>
  <si>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</si>
  <si>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</si>
  <si>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</si>
  <si>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</si>
  <si>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</si>
  <si>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</si>
  <si>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</si>
  <si>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</si>
  <si>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</si>
  <si>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</si>
  <si>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</si>
  <si>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</si>
  <si>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</si>
  <si>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</si>
  <si>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</si>
  <si>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FABIO JUNIO SIAM</t>
  </si>
  <si>
    <t>20/07/1991</t>
  </si>
  <si>
    <t>21/11/2024</t>
  </si>
  <si>
    <t>1.3.1.1.3.2</t>
  </si>
  <si>
    <t>GERENTE DE HORTIFRUTI - LOJA 3</t>
  </si>
  <si>
    <t>000200000201</t>
  </si>
  <si>
    <t>ARISTIDES DE OLIVEIRA</t>
  </si>
  <si>
    <t>04/12/1949</t>
  </si>
  <si>
    <t>16/01/2026</t>
  </si>
  <si>
    <t>1.3.1.1.3.2.1</t>
  </si>
  <si>
    <t>REPOSITOR - HORTIFRUTI - LOJA 3</t>
  </si>
  <si>
    <t>00020000020101</t>
  </si>
  <si>
    <t>ELIANA DE CAMPOS OLIVEIRA</t>
  </si>
  <si>
    <t>24/05/1977</t>
  </si>
  <si>
    <t>GABRIEL MATHEUS COLANZI DA SILVA</t>
  </si>
  <si>
    <t>01/05/2008</t>
  </si>
  <si>
    <t>SIRLENE DE CARVALHO</t>
  </si>
  <si>
    <t>10/06/1978</t>
  </si>
  <si>
    <t>15/04/2025</t>
  </si>
  <si>
    <t>MARIA ELZA GOMES</t>
  </si>
  <si>
    <t>SG-SB 07:30-11:30 13:30-16:50</t>
  </si>
  <si>
    <t>07/10/2013</t>
  </si>
  <si>
    <t>07/12/1953</t>
  </si>
  <si>
    <t>26/03/2009</t>
  </si>
  <si>
    <t>ANGELA MARIA DA SILVA</t>
  </si>
  <si>
    <t>22/12/1977</t>
  </si>
  <si>
    <t>18/02/2025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</si>
  <si>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</si>
  <si>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</si>
  <si>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</si>
  <si>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</si>
  <si>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</si>
  <si>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</si>
  <si>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CHRISTOPHER RIAN COSTA DA SILVA</t>
  </si>
  <si>
    <t>29/06/2010</t>
  </si>
  <si>
    <t>1.3.1.1.3.1.3</t>
  </si>
  <si>
    <t>APRENDIZ -LOJA - LOJA 3</t>
  </si>
  <si>
    <t>00020000020003</t>
  </si>
  <si>
    <t>SAMUEL VITOR PANCIONI SOARES</t>
  </si>
  <si>
    <t>20/11/2009</t>
  </si>
  <si>
    <t>YARA REBECA KRUGER CAIRES</t>
  </si>
  <si>
    <t>19/12/2011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</si>
  <si>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</si>
  <si>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</si>
  <si>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</si>
  <si>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</si>
  <si>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</si>
  <si>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</si>
  <si>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</si>
  <si>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</si>
  <si>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</si>
  <si>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</si>
  <si>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</si>
  <si>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</si>
  <si>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</si>
  <si>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24/03/1990</t>
  </si>
  <si>
    <t>09/05/2024</t>
  </si>
  <si>
    <t>ARTHUR JORGE PALMOCENA BODOT</t>
  </si>
  <si>
    <t>27/05/2008</t>
  </si>
  <si>
    <t>1.3.1.1.3.1.1</t>
  </si>
  <si>
    <t>REPOSITOR (A) - LOJA - LOJA 3</t>
  </si>
  <si>
    <t>00020000020001</t>
  </si>
  <si>
    <t>DANIEL DE SOUZA DOS SANTOS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</si>
  <si>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</si>
  <si>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</si>
  <si>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</si>
  <si>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</si>
  <si>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</si>
  <si>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</si>
  <si>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</si>
  <si>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</si>
  <si>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KAUA MACIEL PRATES GUEDES</t>
  </si>
  <si>
    <t>21/04/2008</t>
  </si>
  <si>
    <t>06/05/2025</t>
  </si>
  <si>
    <t>LUCAS HENRIQUE FERREIRA DA SILVA</t>
  </si>
  <si>
    <t>22/08/2003</t>
  </si>
  <si>
    <t>WANDO DE SOUZA MARTINS</t>
  </si>
  <si>
    <t>13/05/1997</t>
  </si>
  <si>
    <t>1.3.1.1.1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</si>
  <si>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</si>
  <si>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</si>
  <si>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</si>
  <si>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</si>
  <si>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</si>
  <si>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</si>
  <si>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</si>
  <si>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</si>
  <si>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</si>
  <si>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</si>
  <si>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JULIANA DE CAMPOS DE OLIVEIRA</t>
  </si>
  <si>
    <t>19/08/2006</t>
  </si>
  <si>
    <t>1.3.1.1.4.1.7</t>
  </si>
  <si>
    <t>00020000030007</t>
  </si>
  <si>
    <t>JESSICA ELAINE MARTINS MENDONCA</t>
  </si>
  <si>
    <t>03/12/1991</t>
  </si>
  <si>
    <t>11/10/2024</t>
  </si>
  <si>
    <t>1.3.1.1.4.1</t>
  </si>
  <si>
    <t>GERENTE DE PRODUCAO DE ALIMENTOS - LOJA 3</t>
  </si>
  <si>
    <t>000200000300</t>
  </si>
  <si>
    <t>ISMAEL DOURADO DE ALMEIDA</t>
  </si>
  <si>
    <t>29/03/1967</t>
  </si>
  <si>
    <t>04/12/2024</t>
  </si>
  <si>
    <t>1.3.1.1.4.1.5</t>
  </si>
  <si>
    <t>FORNEIRO - PROD DE ALM - LOJA 3</t>
  </si>
  <si>
    <t>00020000030005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</si>
  <si>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</si>
  <si>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</si>
  <si>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</si>
  <si>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</si>
  <si>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</si>
  <si>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</si>
  <si>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</si>
  <si>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</si>
  <si>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</si>
  <si>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</si>
  <si>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</si>
  <si>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</si>
  <si>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</si>
  <si>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</si>
  <si>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</si>
  <si>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</si>
  <si>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</si>
  <si>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</si>
  <si>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</si>
  <si>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</si>
  <si>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</si>
  <si>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</si>
  <si>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</si>
  <si>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ENCARREGADO (A) DE AÇOUGUE - LOJA 4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</si>
  <si>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</si>
  <si>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</si>
  <si>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</si>
  <si>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</si>
  <si>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</si>
  <si>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</si>
  <si>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</si>
  <si>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</si>
  <si>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</si>
  <si>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</si>
  <si>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</si>
  <si>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</si>
  <si>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</si>
  <si>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</si>
  <si>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</si>
  <si>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</si>
  <si>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</si>
  <si>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</si>
  <si>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</si>
  <si>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</si>
  <si>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</si>
  <si>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</si>
  <si>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</si>
  <si>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</si>
  <si>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</si>
  <si>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</si>
  <si>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</si>
  <si>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</si>
  <si>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</si>
  <si>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</si>
  <si>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</si>
  <si>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</si>
  <si>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</si>
  <si>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</si>
  <si>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</si>
  <si>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</si>
  <si>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</si>
  <si>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</si>
  <si>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</si>
  <si>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</si>
  <si>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</si>
  <si>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</si>
  <si>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</si>
  <si>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GABRIELLE TAMIRES DA SILVA BATISTA</t>
  </si>
  <si>
    <t>25/08/2003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</si>
  <si>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</si>
  <si>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</si>
  <si>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</si>
  <si>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</si>
  <si>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</si>
  <si>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</si>
  <si>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</si>
  <si>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</si>
  <si>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</si>
  <si>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</si>
  <si>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THIAGO GOMES FOGAÇA</t>
  </si>
  <si>
    <t>20/02/2009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</si>
  <si>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</si>
  <si>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</si>
  <si>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</si>
  <si>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</si>
  <si>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</si>
  <si>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</si>
  <si>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</si>
  <si>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</si>
  <si>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</si>
  <si>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</si>
  <si>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</si>
  <si>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</si>
  <si>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</si>
  <si>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</si>
  <si>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</si>
  <si>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</si>
  <si>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</si>
  <si>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</si>
  <si>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</si>
  <si>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</si>
  <si>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</si>
  <si>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</si>
  <si>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</si>
  <si>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</si>
  <si>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</si>
  <si>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</si>
  <si>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</si>
  <si>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</si>
  <si>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</si>
  <si>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</si>
  <si>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</si>
  <si>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</si>
  <si>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</si>
  <si>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</si>
  <si>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</si>
  <si>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</si>
  <si>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</si>
  <si>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</si>
  <si>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</si>
  <si>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</si>
  <si>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</si>
  <si>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</si>
  <si>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</si>
  <si>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</si>
  <si>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</si>
  <si>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</si>
  <si>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</si>
  <si>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</si>
  <si>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</si>
  <si>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</si>
  <si>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</si>
  <si>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</si>
  <si>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</si>
  <si>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</si>
  <si>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</si>
  <si>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</si>
  <si>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</si>
  <si>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</si>
  <si>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</si>
  <si>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</si>
  <si>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</si>
  <si>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</si>
  <si>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</si>
  <si>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</si>
  <si>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</si>
  <si>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31/07/1986</t>
  </si>
  <si>
    <t>19/03/2025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</si>
  <si>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</si>
  <si>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</si>
  <si>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</si>
  <si>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</si>
  <si>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</si>
  <si>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</si>
  <si>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</si>
  <si>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</si>
  <si>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</si>
  <si>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</si>
  <si>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</si>
  <si>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</si>
  <si>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</si>
  <si>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</si>
  <si>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</si>
  <si>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</si>
  <si>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</si>
  <si>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</si>
  <si>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</si>
  <si>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</si>
  <si>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</si>
  <si>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</si>
  <si>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</si>
  <si>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</si>
  <si>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</si>
  <si>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</si>
  <si>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</si>
  <si>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</si>
  <si>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</si>
  <si>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</si>
  <si>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</si>
  <si>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</si>
  <si>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</si>
  <si>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</si>
  <si>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</si>
  <si>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</si>
  <si>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</si>
  <si>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</si>
  <si>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</si>
  <si>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</si>
  <si>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</si>
  <si>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</si>
  <si>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</si>
  <si>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</si>
  <si>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</si>
  <si>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</si>
  <si>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</si>
  <si>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</si>
  <si>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</si>
  <si>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</si>
  <si>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</si>
  <si>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</si>
  <si>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</si>
  <si>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</si>
  <si>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</si>
  <si>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</si>
  <si>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</si>
  <si>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</si>
  <si>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</si>
  <si>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</si>
  <si>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</si>
  <si>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</si>
  <si>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</si>
  <si>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</si>
  <si>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</si>
  <si>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</si>
  <si>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</si>
  <si>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</si>
  <si>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</si>
  <si>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</si>
  <si>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</si>
  <si>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</si>
  <si>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</si>
  <si>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</si>
  <si>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</si>
  <si>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</si>
  <si>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</si>
  <si>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</si>
  <si>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</si>
  <si>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</si>
  <si>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</si>
  <si>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</si>
  <si>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</si>
  <si>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</si>
  <si>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</si>
  <si>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</si>
  <si>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</si>
  <si>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</si>
  <si>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</si>
  <si>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</si>
  <si>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</si>
  <si>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</si>
  <si>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</si>
  <si>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</si>
  <si>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</si>
  <si>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</si>
  <si>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</si>
  <si>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</si>
  <si>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</si>
  <si>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</si>
  <si>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</si>
  <si>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</si>
  <si>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</si>
  <si>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</si>
  <si>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</si>
  <si>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</si>
  <si>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</si>
  <si>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</si>
  <si>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</si>
  <si>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</si>
  <si>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</si>
  <si>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</si>
  <si>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</si>
  <si>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</si>
  <si>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</si>
  <si>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</si>
  <si>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</si>
  <si>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</si>
  <si>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</si>
  <si>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</si>
  <si>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</si>
  <si>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</si>
  <si>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</si>
  <si>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</si>
  <si>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</si>
  <si>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</si>
  <si>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</si>
  <si>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</si>
  <si>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</si>
  <si>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</si>
  <si>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</si>
  <si>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</si>
  <si>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</si>
  <si>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</si>
  <si>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</si>
  <si>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</si>
  <si>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</si>
  <si>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</si>
  <si>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</si>
  <si>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</si>
  <si>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</si>
  <si>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</si>
  <si>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</si>
  <si>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GIOVANNA ELIS DE ASSUNCAO E OLIVEIRA</t>
  </si>
  <si>
    <t>19/12/2005</t>
  </si>
  <si>
    <t>11/06/2025</t>
  </si>
  <si>
    <t>KENYA DA SILVA ROSA</t>
  </si>
  <si>
    <t>21/04/2002</t>
  </si>
  <si>
    <t>KEVIN ALFONZO ZUNIGA AVILA</t>
  </si>
  <si>
    <t>06/05/2026</t>
  </si>
  <si>
    <t>03/09/2002</t>
  </si>
  <si>
    <t>06/02/2026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</si>
  <si>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</si>
  <si>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</si>
  <si>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</si>
  <si>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</si>
  <si>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</si>
  <si>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</si>
  <si>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</si>
  <si>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</si>
  <si>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</si>
  <si>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</si>
  <si>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</si>
  <si>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</si>
  <si>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</si>
  <si>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</si>
  <si>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</si>
  <si>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</si>
  <si>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</si>
  <si>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</si>
  <si>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</si>
  <si>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</si>
  <si>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</si>
  <si>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</si>
  <si>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</si>
  <si>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</si>
  <si>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</si>
  <si>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</si>
  <si>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</si>
  <si>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</si>
  <si>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</si>
  <si>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</si>
  <si>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</si>
  <si>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</si>
  <si>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</si>
  <si>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</si>
  <si>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</si>
  <si>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</si>
  <si>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</si>
  <si>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</si>
  <si>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</si>
  <si>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</si>
  <si>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</si>
  <si>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</si>
  <si>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</si>
  <si>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</si>
  <si>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</si>
  <si>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</si>
  <si>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</si>
  <si>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</si>
  <si>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</si>
  <si>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</si>
  <si>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</si>
  <si>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</si>
  <si>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</si>
  <si>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</si>
  <si>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</si>
  <si>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</si>
  <si>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</si>
  <si>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</si>
  <si>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</si>
  <si>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</si>
  <si>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</si>
  <si>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</si>
  <si>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</si>
  <si>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</si>
  <si>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</si>
  <si>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</si>
  <si>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</si>
  <si>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</si>
  <si>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</si>
  <si>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</si>
  <si>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</si>
  <si>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</si>
  <si>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</si>
  <si>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</si>
  <si>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</si>
  <si>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</si>
  <si>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</si>
  <si>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</si>
  <si>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</si>
  <si>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</si>
  <si>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</si>
  <si>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</si>
  <si>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</si>
  <si>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</si>
  <si>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</si>
  <si>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</si>
  <si>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</si>
  <si>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</si>
  <si>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</si>
  <si>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</si>
  <si>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</si>
  <si>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</si>
  <si>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</si>
  <si>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</si>
  <si>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</si>
  <si>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</si>
  <si>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</si>
  <si>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</si>
  <si>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</si>
  <si>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</si>
  <si>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</si>
  <si>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</si>
  <si>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</si>
  <si>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</si>
  <si>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</si>
  <si>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</si>
  <si>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</si>
  <si>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13/12/2024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</si>
  <si>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</si>
  <si>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</si>
  <si>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</si>
  <si>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</si>
  <si>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</si>
  <si>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</si>
  <si>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</si>
  <si>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</si>
  <si>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</si>
  <si>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</si>
  <si>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</si>
  <si>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</si>
  <si>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</si>
  <si>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</si>
  <si>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</si>
  <si>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</si>
  <si>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</si>
  <si>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</si>
  <si>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</si>
  <si>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</si>
  <si>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</si>
  <si>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</si>
  <si>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</si>
  <si>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</si>
  <si>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</si>
  <si>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</si>
  <si>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</si>
  <si>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</si>
  <si>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</si>
  <si>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05.02.01.07.01.01.01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</si>
  <si>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</si>
  <si>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</si>
  <si>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</si>
  <si>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</si>
  <si>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</si>
  <si>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</si>
  <si>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</si>
  <si>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</si>
  <si>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</si>
  <si>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</si>
  <si>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</si>
  <si>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</si>
  <si>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</si>
  <si>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</si>
  <si>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</si>
  <si>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</si>
  <si>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</si>
  <si>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</si>
  <si>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</si>
  <si>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</si>
  <si>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</si>
  <si>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</si>
  <si>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</si>
  <si>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</si>
  <si>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</si>
  <si>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</si>
  <si>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</si>
  <si>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</si>
  <si>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</si>
  <si>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</si>
  <si>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</si>
  <si>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</si>
  <si>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</si>
  <si>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</si>
  <si>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</si>
  <si>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</si>
  <si>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</si>
  <si>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</si>
  <si>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</si>
  <si>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JOSE AILTON ALVES</t>
  </si>
  <si>
    <t>04/01/1965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</si>
  <si>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</si>
  <si>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</si>
  <si>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</si>
  <si>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</si>
  <si>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</si>
  <si>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</si>
  <si>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</si>
  <si>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</si>
  <si>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</si>
  <si>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</si>
  <si>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</si>
  <si>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</si>
  <si>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</si>
  <si>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</si>
  <si>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</si>
  <si>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</si>
  <si>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</si>
  <si>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</si>
  <si>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</si>
  <si>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</si>
  <si>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</si>
  <si>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</si>
  <si>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</si>
  <si>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</si>
  <si>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</si>
  <si>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</si>
  <si>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</si>
  <si>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</si>
  <si>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</si>
  <si>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</si>
  <si>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</si>
  <si>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</si>
  <si>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</si>
  <si>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</si>
  <si>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</si>
  <si>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</si>
  <si>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</si>
  <si>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</si>
  <si>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</si>
  <si>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</si>
  <si>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</si>
  <si>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</si>
  <si>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</si>
  <si>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</si>
  <si>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</si>
  <si>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</si>
  <si>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</si>
  <si>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</si>
  <si>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</si>
  <si>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</si>
  <si>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</si>
  <si>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</si>
  <si>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</si>
  <si>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</si>
  <si>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18/01/2016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</si>
  <si>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</si>
  <si>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</si>
  <si>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</si>
  <si>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</si>
  <si>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</si>
  <si>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</si>
  <si>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</si>
  <si>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</si>
  <si>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</si>
  <si>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</si>
  <si>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</si>
  <si>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</si>
  <si>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</si>
  <si>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</si>
  <si>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</si>
  <si>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</si>
  <si>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</si>
  <si>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</si>
  <si>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</si>
  <si>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</si>
  <si>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</si>
  <si>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</si>
  <si>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</si>
  <si>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</si>
  <si>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</si>
  <si>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</si>
  <si>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</si>
  <si>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</si>
  <si>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</si>
  <si>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</si>
  <si>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</si>
  <si>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</si>
  <si>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</si>
  <si>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</si>
  <si>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</si>
  <si>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</si>
  <si>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</si>
  <si>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</si>
  <si>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</si>
  <si>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</si>
  <si>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</si>
  <si>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</si>
  <si>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</si>
  <si>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</si>
  <si>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</si>
  <si>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</si>
  <si>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</si>
  <si>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</si>
  <si>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</si>
  <si>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</si>
  <si>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</si>
  <si>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</si>
  <si>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</si>
  <si>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</si>
  <si>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</si>
  <si>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</si>
  <si>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</si>
  <si>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</si>
  <si>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</si>
  <si>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</si>
  <si>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</si>
  <si>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</si>
  <si>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</si>
  <si>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</si>
  <si>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</si>
  <si>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</si>
  <si>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</si>
  <si>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MARLI DONIZETE GEREMIAS</t>
  </si>
  <si>
    <t>04/12/1975</t>
  </si>
  <si>
    <t>NATALIA GABRIELA DA SILVA</t>
  </si>
  <si>
    <t>26/06/2007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</si>
  <si>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</si>
  <si>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</si>
  <si>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</si>
  <si>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</si>
  <si>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</si>
  <si>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</si>
  <si>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</si>
  <si>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</si>
  <si>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</si>
  <si>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</si>
  <si>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</si>
  <si>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</si>
  <si>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</si>
  <si>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</si>
  <si>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</si>
  <si>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</si>
  <si>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</si>
  <si>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</si>
  <si>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</si>
  <si>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</si>
  <si>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</si>
  <si>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</si>
  <si>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</si>
  <si>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JUNIA PIERRE</t>
  </si>
  <si>
    <t>31/05/1983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</si>
  <si>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</si>
  <si>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</si>
  <si>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</si>
  <si>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</si>
  <si>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</si>
  <si>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</si>
  <si>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</si>
  <si>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</si>
  <si>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</si>
  <si>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</si>
  <si>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</si>
  <si>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</si>
  <si>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</si>
  <si>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</si>
  <si>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</si>
  <si>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</si>
  <si>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</si>
  <si>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</si>
  <si>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</si>
  <si>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</si>
  <si>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</si>
  <si>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</si>
  <si>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</si>
  <si>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</si>
  <si>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</si>
  <si>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</si>
  <si>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</si>
  <si>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</si>
  <si>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</si>
  <si>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</si>
  <si>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</si>
  <si>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</si>
  <si>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</si>
  <si>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</si>
  <si>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</si>
  <si>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</si>
  <si>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</si>
  <si>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</si>
  <si>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</si>
  <si>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</si>
  <si>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</si>
  <si>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</si>
  <si>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</si>
  <si>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</si>
  <si>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</si>
  <si>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</si>
  <si>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</si>
  <si>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</si>
  <si>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</si>
  <si>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</si>
  <si>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</si>
  <si>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</si>
  <si>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</si>
  <si>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</si>
  <si>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</si>
  <si>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</si>
  <si>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</si>
  <si>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</si>
  <si>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</si>
  <si>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</si>
  <si>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</si>
  <si>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</si>
  <si>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</si>
  <si>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</si>
  <si>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</si>
  <si>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</si>
  <si>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</si>
  <si>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</si>
  <si>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</si>
  <si>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</si>
  <si>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</si>
  <si>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</si>
  <si>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</si>
  <si>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</si>
  <si>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</si>
  <si>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</si>
  <si>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</si>
  <si>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</si>
  <si>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</si>
  <si>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</si>
  <si>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</si>
  <si>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</si>
  <si>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</si>
  <si>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</si>
  <si>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</si>
  <si>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</si>
  <si>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</si>
  <si>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</si>
  <si>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</si>
  <si>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BIANCA MARTINS PRADO</t>
  </si>
  <si>
    <t>14/02/2006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</si>
  <si>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</si>
  <si>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</si>
  <si>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</si>
  <si>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</si>
  <si>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</si>
  <si>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</si>
  <si>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</si>
  <si>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JOAO VITOR PEDROSO DA SILVA</t>
  </si>
  <si>
    <t>SG-SB 07:30-12:30 14:00-16:20</t>
  </si>
  <si>
    <t>10/04/2006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</si>
  <si>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</si>
  <si>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</si>
  <si>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</si>
  <si>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</si>
  <si>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</si>
  <si>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</si>
  <si>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</si>
  <si>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</si>
  <si>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</si>
  <si>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</si>
  <si>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</si>
  <si>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RICHARD DA SILVA NASCIMENTO</t>
  </si>
  <si>
    <t>28/02/2005</t>
  </si>
  <si>
    <t>13/06/2025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</si>
  <si>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</si>
  <si>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</si>
  <si>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</si>
  <si>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</si>
  <si>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</si>
  <si>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</si>
  <si>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</si>
  <si>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</si>
  <si>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</si>
  <si>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</si>
  <si>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</si>
  <si>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</si>
  <si>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</si>
  <si>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</si>
  <si>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</si>
  <si>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</si>
  <si>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</si>
  <si>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</si>
  <si>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</si>
  <si>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</si>
  <si>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</si>
  <si>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</si>
  <si>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</si>
  <si>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</si>
  <si>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</si>
  <si>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</si>
  <si>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</si>
  <si>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</si>
  <si>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</si>
  <si>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</si>
  <si>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</si>
  <si>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</si>
  <si>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</si>
  <si>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MARINALVA ALVES DA SILVA</t>
  </si>
  <si>
    <t>02/09/1983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</si>
  <si>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</si>
  <si>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</si>
  <si>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</si>
  <si>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</si>
  <si>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</si>
  <si>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</si>
  <si>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</si>
  <si>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</si>
  <si>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</si>
  <si>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</si>
  <si>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</si>
  <si>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</si>
  <si>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</si>
  <si>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</si>
  <si>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</si>
  <si>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</si>
  <si>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</si>
  <si>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</si>
  <si>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</si>
  <si>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</si>
  <si>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FABIO CAVEZAN LIMEIRA</t>
  </si>
  <si>
    <t>02/04/1975</t>
  </si>
  <si>
    <t>05/09/2024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</si>
  <si>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</si>
  <si>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</si>
  <si>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</si>
  <si>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</si>
  <si>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</si>
  <si>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</si>
  <si>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</si>
  <si>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</si>
  <si>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</si>
  <si>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</si>
  <si>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</si>
  <si>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</si>
  <si>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</si>
  <si>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</si>
  <si>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</si>
  <si>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</si>
  <si>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</si>
  <si>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</si>
  <si>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</si>
  <si>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</si>
  <si>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ELLEN BARBOSA ZANDONA</t>
  </si>
  <si>
    <t>21/08/2001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</si>
  <si>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</si>
  <si>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</si>
  <si>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</si>
  <si>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</si>
  <si>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</si>
  <si>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</si>
  <si>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</si>
  <si>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</si>
  <si>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</si>
  <si>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</si>
  <si>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</si>
  <si>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</si>
  <si>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</si>
  <si>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</si>
  <si>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</si>
  <si>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</si>
  <si>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</si>
  <si>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</si>
  <si>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</si>
  <si>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</si>
  <si>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</si>
  <si>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</si>
  <si>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</si>
  <si>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</si>
  <si>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</si>
  <si>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</si>
  <si>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</si>
  <si>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</si>
  <si>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</si>
  <si>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</si>
  <si>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</si>
  <si>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</si>
  <si>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</si>
  <si>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</si>
  <si>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</si>
  <si>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</si>
  <si>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</si>
  <si>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</si>
  <si>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</si>
  <si>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</si>
  <si>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</si>
  <si>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</si>
  <si>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</si>
  <si>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</si>
  <si>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</si>
  <si>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</si>
  <si>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</si>
  <si>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</si>
  <si>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</si>
  <si>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</si>
  <si>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</si>
  <si>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</si>
  <si>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</si>
  <si>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</si>
  <si>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</si>
  <si>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</si>
  <si>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</si>
  <si>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</si>
  <si>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</si>
  <si>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</si>
  <si>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</si>
  <si>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</si>
  <si>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</si>
  <si>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</si>
  <si>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</si>
  <si>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</si>
  <si>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</si>
  <si>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</si>
  <si>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</si>
  <si>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</si>
  <si>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</si>
  <si>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</si>
  <si>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</si>
  <si>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</si>
  <si>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</si>
  <si>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</si>
  <si>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</si>
  <si>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</si>
  <si>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</si>
  <si>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</si>
  <si>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</si>
  <si>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</si>
  <si>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</si>
  <si>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</si>
  <si>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</si>
  <si>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</si>
  <si>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</si>
  <si>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</si>
  <si>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</si>
  <si>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</si>
  <si>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</si>
  <si>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</si>
  <si>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</si>
  <si>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</si>
  <si>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</si>
  <si>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</si>
  <si>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</si>
  <si>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</si>
  <si>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</si>
  <si>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</si>
  <si>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</si>
  <si>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</si>
  <si>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</si>
  <si>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</si>
  <si>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</si>
  <si>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</si>
  <si>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</si>
  <si>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</si>
  <si>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</si>
  <si>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</si>
  <si>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</si>
  <si>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</si>
  <si>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</si>
  <si>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</si>
  <si>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</si>
  <si>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</si>
  <si>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</si>
  <si>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</si>
  <si>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</si>
  <si>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</si>
  <si>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</si>
  <si>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</si>
  <si>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</si>
  <si>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</si>
  <si>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</si>
  <si>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</si>
  <si>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</si>
  <si>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</si>
  <si>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</si>
  <si>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</si>
  <si>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</si>
  <si>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</si>
  <si>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</si>
  <si>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</si>
  <si>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</si>
  <si>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</si>
  <si>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</si>
  <si>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</si>
  <si>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27/04/2026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</si>
  <si>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</si>
  <si>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</si>
  <si>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</si>
  <si>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</si>
  <si>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</si>
  <si>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</si>
  <si>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</si>
  <si>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</si>
  <si>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</si>
  <si>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</si>
  <si>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</si>
  <si>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</si>
  <si>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</si>
  <si>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</si>
  <si>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</si>
  <si>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</si>
  <si>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</si>
  <si>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</si>
  <si>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</si>
  <si>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</si>
  <si>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</si>
  <si>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</si>
  <si>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</si>
  <si>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</si>
  <si>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</si>
  <si>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</si>
  <si>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</si>
  <si>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</si>
  <si>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</si>
  <si>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</si>
  <si>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</si>
  <si>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</si>
  <si>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</si>
  <si>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</si>
  <si>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</si>
  <si>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</si>
  <si>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</si>
  <si>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</si>
  <si>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</si>
  <si>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</si>
  <si>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</si>
  <si>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</si>
  <si>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</si>
  <si>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</si>
  <si>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</si>
  <si>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</si>
  <si>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</si>
  <si>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</si>
  <si>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</si>
  <si>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</si>
  <si>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</si>
  <si>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</si>
  <si>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</si>
  <si>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</si>
  <si>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</si>
  <si>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</si>
  <si>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</si>
  <si>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</si>
  <si>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</si>
  <si>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</si>
  <si>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</si>
  <si>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</si>
  <si>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</si>
  <si>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</si>
  <si>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01/05/2026</t>
  </si>
  <si>
    <t>23/06/2020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</si>
  <si>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</si>
  <si>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</si>
  <si>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</si>
  <si>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</si>
  <si>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</si>
  <si>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</si>
  <si>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</si>
  <si>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</si>
  <si>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</si>
  <si>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</si>
  <si>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</si>
  <si>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</si>
  <si>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</si>
  <si>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</si>
  <si>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</si>
  <si>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</si>
  <si>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</si>
  <si>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</si>
  <si>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</si>
  <si>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</si>
  <si>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</si>
  <si>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</si>
  <si>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</si>
  <si>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</si>
  <si>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</si>
  <si>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</si>
  <si>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VALMIR BARBOSA PEIXOTO</t>
  </si>
  <si>
    <t>14/04/2005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</si>
  <si>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</si>
  <si>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</si>
  <si>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</si>
  <si>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</si>
  <si>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</si>
  <si>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</si>
  <si>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</si>
  <si>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</si>
  <si>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</si>
  <si>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</si>
  <si>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</si>
  <si>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</si>
  <si>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</si>
  <si>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</si>
  <si>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</si>
  <si>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</si>
  <si>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</si>
  <si>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</si>
  <si>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</si>
  <si>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</si>
  <si>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</si>
  <si>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</si>
  <si>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</si>
  <si>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</si>
  <si>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</si>
  <si>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</si>
  <si>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</si>
  <si>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</si>
  <si>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</si>
  <si>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</si>
  <si>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</si>
  <si>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</si>
  <si>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</si>
  <si>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</si>
  <si>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</si>
  <si>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</si>
  <si>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</si>
  <si>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</si>
  <si>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</si>
  <si>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</si>
  <si>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</si>
  <si>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</si>
  <si>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</si>
  <si>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</si>
  <si>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</si>
  <si>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</si>
  <si>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</si>
  <si>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</si>
  <si>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</si>
  <si>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</si>
  <si>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</si>
  <si>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</si>
  <si>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</si>
  <si>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</si>
  <si>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</si>
  <si>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</si>
  <si>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</si>
  <si>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</si>
  <si>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</si>
  <si>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</si>
  <si>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</si>
  <si>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</si>
  <si>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</si>
  <si>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</si>
  <si>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LUAN GABRIEL RODRIGUES</t>
  </si>
  <si>
    <t>11/03/2006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</si>
  <si>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</si>
  <si>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</si>
  <si>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</si>
  <si>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</si>
  <si>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</si>
  <si>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</si>
  <si>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</si>
  <si>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</si>
  <si>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</si>
  <si>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</si>
  <si>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</si>
  <si>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</si>
  <si>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</si>
  <si>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</si>
  <si>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</si>
  <si>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</si>
  <si>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</si>
  <si>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</si>
  <si>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</si>
  <si>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</si>
  <si>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</si>
  <si>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</si>
  <si>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</si>
  <si>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</si>
  <si>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</si>
  <si>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</si>
  <si>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</si>
  <si>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</si>
  <si>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</si>
  <si>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</si>
  <si>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</si>
  <si>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</si>
  <si>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</si>
  <si>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</si>
  <si>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</si>
  <si>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</si>
  <si>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</si>
  <si>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</si>
  <si>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</si>
  <si>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</si>
  <si>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</si>
  <si>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</si>
  <si>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</si>
  <si>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</si>
  <si>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</si>
  <si>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MATEUS MAXIMO DE OLIVEIRA</t>
  </si>
  <si>
    <t>05/01/1981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</si>
  <si>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</si>
  <si>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</si>
  <si>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</si>
  <si>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</si>
  <si>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</si>
  <si>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</si>
  <si>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</si>
  <si>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</si>
  <si>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</si>
  <si>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</si>
  <si>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</si>
  <si>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</si>
  <si>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</si>
  <si>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JOÃO CARLOS GOMES</t>
  </si>
  <si>
    <t>19/08/1983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</si>
  <si>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</si>
  <si>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</si>
  <si>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</si>
  <si>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</si>
  <si>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</si>
  <si>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</si>
  <si>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</si>
  <si>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</si>
  <si>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</si>
  <si>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</si>
  <si>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</si>
  <si>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</si>
  <si>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</si>
  <si>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</si>
  <si>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</si>
  <si>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</si>
  <si>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</si>
  <si>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</si>
  <si>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</si>
  <si>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JOSE ORLANDO ZEFERINO GAMA</t>
  </si>
  <si>
    <t>19/06/1995</t>
  </si>
  <si>
    <t>1.2.1.4.2</t>
  </si>
  <si>
    <t>GERENTE DE PERECIVEIS E FIAMBRERIA - LOJA 08</t>
  </si>
  <si>
    <t>0001000401</t>
  </si>
  <si>
    <t>ALICE VITORIA DOS SANTOS FONTES</t>
  </si>
  <si>
    <t>24/04/2002</t>
  </si>
  <si>
    <t>08.02.01.03.0</t>
  </si>
  <si>
    <t>ANALISTA DE RECURSOS HUMANOS</t>
  </si>
  <si>
    <t>0201000200</t>
  </si>
  <si>
    <t>DARAH DIOCELIA DA SILVA MORENO</t>
  </si>
  <si>
    <t>27/03/1997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</si>
  <si>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</si>
  <si>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</si>
  <si>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</si>
  <si>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</si>
  <si>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</si>
  <si>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</si>
  <si>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</si>
  <si>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</si>
  <si>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</si>
  <si>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</si>
  <si>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</si>
  <si>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</si>
  <si>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</si>
  <si>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</si>
  <si>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</si>
  <si>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</si>
  <si>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</si>
  <si>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</si>
  <si>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</si>
  <si>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</si>
  <si>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</si>
  <si>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</si>
  <si>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</si>
  <si>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</si>
  <si>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</si>
  <si>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</si>
  <si>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</si>
  <si>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</si>
  <si>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</si>
  <si>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</si>
  <si>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</si>
  <si>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</si>
  <si>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</si>
  <si>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</si>
  <si>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</si>
  <si>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</si>
  <si>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</si>
  <si>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</si>
  <si>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</si>
  <si>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</si>
  <si>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</si>
  <si>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</si>
  <si>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</si>
  <si>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</si>
  <si>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</si>
  <si>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</si>
  <si>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</si>
  <si>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</si>
  <si>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</si>
  <si>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</si>
  <si>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</si>
  <si>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</si>
  <si>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</si>
  <si>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</si>
  <si>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</si>
  <si>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DERIK GUSTAVO GOUVEIA SILVA</t>
  </si>
  <si>
    <t>11/10/2006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</si>
  <si>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</si>
  <si>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</si>
  <si>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</si>
  <si>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</si>
  <si>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</si>
  <si>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</si>
  <si>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</si>
  <si>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</si>
  <si>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</si>
  <si>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</si>
  <si>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</si>
  <si>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</si>
  <si>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</si>
  <si>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</si>
  <si>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</si>
  <si>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</si>
  <si>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</si>
  <si>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</si>
  <si>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</si>
  <si>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</si>
  <si>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</si>
  <si>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</si>
  <si>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</si>
  <si>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</si>
  <si>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</si>
  <si>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</si>
  <si>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</si>
  <si>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</si>
  <si>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</si>
  <si>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</si>
  <si>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VANIA FRANCELINA DORNELAS</t>
  </si>
  <si>
    <t>07/04/1959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</si>
  <si>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</si>
  <si>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</si>
  <si>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</si>
  <si>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</si>
  <si>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</si>
  <si>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</si>
  <si>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</si>
  <si>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</si>
  <si>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</si>
  <si>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</si>
  <si>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</si>
  <si>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</si>
  <si>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</si>
  <si>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</si>
  <si>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</si>
  <si>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</si>
  <si>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</si>
  <si>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</si>
  <si>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</si>
  <si>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</si>
  <si>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</si>
  <si>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</si>
  <si>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</si>
  <si>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</si>
  <si>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</si>
  <si>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</si>
  <si>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</si>
  <si>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</si>
  <si>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</si>
  <si>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</si>
  <si>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</si>
  <si>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</si>
  <si>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</si>
  <si>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</si>
  <si>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</si>
  <si>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</si>
  <si>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</si>
  <si>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</si>
  <si>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ANDERSON DE PAULA PAULISTA</t>
  </si>
  <si>
    <t>08/05/2003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</si>
  <si>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</si>
  <si>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</si>
  <si>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</si>
  <si>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</si>
  <si>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</si>
  <si>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</si>
  <si>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</si>
  <si>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</si>
  <si>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</si>
  <si>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</si>
  <si>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</si>
  <si>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</si>
  <si>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</si>
  <si>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</si>
  <si>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</si>
  <si>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</si>
  <si>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</si>
  <si>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</si>
  <si>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</si>
  <si>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</si>
  <si>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</si>
  <si>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</si>
  <si>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</si>
  <si>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</si>
  <si>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</si>
  <si>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</si>
  <si>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</si>
  <si>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</si>
  <si>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</si>
  <si>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</si>
  <si>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</si>
  <si>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</si>
  <si>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</si>
  <si>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</si>
  <si>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</si>
  <si>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</si>
  <si>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</si>
  <si>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</si>
  <si>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</si>
  <si>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</si>
  <si>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</si>
  <si>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</si>
  <si>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</si>
  <si>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</si>
  <si>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</si>
  <si>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</si>
  <si>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</si>
  <si>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</si>
  <si>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</si>
  <si>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</si>
  <si>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</si>
  <si>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</si>
  <si>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</si>
  <si>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</si>
  <si>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</si>
  <si>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</si>
  <si>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</si>
  <si>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</si>
  <si>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</si>
  <si>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</si>
  <si>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</si>
  <si>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</si>
  <si>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</si>
  <si>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</si>
  <si>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</si>
  <si>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</si>
  <si>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</si>
  <si>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</si>
  <si>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</si>
  <si>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</si>
  <si>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</si>
  <si>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</si>
  <si>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</si>
  <si>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</si>
  <si>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</si>
  <si>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</si>
  <si>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</si>
  <si>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RUAN DA SILVA GONCALVES</t>
  </si>
  <si>
    <t>27/02/2003</t>
  </si>
  <si>
    <t>VICTOR UMBERTO VICARI DINOVERA</t>
  </si>
  <si>
    <t>18/08/2001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</si>
  <si>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</si>
  <si>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</si>
  <si>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</si>
  <si>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</si>
  <si>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</si>
  <si>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</si>
  <si>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</si>
  <si>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</si>
  <si>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</si>
  <si>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</si>
  <si>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</si>
  <si>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</si>
  <si>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</si>
  <si>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</si>
  <si>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</si>
  <si>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</si>
  <si>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</si>
  <si>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</si>
  <si>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</si>
  <si>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</si>
  <si>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</si>
  <si>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</si>
  <si>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</si>
  <si>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</si>
  <si>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</si>
  <si>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</si>
  <si>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</si>
  <si>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GLAUCIA KELLER ZAVAN PUPULIN</t>
  </si>
  <si>
    <t>01/05/1979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</si>
  <si>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</si>
  <si>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</si>
  <si>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</si>
  <si>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</si>
  <si>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</si>
  <si>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</si>
  <si>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</si>
  <si>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RAFAELA VITORIA DOS REIS DE OLIVEIRA</t>
  </si>
  <si>
    <t>12/01/2002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</si>
  <si>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</si>
  <si>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</si>
  <si>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</si>
  <si>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</si>
  <si>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</si>
  <si>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</si>
  <si>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</si>
  <si>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</si>
  <si>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</si>
  <si>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</si>
  <si>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</si>
  <si>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</si>
  <si>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</si>
  <si>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</si>
  <si>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</si>
  <si>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</si>
  <si>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</si>
  <si>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</si>
  <si>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</si>
  <si>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</si>
  <si>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</si>
  <si>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</si>
  <si>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</si>
  <si>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</si>
  <si>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</si>
  <si>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</si>
  <si>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</si>
  <si>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</si>
  <si>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</si>
  <si>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</si>
  <si>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</si>
  <si>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</si>
  <si>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</si>
  <si>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</si>
  <si>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</si>
  <si>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11/11/2025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</si>
  <si>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</si>
  <si>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</si>
  <si>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</si>
  <si>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</si>
  <si>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</si>
  <si>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</si>
  <si>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</si>
  <si>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</si>
  <si>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</si>
  <si>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</si>
  <si>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</si>
  <si>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</si>
  <si>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</si>
  <si>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</si>
  <si>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</si>
  <si>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</si>
  <si>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</si>
  <si>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</si>
  <si>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</si>
  <si>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</si>
  <si>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</si>
  <si>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</si>
  <si>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</si>
  <si>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</si>
  <si>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</si>
  <si>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</si>
  <si>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</si>
  <si>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</si>
  <si>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</si>
  <si>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</si>
  <si>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</si>
  <si>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</si>
  <si>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</si>
  <si>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</si>
  <si>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</si>
  <si>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</si>
  <si>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</si>
  <si>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</si>
  <si>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</si>
  <si>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</si>
  <si>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</si>
  <si>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</si>
  <si>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</si>
  <si>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</si>
  <si>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</si>
  <si>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</si>
  <si>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</si>
  <si>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</si>
  <si>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</si>
  <si>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</si>
  <si>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</si>
  <si>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</si>
  <si>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</si>
  <si>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</si>
  <si>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</si>
  <si>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</si>
  <si>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</si>
  <si>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</si>
  <si>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</si>
  <si>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</si>
  <si>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</si>
  <si>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</si>
  <si>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</si>
  <si>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</si>
  <si>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</si>
  <si>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</si>
  <si>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</si>
  <si>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ASSISTENTE ADMINISTRATIVO - CD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</si>
  <si>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</si>
  <si>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</si>
  <si>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</si>
  <si>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</si>
  <si>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</si>
  <si>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</si>
  <si>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</si>
  <si>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</si>
  <si>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</si>
  <si>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</si>
  <si>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</si>
  <si>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</si>
  <si>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</si>
  <si>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</si>
  <si>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</si>
  <si>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</si>
  <si>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</si>
  <si>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</si>
  <si>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</si>
  <si>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</si>
  <si>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</si>
  <si>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</si>
  <si>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</si>
  <si>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</si>
  <si>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</si>
  <si>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</si>
  <si>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</si>
  <si>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</si>
  <si>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</si>
  <si>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</si>
  <si>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</si>
  <si>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</si>
  <si>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</si>
  <si>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</si>
  <si>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</si>
  <si>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</si>
  <si>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</si>
  <si>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</si>
  <si>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</si>
  <si>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</si>
  <si>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</si>
  <si>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</si>
  <si>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</si>
  <si>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</si>
  <si>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</si>
  <si>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</si>
  <si>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</si>
  <si>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</si>
  <si>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</si>
  <si>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</si>
  <si>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</si>
  <si>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</si>
  <si>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</si>
  <si>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</si>
  <si>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</si>
  <si>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</si>
  <si>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</si>
  <si>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</si>
  <si>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</si>
  <si>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</si>
  <si>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</si>
  <si>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</si>
  <si>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</si>
  <si>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</si>
  <si>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</si>
  <si>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</si>
  <si>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</si>
  <si>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</si>
  <si>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</si>
  <si>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</si>
  <si>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</si>
  <si>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</si>
  <si>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</si>
  <si>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</si>
  <si>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</si>
  <si>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</si>
  <si>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</si>
  <si>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</si>
  <si>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</si>
  <si>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</si>
  <si>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</si>
  <si>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</si>
  <si>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</si>
  <si>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</si>
  <si>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</si>
  <si>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</si>
  <si>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</si>
  <si>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AMAURI MONTENEGRO JUNIOR</t>
  </si>
  <si>
    <t>22/04/1977</t>
  </si>
  <si>
    <t>16/10/2017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</si>
  <si>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</si>
  <si>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</si>
  <si>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</si>
  <si>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</si>
  <si>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</si>
  <si>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</si>
  <si>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</si>
  <si>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</si>
  <si>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</si>
  <si>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</si>
  <si>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</si>
  <si>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</si>
  <si>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</si>
  <si>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</si>
  <si>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</si>
  <si>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</si>
  <si>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</si>
  <si>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</si>
  <si>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</si>
  <si>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</si>
  <si>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</si>
  <si>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</si>
  <si>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</si>
  <si>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ALEX DA SILVA SANTOS</t>
  </si>
  <si>
    <t>18/03/1998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</si>
  <si>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</si>
  <si>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</si>
  <si>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</si>
  <si>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</si>
  <si>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</si>
  <si>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</si>
  <si>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</si>
  <si>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</si>
  <si>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</si>
  <si>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</si>
  <si>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</si>
  <si>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</si>
  <si>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</si>
  <si>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</si>
  <si>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</si>
  <si>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</si>
  <si>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</si>
  <si>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</si>
  <si>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</si>
  <si>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</si>
  <si>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</si>
  <si>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</si>
  <si>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</si>
  <si>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</si>
  <si>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</si>
  <si>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</si>
  <si>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</si>
  <si>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</si>
  <si>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</si>
  <si>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</si>
  <si>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</si>
  <si>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</si>
  <si>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</si>
  <si>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</si>
  <si>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</si>
  <si>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</si>
  <si>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</si>
  <si>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</si>
  <si>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</si>
  <si>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</si>
  <si>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</si>
  <si>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</si>
  <si>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</si>
  <si>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</si>
  <si>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</si>
  <si>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</si>
  <si>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</si>
  <si>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</si>
  <si>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</si>
  <si>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</si>
  <si>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</si>
  <si>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</si>
  <si>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</si>
  <si>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</si>
  <si>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</si>
  <si>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</si>
  <si>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</si>
  <si>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</si>
  <si>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</si>
  <si>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</si>
  <si>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</si>
  <si>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</si>
  <si>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</si>
  <si>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</si>
  <si>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</si>
  <si>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</si>
  <si>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</si>
  <si>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</si>
  <si>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</si>
  <si>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JHONAS HENRIQUE DOS SANTOS DANIEL</t>
  </si>
  <si>
    <t>11/10/2003</t>
  </si>
  <si>
    <t>14/10/2024</t>
  </si>
  <si>
    <t>JHONATA OLIVEIRA DOS SANTOS</t>
  </si>
  <si>
    <t>24/06/2005</t>
  </si>
  <si>
    <t>JOSE HORELIO DA SILVA</t>
  </si>
  <si>
    <t>06/05/1962</t>
  </si>
  <si>
    <t>JOSUE CARNEIRO RODRIGUES DA SILVA</t>
  </si>
  <si>
    <t>16/09/2006</t>
  </si>
  <si>
    <t>KELVIN ALEXANDRO IDELFFONSO</t>
  </si>
  <si>
    <t>10/03/1998</t>
  </si>
  <si>
    <t>LAIS NOGAROLLI GATTI</t>
  </si>
  <si>
    <t>08/01/1993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</si>
  <si>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</si>
  <si>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</si>
  <si>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</si>
  <si>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</si>
  <si>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</si>
  <si>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</si>
  <si>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</si>
  <si>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</si>
  <si>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</si>
  <si>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</si>
  <si>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</si>
  <si>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</si>
  <si>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</si>
  <si>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</si>
  <si>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</si>
  <si>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</si>
  <si>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</si>
  <si>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</si>
  <si>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</si>
  <si>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MACIEL CORREIA MONTEIRO</t>
  </si>
  <si>
    <t>25/06/1995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</si>
  <si>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</si>
  <si>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</si>
  <si>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</si>
  <si>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</si>
  <si>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</si>
  <si>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</si>
  <si>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</si>
  <si>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</si>
  <si>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</si>
  <si>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</si>
  <si>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</si>
  <si>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</si>
  <si>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</si>
  <si>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</si>
  <si>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</si>
  <si>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</si>
  <si>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</si>
  <si>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</si>
  <si>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</si>
  <si>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</si>
  <si>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</si>
  <si>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</si>
  <si>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</si>
  <si>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</si>
  <si>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</si>
  <si>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</si>
  <si>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</si>
  <si>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</si>
  <si>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</si>
  <si>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</si>
  <si>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</si>
  <si>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</si>
  <si>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</si>
  <si>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</si>
  <si>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</si>
  <si>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</si>
  <si>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</si>
  <si>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</si>
  <si>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</si>
  <si>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</si>
  <si>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</si>
  <si>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</si>
  <si>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</si>
  <si>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</si>
  <si>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</si>
  <si>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</si>
  <si>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</si>
  <si>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</si>
  <si>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</si>
  <si>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</si>
  <si>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</si>
  <si>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</si>
  <si>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</si>
  <si>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</si>
  <si>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</si>
  <si>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</si>
  <si>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</si>
  <si>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</si>
  <si>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</si>
  <si>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</si>
  <si>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</si>
  <si>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</si>
  <si>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</si>
  <si>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</si>
  <si>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</si>
  <si>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</si>
  <si>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</si>
  <si>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</si>
  <si>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</si>
  <si>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</si>
  <si>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</si>
  <si>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</si>
  <si>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</si>
  <si>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</si>
  <si>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</si>
  <si>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</si>
  <si>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</si>
  <si>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</si>
  <si>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</si>
  <si>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</si>
  <si>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</si>
  <si>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</si>
  <si>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</si>
  <si>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</si>
  <si>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NAYARA CASSEMIRO DE SOUZA</t>
  </si>
  <si>
    <t>12/05/2021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</si>
  <si>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</si>
  <si>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</si>
  <si>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</si>
  <si>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</si>
  <si>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</si>
  <si>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</si>
  <si>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</si>
  <si>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</si>
  <si>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</si>
  <si>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</si>
  <si>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</si>
  <si>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</si>
  <si>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</si>
  <si>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</si>
  <si>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</si>
  <si>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</si>
  <si>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</si>
  <si>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</si>
  <si>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</si>
  <si>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</si>
  <si>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</si>
  <si>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</si>
  <si>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</si>
  <si>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</si>
  <si>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</si>
  <si>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</si>
  <si>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MARCO ANTONIO GONÇALVES ROSA</t>
  </si>
  <si>
    <t>06/10/1975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</si>
  <si>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</si>
  <si>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</si>
  <si>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</si>
  <si>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</si>
  <si>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</si>
  <si>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</si>
  <si>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</si>
  <si>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</si>
  <si>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</si>
  <si>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</si>
  <si>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</si>
  <si>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</si>
  <si>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</si>
  <si>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</si>
  <si>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</si>
  <si>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</si>
  <si>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</si>
  <si>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</si>
  <si>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</si>
  <si>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</si>
  <si>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</si>
  <si>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</si>
  <si>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</si>
  <si>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</si>
  <si>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</si>
  <si>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</si>
  <si>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</si>
  <si>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</si>
  <si>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</si>
  <si>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</si>
  <si>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</si>
  <si>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</si>
  <si>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</si>
  <si>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</si>
  <si>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</si>
  <si>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</si>
  <si>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</si>
  <si>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</si>
  <si>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</si>
  <si>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</si>
  <si>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</si>
  <si>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</si>
  <si>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</si>
  <si>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</si>
  <si>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</si>
  <si>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</si>
  <si>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</si>
  <si>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</si>
  <si>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</si>
  <si>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</si>
  <si>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</si>
  <si>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</si>
  <si>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</si>
  <si>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</si>
  <si>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</si>
  <si>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</si>
  <si>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</si>
  <si>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</si>
  <si>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</si>
  <si>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</si>
  <si>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</si>
  <si>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</si>
  <si>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</si>
  <si>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</si>
  <si>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</si>
  <si>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</si>
  <si>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</si>
  <si>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</si>
  <si>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</si>
  <si>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</si>
  <si>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</si>
  <si>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</si>
  <si>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</si>
  <si>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</si>
  <si>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</si>
  <si>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</si>
  <si>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</si>
  <si>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</si>
  <si>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</si>
  <si>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</si>
  <si>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</si>
  <si>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</si>
  <si>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</si>
  <si>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</si>
  <si>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</si>
  <si>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</si>
  <si>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</si>
  <si>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</si>
  <si>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</si>
  <si>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</si>
  <si>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</si>
  <si>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</si>
  <si>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</si>
  <si>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</si>
  <si>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</si>
  <si>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</si>
  <si>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</si>
  <si>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</si>
  <si>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</si>
  <si>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</si>
  <si>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</si>
  <si>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</si>
  <si>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</si>
  <si>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</si>
  <si>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</si>
  <si>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</si>
  <si>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</si>
  <si>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</si>
  <si>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</si>
  <si>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</si>
  <si>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</si>
  <si>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</si>
  <si>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</si>
  <si>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</si>
  <si>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</si>
  <si>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</si>
  <si>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</si>
  <si>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</si>
  <si>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</si>
  <si>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</si>
  <si>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</si>
  <si>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</si>
  <si>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</si>
  <si>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</si>
  <si>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</si>
  <si>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</si>
  <si>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</si>
  <si>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</si>
  <si>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</si>
  <si>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</si>
  <si>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</si>
  <si>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</si>
  <si>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</si>
  <si>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</si>
  <si>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06/02/2023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</si>
  <si>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</si>
  <si>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</si>
  <si>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</si>
  <si>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</si>
  <si>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</si>
  <si>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</si>
  <si>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</si>
  <si>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</si>
  <si>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</si>
  <si>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</si>
  <si>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</si>
  <si>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</si>
  <si>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</si>
  <si>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</si>
  <si>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</si>
  <si>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</si>
  <si>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</si>
  <si>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</si>
  <si>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</si>
  <si>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</si>
  <si>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</si>
  <si>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</si>
  <si>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</si>
  <si>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</si>
  <si>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</si>
  <si>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</si>
  <si>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</si>
  <si>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</si>
  <si>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</si>
  <si>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</si>
  <si>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</si>
  <si>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</si>
  <si>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</si>
  <si>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</si>
  <si>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</si>
  <si>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</si>
  <si>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</si>
  <si>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</si>
  <si>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</si>
  <si>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</si>
  <si>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</si>
  <si>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</si>
  <si>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</si>
  <si>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</si>
  <si>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</si>
  <si>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</si>
  <si>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</si>
  <si>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</si>
  <si>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</si>
  <si>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</si>
  <si>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</si>
  <si>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</si>
  <si>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</si>
  <si>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</si>
  <si>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</si>
  <si>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</si>
  <si>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</si>
  <si>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</si>
  <si>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</si>
  <si>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</si>
  <si>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</si>
  <si>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</si>
  <si>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</si>
  <si>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</si>
  <si>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</si>
  <si>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</si>
  <si>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</si>
  <si>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</si>
  <si>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</si>
  <si>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</si>
  <si>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</si>
  <si>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</si>
  <si>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</si>
  <si>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</si>
  <si>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</si>
  <si>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</si>
  <si>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</si>
  <si>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</si>
  <si>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</si>
  <si>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</si>
  <si>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</si>
  <si>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</si>
  <si>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</si>
  <si>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</si>
  <si>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</si>
  <si>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</si>
  <si>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</si>
  <si>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</si>
  <si>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</si>
  <si>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</si>
  <si>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</si>
  <si>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</si>
  <si>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</si>
  <si>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</si>
  <si>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</si>
  <si>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</si>
  <si>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</si>
  <si>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</si>
  <si>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</si>
  <si>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</si>
  <si>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</si>
  <si>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</si>
  <si>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</si>
  <si>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</si>
  <si>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</si>
  <si>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</si>
  <si>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</si>
  <si>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</si>
  <si>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</si>
  <si>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</si>
  <si>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</si>
  <si>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</si>
  <si>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</si>
  <si>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</si>
  <si>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</si>
  <si>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</si>
  <si>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</si>
  <si>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</si>
  <si>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</si>
  <si>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</si>
  <si>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</si>
  <si>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</si>
  <si>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</si>
  <si>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</si>
  <si>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</si>
  <si>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</si>
  <si>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</si>
  <si>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</si>
  <si>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</si>
  <si>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</si>
  <si>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</si>
  <si>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</si>
  <si>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</si>
  <si>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</si>
  <si>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</si>
  <si>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</si>
  <si>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</si>
  <si>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</si>
  <si>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</si>
  <si>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</si>
  <si>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</si>
  <si>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</si>
  <si>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</si>
  <si>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</si>
  <si>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</si>
  <si>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</si>
  <si>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</si>
  <si>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</si>
  <si>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</si>
  <si>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</si>
  <si>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</si>
  <si>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</si>
  <si>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</si>
  <si>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</si>
  <si>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</si>
  <si>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</si>
  <si>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</si>
  <si>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</si>
  <si>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</si>
  <si>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</si>
  <si>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</si>
  <si>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</si>
  <si>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</si>
  <si>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</si>
  <si>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</si>
  <si>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</si>
  <si>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</si>
  <si>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</si>
  <si>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</si>
  <si>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</si>
  <si>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</si>
  <si>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</si>
  <si>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</si>
  <si>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</si>
  <si>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</si>
  <si>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</si>
  <si>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</si>
  <si>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</si>
  <si>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</si>
  <si>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</si>
  <si>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</si>
  <si>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</si>
  <si>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</si>
  <si>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</si>
  <si>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</si>
  <si>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</si>
  <si>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</si>
  <si>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</si>
  <si>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</si>
  <si>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</si>
  <si>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</si>
  <si>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</si>
  <si>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</si>
  <si>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</si>
  <si>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</si>
  <si>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</si>
  <si>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</si>
  <si>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</si>
  <si>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</si>
  <si>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</si>
  <si>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</si>
  <si>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</si>
  <si>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</si>
  <si>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</si>
  <si>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</si>
  <si>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</si>
  <si>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</si>
  <si>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</si>
  <si>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</si>
  <si>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</si>
  <si>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</si>
  <si>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</si>
  <si>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</si>
  <si>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</si>
  <si>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</si>
  <si>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</si>
  <si>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</si>
  <si>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</si>
  <si>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</si>
  <si>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</si>
  <si>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</si>
  <si>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</si>
  <si>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</si>
  <si>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</si>
  <si>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</si>
  <si>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</si>
  <si>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</si>
  <si>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</si>
  <si>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</si>
  <si>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</si>
  <si>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</si>
  <si>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</si>
  <si>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</si>
  <si>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</si>
  <si>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</si>
  <si>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</si>
  <si>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</si>
  <si>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</si>
  <si>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</si>
  <si>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</si>
  <si>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</si>
  <si>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</si>
  <si>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</si>
  <si>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</si>
  <si>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</si>
  <si>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</si>
  <si>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</si>
  <si>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</si>
  <si>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</si>
  <si>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</si>
  <si>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</si>
  <si>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</si>
  <si>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</si>
  <si>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</si>
  <si>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</si>
  <si>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</si>
  <si>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</si>
  <si>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</si>
  <si>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</si>
  <si>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</si>
  <si>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</si>
  <si>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05/06/2026</t>
  </si>
  <si>
    <t>ISAQUE VITOR BASTOS</t>
  </si>
  <si>
    <t>22/04/2008</t>
  </si>
  <si>
    <t>11/06/2026</t>
  </si>
  <si>
    <t>MARIA ANGELICA RODRIGUEZ PEREZ</t>
  </si>
  <si>
    <t>09/08/1997</t>
  </si>
  <si>
    <t>10/06/2026</t>
  </si>
  <si>
    <t>26/05/2026</t>
  </si>
  <si>
    <t>07/06/2026</t>
  </si>
  <si>
    <t>02/06/2026</t>
  </si>
  <si>
    <t>LUNA ALVES DOS SANTOS</t>
  </si>
  <si>
    <t>08/01/2010</t>
  </si>
  <si>
    <t>ERIC DONIZETI FRANCO</t>
  </si>
  <si>
    <t>09/04/1992</t>
  </si>
  <si>
    <t>15/06/2026</t>
  </si>
  <si>
    <t>31/05/2026</t>
  </si>
  <si>
    <t>11/12/2019</t>
  </si>
  <si>
    <t>01.02.02</t>
  </si>
  <si>
    <t>18/03/2020</t>
  </si>
  <si>
    <t>SG-SX 7:00-16:30 SB 7:00-11:00</t>
  </si>
  <si>
    <t>1.2.1.1.5.1.0</t>
  </si>
  <si>
    <t>ENCARREGADO DE DEPOSITO - LOJA 6</t>
  </si>
  <si>
    <t>00010000040000</t>
  </si>
  <si>
    <t>JOSEMARA APARECIDA COSTA</t>
  </si>
  <si>
    <t>08/07/1990</t>
  </si>
  <si>
    <t>DANIELIS DEL VALLE MACHADO TOVAR</t>
  </si>
  <si>
    <t>08/09/2008</t>
  </si>
  <si>
    <t>12/06/2026</t>
  </si>
  <si>
    <t>04/06/2026</t>
  </si>
  <si>
    <t>VITOR EMANUEL LIMA SOFIETE DE SOUZA</t>
  </si>
  <si>
    <t>26/02/2010</t>
  </si>
  <si>
    <t>NICOLAS GABRIEL MARTINS COELHO</t>
  </si>
  <si>
    <t>20/12/2009</t>
  </si>
  <si>
    <t>KLAUS ANTONIO KONRAD</t>
  </si>
  <si>
    <t>16/11/2009</t>
  </si>
  <si>
    <t>ENAILI DUTRA BRANDAO</t>
  </si>
  <si>
    <t>14/11/2008</t>
  </si>
  <si>
    <t>EDUARDO GUILHERME LUDWIG DE JESUS</t>
  </si>
  <si>
    <t>10/07/2008</t>
  </si>
  <si>
    <t>TRAITON DA SILVA LEAL</t>
  </si>
  <si>
    <t>30/11/1982</t>
  </si>
  <si>
    <t>08/06/2026</t>
  </si>
  <si>
    <t>MARAIZA QUEIROZ DE OLIVEIRA</t>
  </si>
  <si>
    <t>10/04/1984</t>
  </si>
  <si>
    <t>ALINE MATHEUS COUTINHO</t>
  </si>
  <si>
    <t>10/03/1989</t>
  </si>
  <si>
    <t>30/05/2026</t>
  </si>
  <si>
    <t>LUZMARY SARAHIT CHACON YNFANTE</t>
  </si>
  <si>
    <t>12/09/2003</t>
  </si>
  <si>
    <t>LUCINEIA DA SILVA</t>
  </si>
  <si>
    <t>27/09/1975</t>
  </si>
  <si>
    <t>01.05.1.1.1.1</t>
  </si>
  <si>
    <t>ASSISTENTE DE DP (CD)</t>
  </si>
  <si>
    <t>000400010000</t>
  </si>
  <si>
    <t>VITORIA EDUARDA PRODOSSIMO</t>
  </si>
  <si>
    <t>16/06/2006</t>
  </si>
  <si>
    <t>CHRISTHOFER DE OLIVEIRA</t>
  </si>
  <si>
    <t>SG-SX07:30-17:30 SB07:30-11:30</t>
  </si>
  <si>
    <t>30/09/2006</t>
  </si>
  <si>
    <t>1.2.1.5.1.1</t>
  </si>
  <si>
    <t>ESTOQUISTA - DEPOSITO - LOJA 08</t>
  </si>
  <si>
    <t>CLEIDE DOS SANTOS</t>
  </si>
  <si>
    <t>18/05/1981</t>
  </si>
  <si>
    <t>CLARINDO LUIZ DE OLIVEIRA</t>
  </si>
  <si>
    <t>14/05/1980</t>
  </si>
  <si>
    <t>09/07/2024</t>
  </si>
  <si>
    <t>WALTENIR GOMES</t>
  </si>
  <si>
    <t>17/02/1960</t>
  </si>
  <si>
    <t>08/10/2024</t>
  </si>
  <si>
    <t>ADRIANA VIEIRA QUEIROBA VERONEZ</t>
  </si>
  <si>
    <t>23/07/1978</t>
  </si>
  <si>
    <t>DANIEL FERREIRA DA CRUZ</t>
  </si>
  <si>
    <t>18/11/1999</t>
  </si>
  <si>
    <t>ROSSILEY PONZILACQUA</t>
  </si>
  <si>
    <t>03/05/2025</t>
  </si>
  <si>
    <t>31/08/1962</t>
  </si>
  <si>
    <t>FERNANDO HERNANDE ROSA</t>
  </si>
  <si>
    <t>23/06/1984</t>
  </si>
  <si>
    <t>EDUARDO GABRIEL MORAIS SILVA</t>
  </si>
  <si>
    <t>01/04/2005</t>
  </si>
  <si>
    <t>CRISTIANE NUNES DE LIMA</t>
  </si>
  <si>
    <t>09/06/1979</t>
  </si>
  <si>
    <t>1.2.1.4.1.5</t>
  </si>
  <si>
    <t>FORNEIRO - PRODUCAO DE ALIMENTOS - LOJA 08</t>
  </si>
  <si>
    <t>000100040004</t>
  </si>
  <si>
    <t>JOSE ADEILDO DA SILVA</t>
  </si>
  <si>
    <t>21/05/1968</t>
  </si>
  <si>
    <t>23/09/2024</t>
  </si>
  <si>
    <t>MARIA APARECIDA DE ASSIS MOREIRA</t>
  </si>
  <si>
    <t>29/10/1998</t>
  </si>
  <si>
    <t>ALAIANE FATIMA DA CONCEICAO ALENCAR</t>
  </si>
  <si>
    <t>16/04/1996</t>
  </si>
  <si>
    <t>10/10/2023</t>
  </si>
  <si>
    <t>CAMILI DE AMORIM RODRIGUES</t>
  </si>
  <si>
    <t>21/05/2025</t>
  </si>
  <si>
    <t>04/07/2002</t>
  </si>
  <si>
    <t>ADONAE DOMINGUES DE CASTRO</t>
  </si>
  <si>
    <t>16/06/2025</t>
  </si>
  <si>
    <t>06/03/1995</t>
  </si>
  <si>
    <t>DURVAL RIBEIRO DE BARROS</t>
  </si>
  <si>
    <t>18/06/2025</t>
  </si>
  <si>
    <t>06/09/1961</t>
  </si>
  <si>
    <t>LUIZ HENRIQUE VIEIRA DA CRUZ</t>
  </si>
  <si>
    <t>20/06/2025</t>
  </si>
  <si>
    <t>01/10/2004</t>
  </si>
  <si>
    <t>VILSON XAVIER MORENO</t>
  </si>
  <si>
    <t>16/11/1975</t>
  </si>
  <si>
    <t>VANDERLEY JAQUIS VIDOTTI</t>
  </si>
  <si>
    <t>06/01/1995</t>
  </si>
  <si>
    <t>RAFAEL RODRIGUES DOS SANTOS</t>
  </si>
  <si>
    <t>19/12/1991</t>
  </si>
  <si>
    <t>06/03/2024</t>
  </si>
  <si>
    <t>ANDRE GUSTAVO JAGAS DA SILVA</t>
  </si>
  <si>
    <t>28/06/2025</t>
  </si>
  <si>
    <t>08/08/2001</t>
  </si>
  <si>
    <t>15/05/2025</t>
  </si>
  <si>
    <t>LUCAS FRANCISCO DE LIRA</t>
  </si>
  <si>
    <t>30/06/2025</t>
  </si>
  <si>
    <t>13/03/2001</t>
  </si>
  <si>
    <t>LUIZ EDUARDO DE PAULO</t>
  </si>
  <si>
    <t>06/12/2002</t>
  </si>
  <si>
    <t>RAYANNE COSTA CORREIA DE SOUZA</t>
  </si>
  <si>
    <t>12/07/2025</t>
  </si>
  <si>
    <t>04/06/1999</t>
  </si>
  <si>
    <t>LUAN CARLOS RUFINO</t>
  </si>
  <si>
    <t>27/07/1990</t>
  </si>
  <si>
    <t>LUISA MARGARITA VINA CARDENAS</t>
  </si>
  <si>
    <t>16/07/2025</t>
  </si>
  <si>
    <t>13/09/1987</t>
  </si>
  <si>
    <t>LUISXANNYS VALERIA MEDINA BUSTOS</t>
  </si>
  <si>
    <t>19/07/2025</t>
  </si>
  <si>
    <t>08/11/2005</t>
  </si>
  <si>
    <t>JANETE PEREIRA DA SILVA</t>
  </si>
  <si>
    <t>20/07/2025</t>
  </si>
  <si>
    <t>15/03/1970</t>
  </si>
  <si>
    <t>EDUARDO ENRIQUE GARCIA SALCEDO</t>
  </si>
  <si>
    <t>25/07/2025</t>
  </si>
  <si>
    <t>26/06/2004</t>
  </si>
  <si>
    <t>LUCIANO DE SOUZA DA SILVA</t>
  </si>
  <si>
    <t>01/08/2025</t>
  </si>
  <si>
    <t>09/05/1980</t>
  </si>
  <si>
    <t>WELLINGTON MINORU HASSUO</t>
  </si>
  <si>
    <t>02/08/2025</t>
  </si>
  <si>
    <t>29/05/2001</t>
  </si>
  <si>
    <t>ISAAC ALEJANDRO MARTINEZ LANDAETA</t>
  </si>
  <si>
    <t>07/08/2025</t>
  </si>
  <si>
    <t>06/06/2007</t>
  </si>
  <si>
    <t>10/05/2025</t>
  </si>
  <si>
    <t>RAFAEL TAVARES DOS SANTOS SILVA</t>
  </si>
  <si>
    <t>KAYRON HENRIQUE PIRES DO CARMO</t>
  </si>
  <si>
    <t>24/11/1991</t>
  </si>
  <si>
    <t>08/08/2023</t>
  </si>
  <si>
    <t>CICERO VITURINO DE ASSIS</t>
  </si>
  <si>
    <t>22/08/2025</t>
  </si>
  <si>
    <t>26/02/1963</t>
  </si>
  <si>
    <t>PAULO SERGIO DALBELO</t>
  </si>
  <si>
    <t>08/03/1975</t>
  </si>
  <si>
    <t>SONIA PEREIRA</t>
  </si>
  <si>
    <t>30/08/2025</t>
  </si>
  <si>
    <t>26/02/1970</t>
  </si>
  <si>
    <t>VICTOR LUNA FERREIRA DA SILVA</t>
  </si>
  <si>
    <t>03/11/2005</t>
  </si>
  <si>
    <t>GEOVANE NASCIMENTO DA SILVA</t>
  </si>
  <si>
    <t>29/04/1980</t>
  </si>
  <si>
    <t>15/01/2025</t>
  </si>
  <si>
    <t>JOAO VICTOR DA SILVA TAVARES</t>
  </si>
  <si>
    <t>10/09/2025</t>
  </si>
  <si>
    <t>THIAGO AUGUSTO CRUZ QUINTELA</t>
  </si>
  <si>
    <t>16/08/1998</t>
  </si>
  <si>
    <t>07/02/2024</t>
  </si>
  <si>
    <t>MONIQUE MARIA DA SILVA</t>
  </si>
  <si>
    <t>23/11/1996</t>
  </si>
  <si>
    <t>19/08/2025</t>
  </si>
  <si>
    <t>DHEYLLON DE OLIVEIRA PRESTES</t>
  </si>
  <si>
    <t>15/07/2005</t>
  </si>
  <si>
    <t>FRANCISCO BEZERRA DOS SANTOS</t>
  </si>
  <si>
    <t>07/05/1986</t>
  </si>
  <si>
    <t>ANA MARTA FERREIRA</t>
  </si>
  <si>
    <t>26/09/2025</t>
  </si>
  <si>
    <t>10/11/1998</t>
  </si>
  <si>
    <t>WILMARIS ALEJANDRA MIRANDA RODRIGUEZ</t>
  </si>
  <si>
    <t>29/09/2025</t>
  </si>
  <si>
    <t>17/01/2001</t>
  </si>
  <si>
    <t>LUIZ DAVI DA CONCEICAO</t>
  </si>
  <si>
    <t>15/04/2000</t>
  </si>
  <si>
    <t>LUCAS TURELO</t>
  </si>
  <si>
    <t>26/10/2025</t>
  </si>
  <si>
    <t>18/10/1991</t>
  </si>
  <si>
    <t>FELIPE DE BARROS MOREIRA</t>
  </si>
  <si>
    <t>24/03/2005</t>
  </si>
  <si>
    <t>GRACIELE CRISTINA CORREIA DA SILVA</t>
  </si>
  <si>
    <t>10/08/1980</t>
  </si>
  <si>
    <t>HECTOR JOSE ESPARRAGOZA ARAQUE</t>
  </si>
  <si>
    <t>01/10/2006</t>
  </si>
  <si>
    <t>04/11/2025</t>
  </si>
  <si>
    <t>EWERTON HOFFMANN DA SILVA</t>
  </si>
  <si>
    <t>11/04/1997</t>
  </si>
  <si>
    <t>FERNANDO HENRIQUE SOARES MOREIRA</t>
  </si>
  <si>
    <t>23/11/2025</t>
  </si>
  <si>
    <t>25/01/1993</t>
  </si>
  <si>
    <t>DANIELE CRISTINA DE OLIVEIRA RAFAEL</t>
  </si>
  <si>
    <t>26/11/2025</t>
  </si>
  <si>
    <t>21/04/1988</t>
  </si>
  <si>
    <t>JOSE GREGORIO GUZMAN YRIGOYEN</t>
  </si>
  <si>
    <t>22/08/1989</t>
  </si>
  <si>
    <t>SAMUEL ARY LUIZ FERREIRA DOS SANTOS</t>
  </si>
  <si>
    <t>03/12/2025</t>
  </si>
  <si>
    <t>26/04/2005</t>
  </si>
  <si>
    <t>24/11/2025</t>
  </si>
  <si>
    <t>MARCELO AUGUSTO DE BRITO</t>
  </si>
  <si>
    <t>27/08/2004</t>
  </si>
  <si>
    <t>DEBORA FERREIRA DOS SANTOS</t>
  </si>
  <si>
    <t>23/10/2007</t>
  </si>
  <si>
    <t>URANES VITORIA</t>
  </si>
  <si>
    <t>06/12/2025</t>
  </si>
  <si>
    <t>31/07/1993</t>
  </si>
  <si>
    <t>CLAUDENIZE FARIAS DE MOURO SOUZA</t>
  </si>
  <si>
    <t>17/08/1989</t>
  </si>
  <si>
    <t>DANILO RODRIGUES DOS SANTOS</t>
  </si>
  <si>
    <t>24/12/2025</t>
  </si>
  <si>
    <t>AMILTON BATISTA</t>
  </si>
  <si>
    <t>29/12/2025</t>
  </si>
  <si>
    <t>05/10/1981</t>
  </si>
  <si>
    <t>MARCO ANTONIO DA SILVA MARQUES</t>
  </si>
  <si>
    <t>16/10/1968</t>
  </si>
  <si>
    <t>CARLOS MATHEUS NUNES DO NASCIMENTO</t>
  </si>
  <si>
    <t>31/12/2025</t>
  </si>
  <si>
    <t>30/06/2006</t>
  </si>
  <si>
    <t>LAIS INACIO BARBOSA</t>
  </si>
  <si>
    <t>02/01/2026</t>
  </si>
  <si>
    <t>09/02/1987</t>
  </si>
  <si>
    <t>04/06/2025</t>
  </si>
  <si>
    <t>CARLA COSTA SANTOS</t>
  </si>
  <si>
    <t>06/05/1997</t>
  </si>
  <si>
    <t>VITOR EMANUEL DA CONCEICAO</t>
  </si>
  <si>
    <t>BRUNO CESAR GALLI</t>
  </si>
  <si>
    <t>10/01/2026</t>
  </si>
  <si>
    <t>20/04/1983</t>
  </si>
  <si>
    <t>SAMUEL MARTINS MODUS</t>
  </si>
  <si>
    <t>22/05/1991</t>
  </si>
  <si>
    <t>TALLES DE OLIVEIRA LODDO</t>
  </si>
  <si>
    <t>30/07/2007</t>
  </si>
  <si>
    <t>DANIEL PABLO MARTINEZ SANCHEZ</t>
  </si>
  <si>
    <t>11/11/2003</t>
  </si>
  <si>
    <t>17/03/2025</t>
  </si>
  <si>
    <t>RIKY REIMY CORONADO FLORES</t>
  </si>
  <si>
    <t>19/08/1985</t>
  </si>
  <si>
    <t>JOAO VITOR DOS SANTOS PEREIRA</t>
  </si>
  <si>
    <t>07/02/2026</t>
  </si>
  <si>
    <t>13/12/2005</t>
  </si>
  <si>
    <t>IVONE SEVERINO DE LIMA</t>
  </si>
  <si>
    <t>10/09/1972</t>
  </si>
  <si>
    <t>14/02/2023</t>
  </si>
  <si>
    <t>VAGNER HENRIQUE DE LIMA NUNES</t>
  </si>
  <si>
    <t>24/07/1989</t>
  </si>
  <si>
    <t>BRENDA APARECIDA FERREIRA</t>
  </si>
  <si>
    <t>08/03/2026</t>
  </si>
  <si>
    <t>19/03/1999</t>
  </si>
  <si>
    <t>ANA PAULA AVILA</t>
  </si>
  <si>
    <t>27/10/1980</t>
  </si>
  <si>
    <t>MATHEUS JUNIOR GOMES CARDOSO</t>
  </si>
  <si>
    <t>21/03/2026</t>
  </si>
  <si>
    <t>06/05/2003</t>
  </si>
  <si>
    <t>RAPHAEL BRANDÃO CHAGAS</t>
  </si>
  <si>
    <t>19/01/1998</t>
  </si>
  <si>
    <t>LUIS CARLOS PEREIRA DOS SANTOS</t>
  </si>
  <si>
    <t>27/03/2026</t>
  </si>
  <si>
    <t>14/09/1963</t>
  </si>
  <si>
    <t>HELOISA FERNANDA ADOLFO</t>
  </si>
  <si>
    <t>31/03/2026</t>
  </si>
  <si>
    <t>04/02/2002</t>
  </si>
  <si>
    <t>SARA BOTELHO MACHADO</t>
  </si>
  <si>
    <t>03/11/2001</t>
  </si>
  <si>
    <t>MATHEUS HENRIQUE DOS SANTOS LORIANO</t>
  </si>
  <si>
    <t>03/04/2026</t>
  </si>
  <si>
    <t>09/05/2003</t>
  </si>
  <si>
    <t>SIRLENE APARECIDA CRIPPA</t>
  </si>
  <si>
    <t>04/04/2026</t>
  </si>
  <si>
    <t>29/05/1978</t>
  </si>
  <si>
    <t>JOAO PEDRO SANTOS SOARES</t>
  </si>
  <si>
    <t>07/04/2026</t>
  </si>
  <si>
    <t>27/06/2002</t>
  </si>
  <si>
    <t>BIANCA DE JESUS RIBEIRO</t>
  </si>
  <si>
    <t>18/06/2006</t>
  </si>
  <si>
    <t>HELIO SANTANA DE JESUS</t>
  </si>
  <si>
    <t>24/05/1978</t>
  </si>
  <si>
    <t>JOAO VITOR ARRUDA DE OLIVEIRA</t>
  </si>
  <si>
    <t>26/04/2026</t>
  </si>
  <si>
    <t>18/05/2007</t>
  </si>
  <si>
    <t>29/05/2026</t>
  </si>
  <si>
    <t>CARLA RAFAELA DE LIMA</t>
  </si>
  <si>
    <t>09/06/1999</t>
  </si>
  <si>
    <t>09/06/2026</t>
  </si>
  <si>
    <t>ADRIANO APARECIDO RODRIGUES</t>
  </si>
  <si>
    <t>GERENTE DE REPOSIÇÃO DE MERCADORIAS - LOJA 3</t>
  </si>
  <si>
    <t>JOANA PRISCILLA RIVERIN MORALES</t>
  </si>
  <si>
    <t>23/02/1986</t>
  </si>
  <si>
    <t>1.2.1.1.2.1.3</t>
  </si>
  <si>
    <t>ZELADOR (A) - LIMPEZA - LOJA 3</t>
  </si>
  <si>
    <t>00010000010003</t>
  </si>
  <si>
    <t>AMANDA SOPHIA MARINS DOS SANTOS</t>
  </si>
  <si>
    <t>15/06/2008</t>
  </si>
  <si>
    <t>FILIPE CAUA CASATI TRENTO</t>
  </si>
  <si>
    <t>09/02/2005</t>
  </si>
  <si>
    <t>REPOSITOR (A) - FRIOS - CAMARA FRIA - LOJA 3</t>
  </si>
  <si>
    <t>NAIARA CAROLINE CUSTODIO</t>
  </si>
  <si>
    <t>ENZO GABRIEL SPAZINI DA SILVA</t>
  </si>
  <si>
    <t>24/03/2010</t>
  </si>
  <si>
    <t>IVANILDA CRISTINA CALDEIRA DE ALVARENGA</t>
  </si>
  <si>
    <t>05/09/1977</t>
  </si>
  <si>
    <t>BRYAN RAPHAEL MIRANDA TOTH</t>
  </si>
  <si>
    <t>15/03/2009</t>
  </si>
  <si>
    <t>VANDERSON MELO DE AZEVEDO</t>
  </si>
  <si>
    <t>20/03/1987</t>
  </si>
  <si>
    <t>PAULO CESAR RAMOS DIAS</t>
  </si>
  <si>
    <t>25/04/1972</t>
  </si>
  <si>
    <t>1.4.3.0.4</t>
  </si>
  <si>
    <t>ASSISTENTE CONTABIL NV III-CD</t>
  </si>
  <si>
    <t>0003020003</t>
  </si>
  <si>
    <t>ANA LUISA DA SILVA DE ALMEIDA</t>
  </si>
  <si>
    <t>10/04/2009</t>
  </si>
  <si>
    <t>GUILHERME DUARTE SANTOS</t>
  </si>
  <si>
    <t>05/06/2009</t>
  </si>
  <si>
    <t>MARIA EDUARDA VASCAO DOS SANTOS</t>
  </si>
  <si>
    <t>17/08/2004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</si>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</sst>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24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28</v>
      </c>
      <c r="D5" s="94"/>
      <c r="E5" s="16" t="s">
        <v>29</v>
      </c>
      <c r="H5" s="200" t="s">
        <v>30</v>
      </c>
      <c r="I5" s="201"/>
      <c r="J5" s="201"/>
      <c r="K5" s="201"/>
      <c r="L5" s="201"/>
      <c r="M5" s="201"/>
      <c r="N5" s="202"/>
      <c r="O5" s="2"/>
      <c r="P5" s="196" t="s">
        <v>31</v>
      </c>
      <c r="Q5" s="197"/>
      <c r="R5" s="197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LJ01'!G20</f>
        <v>4808087.6700000139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206">
        <v>2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09" t="s">
        <v>65</v>
      </c>
      <c r="F32" s="21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32</v>
      </c>
      <c r="E33" s="211">
        <f>E30+E27+E24+E21+E18+E15+F18+F21+F24+F27+F30</f>
        <v>26</v>
      </c>
      <c r="F33" s="21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9"/>
      <c r="C35" s="8">
        <v>29</v>
      </c>
      <c r="E35" s="217">
        <v>31</v>
      </c>
      <c r="F35" s="218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102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196" t="s">
        <v>31</v>
      </c>
      <c r="Q5" s="197"/>
      <c r="R5" s="197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LJ02'!G20</f>
        <v>2939070.1999999955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N26" s="4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16</v>
      </c>
      <c r="E33" s="217">
        <f>E30+E27+E24+E21+E18+E15+F18+F21+F24+F27+F30</f>
        <v>19</v>
      </c>
      <c r="F33" s="218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9"/>
      <c r="C35" s="8">
        <v>20</v>
      </c>
      <c r="E35" s="217">
        <v>22</v>
      </c>
      <c r="F35" s="218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103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28</v>
      </c>
      <c r="D5" s="94"/>
      <c r="E5" s="16" t="s">
        <v>29</v>
      </c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LJ03'!G20</f>
        <v>2860012.5199999972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104</v>
      </c>
      <c r="Q17" s="3"/>
      <c r="R17" s="113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24</v>
      </c>
      <c r="E33" s="217">
        <f>E30+E27+E24+E21+E18+E15+F30+F27+F24+F21+F18</f>
        <v>14</v>
      </c>
      <c r="F33" s="218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9"/>
      <c r="C35" s="8">
        <v>22</v>
      </c>
      <c r="E35" s="217">
        <v>15</v>
      </c>
      <c r="F35" s="218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105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LJ04'!G20</f>
        <v>2302464.0900000026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17</v>
      </c>
      <c r="E33" s="217">
        <f>E30+E27+E24+E21+E18+E15+F30+F27+F24+F21+F18</f>
        <v>14</v>
      </c>
      <c r="F33" s="218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9"/>
      <c r="C35" s="8">
        <v>14</v>
      </c>
      <c r="E35" s="217">
        <v>14</v>
      </c>
      <c r="F35" s="218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106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LJ05'!G20</f>
        <v>3390641.5500000156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217">
        <f>E30+E27+E24+E21+E18+E15+F30+F27+F24+F21+F18</f>
        <v>16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9"/>
      <c r="C35" s="8">
        <v>19</v>
      </c>
      <c r="E35" s="217">
        <v>22</v>
      </c>
      <c r="F35" s="218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107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LJ06'!G20</f>
        <v>3975894.6600000258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217">
        <f>E30+E27+E24+E21+E18+E15+F30+F27+F24+F21+F18</f>
        <v>22</v>
      </c>
      <c r="F33" s="218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9"/>
      <c r="C35" s="8">
        <v>23</v>
      </c>
      <c r="E35" s="217">
        <v>23</v>
      </c>
      <c r="F35" s="218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220"/>
      <c r="K38" s="4"/>
      <c r="L38" s="220"/>
      <c r="M38" s="4"/>
      <c r="N38" s="220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108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28</v>
      </c>
      <c r="D5" s="94"/>
      <c r="E5" s="16" t="s">
        <v>29</v>
      </c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LJ07'!G20</f>
        <v>3792851.7700000079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29</v>
      </c>
      <c r="E33" s="217">
        <f>E30+E27+E24+E21+E18+E15+F30+F27+F24+F21+F18</f>
        <v>23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9"/>
      <c r="C35" s="8">
        <v>32</v>
      </c>
      <c r="E35" s="217">
        <v>25</v>
      </c>
      <c r="F35" s="218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0"/>
      <c r="K38" s="4"/>
      <c r="L38" s="220"/>
      <c r="M38" s="4"/>
      <c r="N38" s="220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109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19</v>
      </c>
      <c r="E33" s="217">
        <f>E30+E27+E24+E21+E18+E15+F30+F27+F24+F21+F18</f>
        <v>18</v>
      </c>
      <c r="F33" s="218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C35" s="8">
        <v>31</v>
      </c>
      <c r="E35" s="217">
        <v>16</v>
      </c>
      <c r="F35" s="218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9"/>
      <c r="J37" s="219" t="s">
        <v>65</v>
      </c>
      <c r="K37" s="4"/>
      <c r="L37" s="219" t="s">
        <v>100</v>
      </c>
      <c r="M37" s="4"/>
      <c r="N37" s="219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0"/>
      <c r="K38" s="4"/>
      <c r="L38" s="220"/>
      <c r="M38" s="4"/>
      <c r="N38" s="220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110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206">
        <v>8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00" t="s">
        <v>43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LJTT'!G20</f>
        <v>27142168.41000006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206">
        <v>9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51</v>
      </c>
      <c r="D13" s="4"/>
      <c r="E13" s="213" t="s">
        <v>52</v>
      </c>
      <c r="F13" s="214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15" t="s">
        <v>61</v>
      </c>
      <c r="F14" s="216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217">
        <f>'PLJ01'!E15+'PLJ02'!E15+'PLJ03'!E15+'PLJ04'!E15+'PLJ05'!E15+'PLJ06'!E15+'PLJ07'!E15+'PLJ08'!E15</f>
        <v>8</v>
      </c>
      <c r="F15" s="218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189" t="s">
        <v>64</v>
      </c>
      <c r="Y15" s="190"/>
    </row>
    <row r="16" spans="2:25" ht="15.6" x14ac:dyDescent="0.3">
      <c r="B16" s="99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213" t="s">
        <v>65</v>
      </c>
      <c r="F32" s="214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187</v>
      </c>
      <c r="E33" s="217">
        <f>E30+E27+E24+E21+E18+E15+F30+F27+F24+F21+F18</f>
        <v>152</v>
      </c>
      <c r="F33" s="218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C34" s="15" t="s">
        <v>65</v>
      </c>
      <c r="D34" s="4"/>
      <c r="E34" s="213" t="s">
        <v>65</v>
      </c>
      <c r="F34" s="214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9"/>
      <c r="C35" s="8">
        <v>190</v>
      </c>
      <c r="E35" s="217">
        <v>167</v>
      </c>
      <c r="F35" s="218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9"/>
      <c r="J37" s="219" t="s">
        <v>65</v>
      </c>
      <c r="K37" s="4"/>
      <c r="L37" s="219" t="s">
        <v>111</v>
      </c>
      <c r="M37" s="4"/>
      <c r="N37" s="219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220"/>
      <c r="K38" s="4"/>
      <c r="L38" s="220"/>
      <c r="M38" s="4"/>
      <c r="N38" s="220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4">
        <f>'PLJ01'!L39+'PLJ02'!L39+'PLJ03'!L39+'PLJ04'!L39+'PLJ05'!L39+'PLJ06'!L39+'PLJ07'!L39+'PLJ08'!L39</f>
        <v>629</v>
      </c>
      <c r="N41" s="144" t="s">
        <v>113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42" t="s">
        <v>3</v>
      </c>
      <c r="E8" s="243"/>
      <c r="F8" s="243"/>
      <c r="G8" s="184" t="s">
        <v>4</v>
      </c>
      <c r="H8" s="244" t="s">
        <v>5</v>
      </c>
      <c r="I8" s="244"/>
      <c r="J8" s="244"/>
      <c r="K8" s="244"/>
      <c r="L8" s="244"/>
      <c r="M8" s="223" t="s">
        <v>6</v>
      </c>
      <c r="N8" s="223"/>
      <c r="O8" s="224"/>
    </row>
    <row r="9" spans="1:15" s="180" customFormat="1" ht="18" x14ac:dyDescent="0.3">
      <c r="A9" s="172" t="s">
        <v>7</v>
      </c>
      <c r="B9" s="228" t="s">
        <v>8</v>
      </c>
      <c r="C9" s="232"/>
      <c r="D9" s="173" t="s">
        <v>9</v>
      </c>
      <c r="E9" s="174" t="s">
        <v>10</v>
      </c>
      <c r="F9" s="174" t="s">
        <v>11</v>
      </c>
      <c r="G9" s="185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114</v>
      </c>
      <c r="B10" s="233"/>
      <c r="C10" s="234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115</v>
      </c>
      <c r="B11" s="230"/>
      <c r="C11" s="235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116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25" t="s">
        <v>13</v>
      </c>
      <c r="C13" s="226"/>
      <c r="D13" s="227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28" t="s">
        <v>117</v>
      </c>
      <c r="C15" s="229"/>
      <c r="D15" s="162" t="s">
        <v>9</v>
      </c>
      <c r="E15" s="163" t="s">
        <v>10</v>
      </c>
      <c r="F15" s="163" t="s">
        <v>11</v>
      </c>
      <c r="G15" s="185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118</v>
      </c>
      <c r="B16" s="230"/>
      <c r="C16" s="231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119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36" t="s">
        <v>13</v>
      </c>
      <c r="C18" s="237"/>
      <c r="D18" s="238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5" t="s">
        <v>120</v>
      </c>
      <c r="C20" s="246"/>
      <c r="D20" s="162" t="s">
        <v>9</v>
      </c>
      <c r="E20" s="163" t="s">
        <v>10</v>
      </c>
      <c r="F20" s="163" t="s">
        <v>11</v>
      </c>
      <c r="G20" s="185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121</v>
      </c>
      <c r="B21" s="247"/>
      <c r="C21" s="248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122</v>
      </c>
      <c r="B22" s="247"/>
      <c r="C22" s="248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123</v>
      </c>
      <c r="B23" s="247"/>
      <c r="C23" s="248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124</v>
      </c>
      <c r="B24" s="247"/>
      <c r="C24" s="248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125</v>
      </c>
      <c r="B25" s="247"/>
      <c r="C25" s="248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126</v>
      </c>
      <c r="B26" s="247"/>
      <c r="C26" s="248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127</v>
      </c>
      <c r="B27" s="247"/>
      <c r="C27" s="248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128</v>
      </c>
      <c r="B28" s="247"/>
      <c r="C28" s="248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129</v>
      </c>
      <c r="B29" s="247"/>
      <c r="C29" s="248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130</v>
      </c>
      <c r="B30" s="247"/>
      <c r="C30" s="248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131</v>
      </c>
      <c r="B31" s="247"/>
      <c r="C31" s="248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132</v>
      </c>
      <c r="B32" s="247"/>
      <c r="C32" s="248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133</v>
      </c>
      <c r="B33" s="247"/>
      <c r="C33" s="248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134</v>
      </c>
      <c r="B34" s="247"/>
      <c r="C34" s="248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135</v>
      </c>
      <c r="B35" s="247"/>
      <c r="C35" s="248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136</v>
      </c>
      <c r="B36" s="247"/>
      <c r="C36" s="248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137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36" t="s">
        <v>13</v>
      </c>
      <c r="C38" s="237"/>
      <c r="D38" s="238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5" t="s">
        <v>138</v>
      </c>
      <c r="C40" s="246"/>
      <c r="D40" s="162" t="s">
        <v>9</v>
      </c>
      <c r="E40" s="163" t="s">
        <v>10</v>
      </c>
      <c r="F40" s="163" t="s">
        <v>11</v>
      </c>
      <c r="G40" s="185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139</v>
      </c>
      <c r="B41" s="247"/>
      <c r="C41" s="248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140</v>
      </c>
      <c r="B42" s="247"/>
      <c r="C42" s="248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141</v>
      </c>
      <c r="B43" s="247"/>
      <c r="C43" s="248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142</v>
      </c>
      <c r="B44" s="247"/>
      <c r="C44" s="248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143</v>
      </c>
      <c r="B45" s="247"/>
      <c r="C45" s="248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144</v>
      </c>
      <c r="B46" s="249"/>
      <c r="C46" s="250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145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36" t="s">
        <v>13</v>
      </c>
      <c r="C48" s="237"/>
      <c r="D48" s="238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28" t="s">
        <v>146</v>
      </c>
      <c r="C50" s="232"/>
      <c r="D50" s="162" t="s">
        <v>9</v>
      </c>
      <c r="E50" s="163" t="s">
        <v>10</v>
      </c>
      <c r="F50" s="163" t="s">
        <v>11</v>
      </c>
      <c r="G50" s="185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147</v>
      </c>
      <c r="B51" s="233"/>
      <c r="C51" s="234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148</v>
      </c>
      <c r="B52" s="233"/>
      <c r="C52" s="234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149</v>
      </c>
      <c r="B53" s="230"/>
      <c r="C53" s="235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150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36" t="s">
        <v>13</v>
      </c>
      <c r="C55" s="237"/>
      <c r="D55" s="238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28" t="s">
        <v>151</v>
      </c>
      <c r="C57" s="232"/>
      <c r="D57" s="162" t="s">
        <v>9</v>
      </c>
      <c r="E57" s="163" t="s">
        <v>10</v>
      </c>
      <c r="F57" s="163" t="s">
        <v>11</v>
      </c>
      <c r="G57" s="185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152</v>
      </c>
      <c r="B58" s="233"/>
      <c r="C58" s="234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153</v>
      </c>
      <c r="B59" s="233"/>
      <c r="C59" s="234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154</v>
      </c>
      <c r="B60" s="233"/>
      <c r="C60" s="234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155</v>
      </c>
      <c r="B61" s="233"/>
      <c r="C61" s="234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156</v>
      </c>
      <c r="B62" s="233"/>
      <c r="C62" s="234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157</v>
      </c>
      <c r="B63" s="233"/>
      <c r="C63" s="234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158</v>
      </c>
      <c r="B64" s="233"/>
      <c r="C64" s="234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159</v>
      </c>
      <c r="B65" s="233"/>
      <c r="C65" s="234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160</v>
      </c>
      <c r="B66" s="233"/>
      <c r="C66" s="234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161</v>
      </c>
      <c r="B67" s="233"/>
      <c r="C67" s="234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162</v>
      </c>
      <c r="B68" s="233"/>
      <c r="C68" s="234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163</v>
      </c>
      <c r="B69" s="233"/>
      <c r="C69" s="234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164</v>
      </c>
      <c r="B70" s="233"/>
      <c r="C70" s="234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165</v>
      </c>
      <c r="B71" s="233"/>
      <c r="C71" s="234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166</v>
      </c>
      <c r="B72" s="233"/>
      <c r="C72" s="234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167</v>
      </c>
      <c r="B73" s="233"/>
      <c r="C73" s="234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168</v>
      </c>
      <c r="B74" s="233"/>
      <c r="C74" s="234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169</v>
      </c>
      <c r="B75" s="233"/>
      <c r="C75" s="234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170</v>
      </c>
      <c r="B76" s="233"/>
      <c r="C76" s="234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171</v>
      </c>
      <c r="B77" s="233"/>
      <c r="C77" s="234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172</v>
      </c>
      <c r="B78" s="233"/>
      <c r="C78" s="234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173</v>
      </c>
      <c r="B79" s="233"/>
      <c r="C79" s="234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174</v>
      </c>
      <c r="B80" s="233"/>
      <c r="C80" s="234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175</v>
      </c>
      <c r="B81" s="233"/>
      <c r="C81" s="234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176</v>
      </c>
      <c r="B82" s="233"/>
      <c r="C82" s="234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177</v>
      </c>
      <c r="B83" s="233"/>
      <c r="C83" s="234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178</v>
      </c>
      <c r="B84" s="233"/>
      <c r="C84" s="234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179</v>
      </c>
      <c r="B85" s="233"/>
      <c r="C85" s="234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180</v>
      </c>
      <c r="B86" s="233"/>
      <c r="C86" s="234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181</v>
      </c>
      <c r="B87" s="233"/>
      <c r="C87" s="234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182</v>
      </c>
      <c r="B88" s="233"/>
      <c r="C88" s="234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183</v>
      </c>
      <c r="B89" s="233"/>
      <c r="C89" s="234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184</v>
      </c>
      <c r="B90" s="233"/>
      <c r="C90" s="234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185</v>
      </c>
      <c r="B91" s="233"/>
      <c r="C91" s="234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186</v>
      </c>
      <c r="B92" s="233"/>
      <c r="C92" s="234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187</v>
      </c>
      <c r="B93" s="233"/>
      <c r="C93" s="234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188</v>
      </c>
      <c r="B94" s="233"/>
      <c r="C94" s="234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189</v>
      </c>
      <c r="B95" s="230"/>
      <c r="C95" s="235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190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36" t="s">
        <v>13</v>
      </c>
      <c r="C97" s="237"/>
      <c r="D97" s="238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39" t="s">
        <v>15</v>
      </c>
      <c r="C99" s="229"/>
      <c r="D99" s="162" t="s">
        <v>9</v>
      </c>
      <c r="E99" s="163" t="s">
        <v>10</v>
      </c>
      <c r="F99" s="163" t="s">
        <v>11</v>
      </c>
      <c r="G99" s="185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191</v>
      </c>
      <c r="B100" s="222"/>
      <c r="C100" s="240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192</v>
      </c>
      <c r="B101" s="222"/>
      <c r="C101" s="240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193</v>
      </c>
      <c r="B102" s="222"/>
      <c r="C102" s="240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194</v>
      </c>
      <c r="B103" s="241"/>
      <c r="C103" s="231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195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36" t="s">
        <v>13</v>
      </c>
      <c r="C105" s="237"/>
      <c r="D105" s="238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28" t="s">
        <v>196</v>
      </c>
      <c r="C107" s="232"/>
      <c r="D107" s="162" t="s">
        <v>9</v>
      </c>
      <c r="E107" s="163" t="s">
        <v>10</v>
      </c>
      <c r="F107" s="163" t="s">
        <v>11</v>
      </c>
      <c r="G107" s="185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197</v>
      </c>
      <c r="B108" s="233"/>
      <c r="C108" s="234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198</v>
      </c>
      <c r="B109" s="233"/>
      <c r="C109" s="234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199</v>
      </c>
      <c r="B110" s="230"/>
      <c r="C110" s="235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200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36" t="s">
        <v>13</v>
      </c>
      <c r="C112" s="237"/>
      <c r="D112" s="238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3" t="s">
        <v>201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25</v>
      </c>
      <c r="Y3" s="188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00" t="s">
        <v>30</v>
      </c>
      <c r="I5" s="201"/>
      <c r="J5" s="201"/>
      <c r="K5" s="201"/>
      <c r="L5" s="201"/>
      <c r="M5" s="201"/>
      <c r="N5" s="202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206">
        <v>2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0" t="s">
        <v>117</v>
      </c>
      <c r="I9" s="201"/>
      <c r="J9" s="201"/>
      <c r="K9" s="201"/>
      <c r="L9" s="201"/>
      <c r="M9" s="201"/>
      <c r="N9" s="202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189" t="s">
        <v>47</v>
      </c>
      <c r="Y9" s="190"/>
    </row>
    <row r="10" spans="2:25" ht="14.4" customHeight="1" x14ac:dyDescent="0.3">
      <c r="B10" s="99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9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63</v>
      </c>
      <c r="V15" s="20">
        <f>'Hist LJ08'!M20</f>
        <v>4325295.1000000108</v>
      </c>
      <c r="X15" s="189" t="s">
        <v>64</v>
      </c>
      <c r="Y15" s="190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1" t="s">
        <v>83</v>
      </c>
      <c r="V21" s="192"/>
      <c r="W21" s="27"/>
      <c r="X21" s="191" t="s">
        <v>84</v>
      </c>
      <c r="Y21" s="192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1" t="s">
        <v>92</v>
      </c>
      <c r="V27" s="192"/>
      <c r="W27" s="27"/>
      <c r="X27" s="191" t="s">
        <v>93</v>
      </c>
      <c r="Y27" s="192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1" t="s">
        <v>97</v>
      </c>
      <c r="V33" s="192"/>
      <c r="X33" s="191" t="s">
        <v>98</v>
      </c>
      <c r="Y33" s="192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56"/>
  <sheetViews>
    <sheetView tabSelected="1" workbookViewId="0"/>
  </sheetViews>
  <sheetFormatPr defaultRowHeight="14.4" x14ac:dyDescent="0.3"/>
  <cols>
    <col min="1" max="1" width="8.88671875" style="72"/>
    <col min="2" max="2" width="16" style="72" bestFit="1" customWidth="1"/>
    <col min="3" max="3" width="15.6640625" style="72" bestFit="1" customWidth="1"/>
    <col min="4" max="4" width="13" style="72" customWidth="1"/>
    <col min="7" max="7" width="23.109375" customWidth="1"/>
    <col min="8" max="8" width="8" bestFit="1" customWidth="1"/>
    <col min="9" max="9" width="12.109375" customWidth="1"/>
    <col min="10" max="10" width="2.109375" customWidth="1"/>
    <col min="11" max="12" width="11" bestFit="1" customWidth="1"/>
    <col min="13" max="13" width="10.5546875" bestFit="1" customWidth="1"/>
    <col min="14" max="14" width="12" bestFit="1" customWidth="1"/>
    <col min="15" max="16" width="2.88671875" customWidth="1"/>
    <col min="17" max="17" width="12" customWidth="1"/>
    <col min="18" max="18" width="17.109375" customWidth="1"/>
    <col min="19" max="19" width="60.33203125" bestFit="1" customWidth="1"/>
  </cols>
  <sheetData>
    <row r="1" spans="1:20" s="10" customFormat="1" x14ac:dyDescent="0.3">
      <c r="A1" s="151" t="s">
        <v>202</v>
      </c>
      <c r="B1" s="151" t="s">
        <v>203</v>
      </c>
      <c r="C1" s="151" t="s">
        <v>204</v>
      </c>
      <c r="D1" s="151" t="s">
        <v>205</v>
      </c>
      <c r="E1" s="156" t="s">
        <v>206</v>
      </c>
      <c r="F1" s="156" t="s">
        <v>207</v>
      </c>
      <c r="G1" s="156" t="s">
        <v>208</v>
      </c>
      <c r="H1" s="156" t="s">
        <v>209</v>
      </c>
      <c r="I1" s="156" t="s">
        <v>210</v>
      </c>
      <c r="J1" s="156" t="s">
        <v>205</v>
      </c>
      <c r="K1" s="156" t="s">
        <v>211</v>
      </c>
      <c r="L1" s="156" t="s">
        <v>212</v>
      </c>
      <c r="M1" s="156" t="s">
        <v>213</v>
      </c>
      <c r="N1" s="156" t="s">
        <v>214</v>
      </c>
      <c r="O1" s="156" t="s">
        <v>215</v>
      </c>
      <c r="P1" s="156" t="s">
        <v>216</v>
      </c>
      <c r="Q1" s="156" t="s">
        <v>217</v>
      </c>
      <c r="R1" s="156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>
        <v>1085</v>
      </c>
      <c r="I2" s="71" t="s">
        <v>222</v>
      </c>
      <c r="J2" s="71">
        <v>1</v>
      </c>
      <c r="K2" s="71" t="s">
        <v>223</v>
      </c>
      <c r="L2" s="71" t="s">
        <v>224</v>
      </c>
      <c r="M2" s="71" t="s">
        <v>225</v>
      </c>
      <c r="N2" s="71">
        <v>41518102859</v>
      </c>
      <c r="Q2" s="71">
        <v>0</v>
      </c>
      <c r="R2" s="71" t="s">
        <v>226</v>
      </c>
      <c r="S2" s="71" t="s">
        <v>227</v>
      </c>
      <c r="T2" s="71" t="s">
        <v>247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229</v>
      </c>
      <c r="H3" s="71">
        <v>1074</v>
      </c>
      <c r="I3" s="71" t="s">
        <v>230</v>
      </c>
      <c r="J3" s="71">
        <v>1</v>
      </c>
      <c r="K3" s="71" t="s">
        <v>223</v>
      </c>
      <c r="L3" s="71" t="s">
        <v>232</v>
      </c>
      <c r="M3" s="71" t="s">
        <v>233</v>
      </c>
      <c r="N3" s="71">
        <v>9695264905</v>
      </c>
      <c r="Q3" s="71">
        <v>0</v>
      </c>
      <c r="R3" s="71" t="s">
        <v>234</v>
      </c>
      <c r="S3" s="71" t="s">
        <v>235</v>
      </c>
      <c r="T3" s="71" t="s">
        <v>236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Afastamento</v>
      </c>
      <c r="E4" s="71">
        <v>1</v>
      </c>
      <c r="F4" s="71">
        <v>1649</v>
      </c>
      <c r="G4" s="71" t="s">
        <v>237</v>
      </c>
      <c r="H4" s="71">
        <v>1095</v>
      </c>
      <c r="I4" s="71" t="s">
        <v>238</v>
      </c>
      <c r="J4" s="71">
        <v>4</v>
      </c>
      <c r="K4" s="71" t="s">
        <v>239</v>
      </c>
      <c r="L4" s="71" t="s">
        <v>240</v>
      </c>
      <c r="M4" s="71" t="s">
        <v>241</v>
      </c>
      <c r="N4" s="71">
        <v>70779462408</v>
      </c>
      <c r="Q4" s="71">
        <v>0</v>
      </c>
      <c r="R4" s="71" t="s">
        <v>234</v>
      </c>
      <c r="S4" s="71" t="s">
        <v>235</v>
      </c>
      <c r="T4" s="71" t="s">
        <v>236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242</v>
      </c>
      <c r="H5" s="71">
        <v>47</v>
      </c>
      <c r="I5" s="71" t="s">
        <v>222</v>
      </c>
      <c r="J5" s="71">
        <v>1</v>
      </c>
      <c r="K5" s="71" t="s">
        <v>223</v>
      </c>
      <c r="L5" s="71" t="s">
        <v>243</v>
      </c>
      <c r="M5" s="71" t="s">
        <v>244</v>
      </c>
      <c r="N5" s="71">
        <v>9546509990</v>
      </c>
      <c r="O5" s="71" t="s">
        <v>245</v>
      </c>
      <c r="P5" s="71" t="s">
        <v>246</v>
      </c>
      <c r="Q5" s="71">
        <v>0</v>
      </c>
      <c r="R5" s="71" t="s">
        <v>226</v>
      </c>
      <c r="S5" s="71" t="s">
        <v>227</v>
      </c>
      <c r="T5" s="71" t="s">
        <v>247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248</v>
      </c>
      <c r="H6" s="71">
        <v>1086</v>
      </c>
      <c r="I6" s="71" t="s">
        <v>222</v>
      </c>
      <c r="J6" s="71">
        <v>1</v>
      </c>
      <c r="K6" s="71" t="s">
        <v>223</v>
      </c>
      <c r="L6" s="71" t="s">
        <v>249</v>
      </c>
      <c r="M6" s="71" t="s">
        <v>250</v>
      </c>
      <c r="N6" s="71">
        <v>2621462901</v>
      </c>
      <c r="Q6" s="71">
        <v>0</v>
      </c>
      <c r="R6" s="71" t="s">
        <v>226</v>
      </c>
      <c r="S6" s="71" t="s">
        <v>227</v>
      </c>
      <c r="T6" s="71" t="s">
        <v>247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251</v>
      </c>
      <c r="H7" s="71">
        <v>1076</v>
      </c>
      <c r="I7" s="71" t="s">
        <v>230</v>
      </c>
      <c r="J7" s="71">
        <v>1</v>
      </c>
      <c r="K7" s="71" t="s">
        <v>223</v>
      </c>
      <c r="L7" s="71" t="s">
        <v>252</v>
      </c>
      <c r="M7" s="71" t="s">
        <v>253</v>
      </c>
      <c r="N7" s="71">
        <v>6251458950</v>
      </c>
      <c r="Q7" s="71">
        <v>0</v>
      </c>
      <c r="R7" s="71" t="s">
        <v>226</v>
      </c>
      <c r="S7" s="71" t="s">
        <v>227</v>
      </c>
      <c r="T7" s="71" t="s">
        <v>247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254</v>
      </c>
      <c r="H8" s="71">
        <v>1091</v>
      </c>
      <c r="I8" s="71" t="s">
        <v>238</v>
      </c>
      <c r="J8" s="71">
        <v>1</v>
      </c>
      <c r="K8" s="71" t="s">
        <v>223</v>
      </c>
      <c r="L8" s="71" t="s">
        <v>255</v>
      </c>
      <c r="M8" s="71" t="s">
        <v>256</v>
      </c>
      <c r="N8" s="71">
        <v>91796652920</v>
      </c>
      <c r="Q8" s="71">
        <v>0</v>
      </c>
      <c r="R8" s="71" t="s">
        <v>234</v>
      </c>
      <c r="S8" s="71" t="s">
        <v>235</v>
      </c>
      <c r="T8" s="71" t="s">
        <v>236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3945</v>
      </c>
      <c r="H9" s="71">
        <v>47</v>
      </c>
      <c r="I9" s="71" t="s">
        <v>222</v>
      </c>
      <c r="J9" s="71">
        <v>1</v>
      </c>
      <c r="K9" s="71" t="s">
        <v>223</v>
      </c>
      <c r="L9" s="71" t="s">
        <v>3946</v>
      </c>
      <c r="M9" s="71" t="s">
        <v>3633</v>
      </c>
      <c r="N9" s="71">
        <v>394079264</v>
      </c>
      <c r="O9" s="71" t="s">
        <v>245</v>
      </c>
      <c r="P9" s="71" t="s">
        <v>246</v>
      </c>
      <c r="Q9" s="71">
        <v>0</v>
      </c>
      <c r="R9" s="71" t="s">
        <v>226</v>
      </c>
      <c r="S9" s="71" t="s">
        <v>227</v>
      </c>
      <c r="T9" s="71" t="s">
        <v>247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71">
        <v>1</v>
      </c>
      <c r="F10" s="71">
        <v>1780</v>
      </c>
      <c r="G10" s="71" t="s">
        <v>257</v>
      </c>
      <c r="H10" s="71">
        <v>1089</v>
      </c>
      <c r="I10" s="71" t="s">
        <v>222</v>
      </c>
      <c r="J10" s="71">
        <v>7</v>
      </c>
      <c r="K10" s="71" t="s">
        <v>3674</v>
      </c>
      <c r="L10" s="71" t="s">
        <v>258</v>
      </c>
      <c r="M10" s="71" t="s">
        <v>259</v>
      </c>
      <c r="N10" s="71">
        <v>63954060949</v>
      </c>
      <c r="Q10" s="71">
        <v>0</v>
      </c>
      <c r="R10" s="71" t="s">
        <v>234</v>
      </c>
      <c r="S10" s="71" t="s">
        <v>235</v>
      </c>
      <c r="T10" s="71" t="s">
        <v>236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217</v>
      </c>
      <c r="G11" s="71" t="s">
        <v>260</v>
      </c>
      <c r="H11" s="71">
        <v>1073</v>
      </c>
      <c r="I11" s="71" t="s">
        <v>230</v>
      </c>
      <c r="J11" s="71">
        <v>1</v>
      </c>
      <c r="K11" s="71" t="s">
        <v>223</v>
      </c>
      <c r="L11" s="71" t="s">
        <v>261</v>
      </c>
      <c r="M11" s="71" t="s">
        <v>262</v>
      </c>
      <c r="N11" s="71">
        <v>1993002910</v>
      </c>
      <c r="Q11" s="71">
        <v>0</v>
      </c>
      <c r="R11" s="71" t="s">
        <v>263</v>
      </c>
      <c r="S11" s="71" t="s">
        <v>264</v>
      </c>
      <c r="T11" s="71" t="s">
        <v>274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633</v>
      </c>
      <c r="G12" s="71" t="s">
        <v>265</v>
      </c>
      <c r="H12" s="71">
        <v>1085</v>
      </c>
      <c r="I12" s="71" t="s">
        <v>222</v>
      </c>
      <c r="J12" s="71">
        <v>1</v>
      </c>
      <c r="K12" s="71" t="s">
        <v>223</v>
      </c>
      <c r="L12" s="71" t="s">
        <v>266</v>
      </c>
      <c r="M12" s="71" t="s">
        <v>267</v>
      </c>
      <c r="N12" s="71">
        <v>67398596987</v>
      </c>
      <c r="Q12" s="71">
        <v>0</v>
      </c>
      <c r="R12" s="71" t="s">
        <v>268</v>
      </c>
      <c r="S12" s="71" t="s">
        <v>269</v>
      </c>
      <c r="T12" s="71" t="s">
        <v>270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Demitido</v>
      </c>
      <c r="E13" s="71">
        <v>1</v>
      </c>
      <c r="F13" s="71">
        <v>3</v>
      </c>
      <c r="G13" s="71" t="s">
        <v>271</v>
      </c>
      <c r="H13" s="71">
        <v>47</v>
      </c>
      <c r="I13" s="71" t="s">
        <v>222</v>
      </c>
      <c r="J13" s="71">
        <v>7</v>
      </c>
      <c r="K13" s="71" t="s">
        <v>3642</v>
      </c>
      <c r="L13" s="71" t="s">
        <v>272</v>
      </c>
      <c r="M13" s="71" t="s">
        <v>273</v>
      </c>
      <c r="N13" s="71">
        <v>70874549949</v>
      </c>
      <c r="O13" s="71" t="s">
        <v>245</v>
      </c>
      <c r="P13" s="71" t="s">
        <v>246</v>
      </c>
      <c r="Q13" s="71">
        <v>0</v>
      </c>
      <c r="R13" s="71" t="s">
        <v>263</v>
      </c>
      <c r="S13" s="71" t="s">
        <v>264</v>
      </c>
      <c r="T13" s="71" t="s">
        <v>274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252</v>
      </c>
      <c r="G14" s="71" t="s">
        <v>275</v>
      </c>
      <c r="H14" s="71">
        <v>1088</v>
      </c>
      <c r="I14" s="71" t="s">
        <v>222</v>
      </c>
      <c r="J14" s="71">
        <v>1</v>
      </c>
      <c r="K14" s="71" t="s">
        <v>223</v>
      </c>
      <c r="L14" s="71" t="s">
        <v>276</v>
      </c>
      <c r="M14" s="71" t="s">
        <v>277</v>
      </c>
      <c r="N14" s="71">
        <v>6208850924</v>
      </c>
      <c r="Q14" s="71">
        <v>0</v>
      </c>
      <c r="R14" s="71" t="s">
        <v>263</v>
      </c>
      <c r="S14" s="71" t="s">
        <v>264</v>
      </c>
      <c r="T14" s="71" t="s">
        <v>274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213</v>
      </c>
      <c r="G15" s="71" t="s">
        <v>278</v>
      </c>
      <c r="H15" s="71">
        <v>1101</v>
      </c>
      <c r="I15" s="71" t="s">
        <v>279</v>
      </c>
      <c r="J15" s="71">
        <v>1</v>
      </c>
      <c r="K15" s="71" t="s">
        <v>223</v>
      </c>
      <c r="L15" s="71" t="s">
        <v>280</v>
      </c>
      <c r="M15" s="71" t="s">
        <v>281</v>
      </c>
      <c r="N15" s="71">
        <v>52146855991</v>
      </c>
      <c r="Q15" s="71">
        <v>0</v>
      </c>
      <c r="R15" s="71" t="s">
        <v>263</v>
      </c>
      <c r="S15" s="71" t="s">
        <v>264</v>
      </c>
      <c r="T15" s="71" t="s">
        <v>274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DESOSSADOR</v>
      </c>
      <c r="D16" s="72" t="str">
        <f ca="1">IFERROR(IF(TODAY()-K16&gt;365,"Inativo",IF(J16=2,"Férias",IF(J16=7,"Demitido","Afastamento"))),VLOOKUP(J16,Conf!$H:$I,2,0))</f>
        <v>Férias</v>
      </c>
      <c r="E16" s="71">
        <v>1</v>
      </c>
      <c r="F16" s="71">
        <v>1332</v>
      </c>
      <c r="G16" s="71" t="s">
        <v>283</v>
      </c>
      <c r="H16" s="71">
        <v>1092</v>
      </c>
      <c r="I16" s="71" t="s">
        <v>238</v>
      </c>
      <c r="J16" s="71">
        <v>2</v>
      </c>
      <c r="K16" s="71" t="s">
        <v>471</v>
      </c>
      <c r="L16" s="71" t="s">
        <v>284</v>
      </c>
      <c r="M16" s="71" t="s">
        <v>285</v>
      </c>
      <c r="N16" s="71">
        <v>1547571870</v>
      </c>
      <c r="Q16" s="71">
        <v>0</v>
      </c>
      <c r="R16" s="71" t="s">
        <v>268</v>
      </c>
      <c r="S16" s="71" t="s">
        <v>269</v>
      </c>
      <c r="T16" s="71" t="s">
        <v>270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AÇOUGUE</v>
      </c>
      <c r="C17" s="72" t="str">
        <f ca="1">IF(D17="Inativo","Inativo",IFERROR(VLOOKUP($G17,Conf!$F$19:$G$39,2,0),VLOOKUP($S17,Conf!$K:$M,3,0)))</f>
        <v>GERENTE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75</v>
      </c>
      <c r="G17" s="71" t="s">
        <v>286</v>
      </c>
      <c r="H17" s="71">
        <v>532</v>
      </c>
      <c r="I17" s="71" t="s">
        <v>287</v>
      </c>
      <c r="J17" s="71">
        <v>1</v>
      </c>
      <c r="K17" s="71" t="s">
        <v>223</v>
      </c>
      <c r="L17" s="71" t="s">
        <v>288</v>
      </c>
      <c r="M17" s="71" t="s">
        <v>289</v>
      </c>
      <c r="N17" s="71">
        <v>6209329969</v>
      </c>
      <c r="Q17" s="71">
        <v>0</v>
      </c>
      <c r="R17" s="71" t="s">
        <v>290</v>
      </c>
      <c r="S17" s="71" t="s">
        <v>291</v>
      </c>
      <c r="T17" s="71" t="s">
        <v>282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IF(D18="Inativo","Inativo",IFERROR(VLOOKUP($G18,Conf!$F$19:$G$39,2,0),VLOOKUP($S18,Conf!$K:$M,3,0)))</f>
        <v>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1964</v>
      </c>
      <c r="G18" s="71" t="s">
        <v>638</v>
      </c>
      <c r="H18" s="71">
        <v>12</v>
      </c>
      <c r="I18" s="71" t="s">
        <v>639</v>
      </c>
      <c r="J18" s="71">
        <v>1</v>
      </c>
      <c r="K18" s="71" t="s">
        <v>223</v>
      </c>
      <c r="L18" s="71" t="s">
        <v>640</v>
      </c>
      <c r="M18" s="71" t="s">
        <v>641</v>
      </c>
      <c r="N18" s="71">
        <v>99182165068</v>
      </c>
      <c r="Q18" s="71">
        <v>0</v>
      </c>
      <c r="R18" s="71" t="s">
        <v>642</v>
      </c>
      <c r="S18" s="71" t="s">
        <v>643</v>
      </c>
      <c r="T18" s="71" t="s">
        <v>644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IF(D19="Inativo","Inativo",IFERROR(VLOOKUP($G19,Conf!$F$19:$G$39,2,0),VLOOKUP($S19,Conf!$K:$M,3,0)))</f>
        <v>RH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2350</v>
      </c>
      <c r="G19" s="71" t="s">
        <v>292</v>
      </c>
      <c r="H19" s="71">
        <v>208</v>
      </c>
      <c r="I19" s="71" t="s">
        <v>293</v>
      </c>
      <c r="J19" s="71">
        <v>1</v>
      </c>
      <c r="K19" s="71" t="s">
        <v>223</v>
      </c>
      <c r="L19" s="71" t="s">
        <v>294</v>
      </c>
      <c r="M19" s="71" t="s">
        <v>295</v>
      </c>
      <c r="N19" s="71">
        <v>6428200902</v>
      </c>
      <c r="O19" s="71" t="s">
        <v>245</v>
      </c>
      <c r="P19" s="71" t="s">
        <v>246</v>
      </c>
      <c r="Q19" s="71">
        <v>0</v>
      </c>
      <c r="R19" s="71" t="s">
        <v>296</v>
      </c>
      <c r="S19" s="71" t="s">
        <v>297</v>
      </c>
      <c r="T19" s="71" t="s">
        <v>298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IF(D20="Inativo","Inativo",IFERROR(VLOOKUP($G20,Conf!$F$19:$G$39,2,0),VLOOKUP($S20,Conf!$K:$M,3,0)))</f>
        <v>SUBGERENTE</v>
      </c>
      <c r="D20" s="72" t="str">
        <f ca="1">IFERROR(IF(TODAY()-K20&gt;365,"Inativo",IF(J20=2,"Férias",IF(J20=7,"Demitido","Afastamento"))),VLOOKUP(J20,Conf!$H:$I,2,0))</f>
        <v>Demitido</v>
      </c>
      <c r="E20" s="71">
        <v>1</v>
      </c>
      <c r="F20" s="71">
        <v>91</v>
      </c>
      <c r="G20" s="71" t="s">
        <v>687</v>
      </c>
      <c r="H20" s="71">
        <v>12</v>
      </c>
      <c r="I20" s="71" t="s">
        <v>639</v>
      </c>
      <c r="J20" s="71">
        <v>7</v>
      </c>
      <c r="K20" s="71" t="s">
        <v>688</v>
      </c>
      <c r="L20" s="71" t="s">
        <v>689</v>
      </c>
      <c r="M20" s="71" t="s">
        <v>690</v>
      </c>
      <c r="N20" s="71">
        <v>3736764928</v>
      </c>
      <c r="Q20" s="71">
        <v>0</v>
      </c>
      <c r="R20" s="71" t="s">
        <v>691</v>
      </c>
      <c r="S20" s="71" t="s">
        <v>692</v>
      </c>
      <c r="T20" s="71" t="s">
        <v>381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IF(D21="Inativo","Inativo",IFERROR(VLOOKUP($G21,Conf!$F$19:$G$39,2,0),VLOOKUP($S21,Conf!$K:$M,3,0)))</f>
        <v>SUBGERENTE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255</v>
      </c>
      <c r="G21" s="71" t="s">
        <v>694</v>
      </c>
      <c r="H21" s="71">
        <v>12</v>
      </c>
      <c r="I21" s="71" t="s">
        <v>639</v>
      </c>
      <c r="J21" s="71">
        <v>1</v>
      </c>
      <c r="K21" s="71" t="s">
        <v>223</v>
      </c>
      <c r="L21" s="71" t="s">
        <v>695</v>
      </c>
      <c r="M21" s="71" t="s">
        <v>696</v>
      </c>
      <c r="N21" s="71">
        <v>3181196924</v>
      </c>
      <c r="Q21" s="71">
        <v>0</v>
      </c>
      <c r="R21" s="71" t="s">
        <v>691</v>
      </c>
      <c r="S21" s="71" t="s">
        <v>692</v>
      </c>
      <c r="T21" s="71" t="s">
        <v>381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CONFEITARIA</v>
      </c>
      <c r="C22" s="72" t="str">
        <f ca="1">IF(D22="Inativo","Inativo",IFERROR(VLOOKUP($G22,Conf!$F$19:$G$39,2,0),VLOOKUP($S22,Conf!$K:$M,3,0)))</f>
        <v>CONFEITEIRO(A)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1566</v>
      </c>
      <c r="G22" s="71" t="s">
        <v>305</v>
      </c>
      <c r="H22" s="71">
        <v>45</v>
      </c>
      <c r="I22" s="71" t="s">
        <v>306</v>
      </c>
      <c r="J22" s="71">
        <v>1</v>
      </c>
      <c r="K22" s="71" t="s">
        <v>223</v>
      </c>
      <c r="L22" s="71" t="s">
        <v>307</v>
      </c>
      <c r="M22" s="71" t="s">
        <v>308</v>
      </c>
      <c r="N22" s="71">
        <v>6728619925</v>
      </c>
      <c r="Q22" s="71">
        <v>0</v>
      </c>
      <c r="R22" s="71" t="s">
        <v>309</v>
      </c>
      <c r="S22" s="71" t="s">
        <v>310</v>
      </c>
      <c r="T22" s="71" t="s">
        <v>311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CONFEITARIA</v>
      </c>
      <c r="C23" s="72" t="str">
        <f ca="1">IF(D23="Inativo","Inativo",IFERROR(VLOOKUP($G23,Conf!$F$19:$G$39,2,0),VLOOKUP($S23,Conf!$K:$M,3,0)))</f>
        <v>CONFEITEIRO(A)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17</v>
      </c>
      <c r="G23" s="71" t="s">
        <v>299</v>
      </c>
      <c r="H23" s="71">
        <v>280</v>
      </c>
      <c r="I23" s="71" t="s">
        <v>230</v>
      </c>
      <c r="J23" s="71">
        <v>1</v>
      </c>
      <c r="K23" s="71" t="s">
        <v>223</v>
      </c>
      <c r="L23" s="71" t="s">
        <v>300</v>
      </c>
      <c r="M23" s="71" t="s">
        <v>301</v>
      </c>
      <c r="N23" s="71">
        <v>12361768984</v>
      </c>
      <c r="O23" s="71" t="s">
        <v>245</v>
      </c>
      <c r="P23" s="71" t="s">
        <v>246</v>
      </c>
      <c r="Q23" s="71">
        <v>0</v>
      </c>
      <c r="R23" s="71" t="s">
        <v>302</v>
      </c>
      <c r="S23" s="71" t="s">
        <v>303</v>
      </c>
      <c r="T23" s="71" t="s">
        <v>304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AUXILIAR</v>
      </c>
      <c r="D24" s="72" t="str">
        <f ca="1">IFERROR(IF(TODAY()-K24&gt;365,"Inativo",IF(J24=2,"Férias",IF(J24=7,"Demitido","Afastamento"))),VLOOKUP(J24,Conf!$H:$I,2,0))</f>
        <v>Férias</v>
      </c>
      <c r="E24" s="71">
        <v>1</v>
      </c>
      <c r="F24" s="71">
        <v>1823</v>
      </c>
      <c r="G24" s="71" t="s">
        <v>312</v>
      </c>
      <c r="H24" s="71">
        <v>7</v>
      </c>
      <c r="I24" s="71" t="s">
        <v>313</v>
      </c>
      <c r="J24" s="71">
        <v>2</v>
      </c>
      <c r="K24" s="71" t="s">
        <v>471</v>
      </c>
      <c r="L24" s="71" t="s">
        <v>314</v>
      </c>
      <c r="M24" s="71" t="s">
        <v>315</v>
      </c>
      <c r="N24" s="71">
        <v>8284951908</v>
      </c>
      <c r="Q24" s="71">
        <v>0</v>
      </c>
      <c r="R24" s="71" t="s">
        <v>316</v>
      </c>
      <c r="S24" s="71" t="s">
        <v>317</v>
      </c>
      <c r="T24" s="71" t="s">
        <v>318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ESTOQUISTA</v>
      </c>
      <c r="D25" s="72" t="str">
        <f ca="1">IFERROR(IF(TODAY()-K25&gt;365,"Inativo",IF(J25=2,"Férias",IF(J25=7,"Demitido","Afastamento"))),VLOOKUP(J25,Conf!$H:$I,2,0))</f>
        <v>Demitido</v>
      </c>
      <c r="E25" s="71">
        <v>1</v>
      </c>
      <c r="F25" s="71">
        <v>8</v>
      </c>
      <c r="G25" s="71" t="s">
        <v>319</v>
      </c>
      <c r="H25" s="71">
        <v>6</v>
      </c>
      <c r="I25" s="71" t="s">
        <v>230</v>
      </c>
      <c r="J25" s="71">
        <v>7</v>
      </c>
      <c r="K25" s="71" t="s">
        <v>320</v>
      </c>
      <c r="L25" s="71" t="s">
        <v>321</v>
      </c>
      <c r="M25" s="71" t="s">
        <v>322</v>
      </c>
      <c r="N25" s="71">
        <v>13762391912</v>
      </c>
      <c r="O25" s="71" t="s">
        <v>245</v>
      </c>
      <c r="P25" s="71" t="s">
        <v>246</v>
      </c>
      <c r="Q25" s="71">
        <v>0</v>
      </c>
      <c r="R25" s="71" t="s">
        <v>323</v>
      </c>
      <c r="S25" s="71" t="s">
        <v>324</v>
      </c>
      <c r="T25" s="71" t="s">
        <v>325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CONFERENTE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563</v>
      </c>
      <c r="G26" s="71" t="s">
        <v>326</v>
      </c>
      <c r="H26" s="71">
        <v>47</v>
      </c>
      <c r="I26" s="71" t="s">
        <v>222</v>
      </c>
      <c r="J26" s="71">
        <v>1</v>
      </c>
      <c r="K26" s="71" t="s">
        <v>223</v>
      </c>
      <c r="L26" s="71" t="s">
        <v>327</v>
      </c>
      <c r="M26" s="71" t="s">
        <v>328</v>
      </c>
      <c r="N26" s="71">
        <v>59590289991</v>
      </c>
      <c r="Q26" s="71">
        <v>0</v>
      </c>
      <c r="R26" s="71" t="s">
        <v>329</v>
      </c>
      <c r="S26" s="71" t="s">
        <v>330</v>
      </c>
      <c r="T26" s="71" t="s">
        <v>331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CONFERENTE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2098</v>
      </c>
      <c r="G27" s="71" t="s">
        <v>332</v>
      </c>
      <c r="H27" s="71">
        <v>1094</v>
      </c>
      <c r="I27" s="71" t="s">
        <v>238</v>
      </c>
      <c r="J27" s="71">
        <v>1</v>
      </c>
      <c r="K27" s="71" t="s">
        <v>223</v>
      </c>
      <c r="L27" s="71" t="s">
        <v>333</v>
      </c>
      <c r="M27" s="71" t="s">
        <v>334</v>
      </c>
      <c r="N27" s="71">
        <v>11245571990</v>
      </c>
      <c r="Q27" s="71">
        <v>0</v>
      </c>
      <c r="R27" s="71" t="s">
        <v>329</v>
      </c>
      <c r="S27" s="71" t="s">
        <v>330</v>
      </c>
      <c r="T27" s="71" t="s">
        <v>331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IF(D28="Inativo","Inativo",IFERROR(VLOOKUP($G28,Conf!$F$19:$G$39,2,0),VLOOKUP($S28,Conf!$K:$M,3,0)))</f>
        <v>ESTOQUISTA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15</v>
      </c>
      <c r="G28" s="71" t="s">
        <v>335</v>
      </c>
      <c r="H28" s="71">
        <v>285</v>
      </c>
      <c r="I28" s="71" t="s">
        <v>230</v>
      </c>
      <c r="J28" s="71">
        <v>1</v>
      </c>
      <c r="K28" s="71" t="s">
        <v>223</v>
      </c>
      <c r="L28" s="71" t="s">
        <v>336</v>
      </c>
      <c r="M28" s="71" t="s">
        <v>337</v>
      </c>
      <c r="N28" s="71">
        <v>46798287816</v>
      </c>
      <c r="O28" s="71" t="s">
        <v>245</v>
      </c>
      <c r="P28" s="71" t="s">
        <v>246</v>
      </c>
      <c r="Q28" s="71">
        <v>0</v>
      </c>
      <c r="R28" s="71" t="s">
        <v>323</v>
      </c>
      <c r="S28" s="71" t="s">
        <v>324</v>
      </c>
      <c r="T28" s="71" t="s">
        <v>325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DEPOSITO</v>
      </c>
      <c r="C29" s="72" t="str">
        <f ca="1">IF(D29="Inativo","Inativo",IFERROR(VLOOKUP($G29,Conf!$F$19:$G$39,2,0),VLOOKUP($S29,Conf!$K:$M,3,0)))</f>
        <v>CONTROLADORIA</v>
      </c>
      <c r="D29" s="72" t="str">
        <f ca="1">IFERROR(IF(TODAY()-K29&gt;365,"Inativo",IF(J29=2,"Férias",IF(J29=7,"Demitido","Afastamento"))),VLOOKUP(J29,Conf!$H:$I,2,0))</f>
        <v>Demitido</v>
      </c>
      <c r="E29" s="71">
        <v>1</v>
      </c>
      <c r="F29" s="71">
        <v>1441</v>
      </c>
      <c r="G29" s="71" t="s">
        <v>338</v>
      </c>
      <c r="H29" s="71">
        <v>1129</v>
      </c>
      <c r="I29" s="71" t="s">
        <v>339</v>
      </c>
      <c r="J29" s="71">
        <v>7</v>
      </c>
      <c r="K29" s="71" t="s">
        <v>340</v>
      </c>
      <c r="L29" s="71" t="s">
        <v>341</v>
      </c>
      <c r="M29" s="71" t="s">
        <v>342</v>
      </c>
      <c r="N29" s="71">
        <v>10912739959</v>
      </c>
      <c r="Q29" s="71">
        <v>0</v>
      </c>
      <c r="R29" s="71" t="s">
        <v>343</v>
      </c>
      <c r="S29" s="71" t="s">
        <v>344</v>
      </c>
      <c r="T29" s="71" t="s">
        <v>345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DEPOSITO</v>
      </c>
      <c r="C30" s="72" t="str">
        <f ca="1">IF(D30="Inativo","Inativo",IFERROR(VLOOKUP($G30,Conf!$F$19:$G$39,2,0),VLOOKUP($S30,Conf!$K:$M,3,0)))</f>
        <v>CONTROLADORIA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1256</v>
      </c>
      <c r="G30" s="71" t="s">
        <v>346</v>
      </c>
      <c r="H30" s="71">
        <v>166</v>
      </c>
      <c r="I30" s="71" t="s">
        <v>347</v>
      </c>
      <c r="J30" s="71">
        <v>1</v>
      </c>
      <c r="K30" s="71" t="s">
        <v>223</v>
      </c>
      <c r="L30" s="71" t="s">
        <v>348</v>
      </c>
      <c r="M30" s="71" t="s">
        <v>349</v>
      </c>
      <c r="N30" s="71">
        <v>1754150993</v>
      </c>
      <c r="Q30" s="71">
        <v>0</v>
      </c>
      <c r="R30" s="71" t="s">
        <v>343</v>
      </c>
      <c r="S30" s="71" t="s">
        <v>344</v>
      </c>
      <c r="T30" s="71" t="s">
        <v>345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IF(D31="Inativo","Inativo",IFERROR(VLOOKUP($G31,Conf!$F$19:$G$39,2,0),VLOOKUP($S31,Conf!$K:$M,3,0)))</f>
        <v>ENCARREGADO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101</v>
      </c>
      <c r="G31" s="71" t="s">
        <v>350</v>
      </c>
      <c r="H31" s="71">
        <v>7</v>
      </c>
      <c r="I31" s="71" t="s">
        <v>313</v>
      </c>
      <c r="J31" s="71">
        <v>1</v>
      </c>
      <c r="K31" s="71" t="s">
        <v>223</v>
      </c>
      <c r="L31" s="71" t="s">
        <v>351</v>
      </c>
      <c r="M31" s="71" t="s">
        <v>352</v>
      </c>
      <c r="N31" s="71">
        <v>5018100990</v>
      </c>
      <c r="Q31" s="71">
        <v>0</v>
      </c>
      <c r="R31" s="71" t="s">
        <v>353</v>
      </c>
      <c r="S31" s="71" t="s">
        <v>354</v>
      </c>
      <c r="T31" s="71" t="s">
        <v>355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ENTREGA</v>
      </c>
      <c r="C32" s="72" t="str">
        <f ca="1">IF(D32="Inativo","Inativo",IFERROR(VLOOKUP($G32,Conf!$F$19:$G$39,2,0),VLOOKUP($S32,Conf!$K:$M,3,0)))</f>
        <v>MOTORISTA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1067</v>
      </c>
      <c r="G32" s="71" t="s">
        <v>356</v>
      </c>
      <c r="H32" s="71">
        <v>115</v>
      </c>
      <c r="I32" s="71" t="s">
        <v>357</v>
      </c>
      <c r="J32" s="71">
        <v>1</v>
      </c>
      <c r="K32" s="71" t="s">
        <v>223</v>
      </c>
      <c r="L32" s="71" t="s">
        <v>358</v>
      </c>
      <c r="M32" s="71" t="s">
        <v>359</v>
      </c>
      <c r="N32" s="71">
        <v>82405204991</v>
      </c>
      <c r="Q32" s="71">
        <v>0</v>
      </c>
      <c r="R32" s="71" t="s">
        <v>360</v>
      </c>
      <c r="S32" s="71" t="s">
        <v>361</v>
      </c>
      <c r="T32" s="71" t="s">
        <v>362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308</v>
      </c>
      <c r="G33" s="71" t="s">
        <v>363</v>
      </c>
      <c r="H33" s="71">
        <v>356</v>
      </c>
      <c r="I33" s="71" t="s">
        <v>364</v>
      </c>
      <c r="J33" s="71">
        <v>1</v>
      </c>
      <c r="K33" s="71" t="s">
        <v>223</v>
      </c>
      <c r="L33" s="71" t="s">
        <v>365</v>
      </c>
      <c r="M33" s="71" t="s">
        <v>366</v>
      </c>
      <c r="N33" s="71">
        <v>4803250901</v>
      </c>
      <c r="Q33" s="71">
        <v>0</v>
      </c>
      <c r="R33" s="71" t="s">
        <v>367</v>
      </c>
      <c r="S33" s="71" t="s">
        <v>368</v>
      </c>
      <c r="T33" s="71" t="s">
        <v>369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195</v>
      </c>
      <c r="G34" s="71" t="s">
        <v>370</v>
      </c>
      <c r="H34" s="71">
        <v>520</v>
      </c>
      <c r="I34" s="71" t="s">
        <v>222</v>
      </c>
      <c r="J34" s="71">
        <v>1</v>
      </c>
      <c r="K34" s="71" t="s">
        <v>223</v>
      </c>
      <c r="L34" s="71" t="s">
        <v>371</v>
      </c>
      <c r="M34" s="71" t="s">
        <v>372</v>
      </c>
      <c r="N34" s="71">
        <v>60978414934</v>
      </c>
      <c r="Q34" s="71">
        <v>0</v>
      </c>
      <c r="R34" s="71" t="s">
        <v>367</v>
      </c>
      <c r="S34" s="71" t="s">
        <v>368</v>
      </c>
      <c r="T34" s="71" t="s">
        <v>369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140</v>
      </c>
      <c r="G35" s="71" t="s">
        <v>373</v>
      </c>
      <c r="H35" s="71">
        <v>289</v>
      </c>
      <c r="I35" s="71" t="s">
        <v>230</v>
      </c>
      <c r="J35" s="71">
        <v>1</v>
      </c>
      <c r="K35" s="71" t="s">
        <v>223</v>
      </c>
      <c r="L35" s="71" t="s">
        <v>374</v>
      </c>
      <c r="M35" s="71" t="s">
        <v>375</v>
      </c>
      <c r="N35" s="71">
        <v>83093966949</v>
      </c>
      <c r="Q35" s="71">
        <v>0</v>
      </c>
      <c r="R35" s="71" t="s">
        <v>367</v>
      </c>
      <c r="S35" s="71" t="s">
        <v>368</v>
      </c>
      <c r="T35" s="71" t="s">
        <v>369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151</v>
      </c>
      <c r="G36" s="71" t="s">
        <v>376</v>
      </c>
      <c r="H36" s="71">
        <v>528</v>
      </c>
      <c r="I36" s="71" t="s">
        <v>222</v>
      </c>
      <c r="J36" s="71">
        <v>1</v>
      </c>
      <c r="K36" s="71" t="s">
        <v>223</v>
      </c>
      <c r="L36" s="71" t="s">
        <v>377</v>
      </c>
      <c r="M36" s="71" t="s">
        <v>378</v>
      </c>
      <c r="N36" s="71">
        <v>70730517284</v>
      </c>
      <c r="Q36" s="71">
        <v>0</v>
      </c>
      <c r="R36" s="71" t="s">
        <v>379</v>
      </c>
      <c r="S36" s="71" t="s">
        <v>380</v>
      </c>
      <c r="T36" s="71" t="s">
        <v>390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AUXILIAR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1970</v>
      </c>
      <c r="G37" s="71" t="s">
        <v>382</v>
      </c>
      <c r="H37" s="71">
        <v>364</v>
      </c>
      <c r="I37" s="71" t="s">
        <v>383</v>
      </c>
      <c r="J37" s="71">
        <v>1</v>
      </c>
      <c r="K37" s="71" t="s">
        <v>223</v>
      </c>
      <c r="L37" s="71" t="s">
        <v>384</v>
      </c>
      <c r="M37" s="71" t="s">
        <v>385</v>
      </c>
      <c r="N37" s="71">
        <v>1027667970</v>
      </c>
      <c r="Q37" s="71">
        <v>0</v>
      </c>
      <c r="R37" s="71" t="s">
        <v>367</v>
      </c>
      <c r="S37" s="71" t="s">
        <v>368</v>
      </c>
      <c r="T37" s="71" t="s">
        <v>369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AUXILIAR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11</v>
      </c>
      <c r="G38" s="71" t="s">
        <v>386</v>
      </c>
      <c r="H38" s="71">
        <v>47</v>
      </c>
      <c r="I38" s="71" t="s">
        <v>222</v>
      </c>
      <c r="J38" s="71">
        <v>1</v>
      </c>
      <c r="K38" s="71" t="s">
        <v>223</v>
      </c>
      <c r="L38" s="71" t="s">
        <v>387</v>
      </c>
      <c r="M38" s="71" t="s">
        <v>388</v>
      </c>
      <c r="N38" s="71">
        <v>70080909949</v>
      </c>
      <c r="O38" s="71" t="s">
        <v>245</v>
      </c>
      <c r="P38" s="71" t="s">
        <v>246</v>
      </c>
      <c r="Q38" s="71">
        <v>0</v>
      </c>
      <c r="R38" s="71" t="s">
        <v>379</v>
      </c>
      <c r="S38" s="71" t="s">
        <v>389</v>
      </c>
      <c r="T38" s="71" t="s">
        <v>390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AUXILIAR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</v>
      </c>
      <c r="G39" s="71" t="s">
        <v>3947</v>
      </c>
      <c r="H39" s="71">
        <v>933</v>
      </c>
      <c r="I39" s="71" t="s">
        <v>222</v>
      </c>
      <c r="J39" s="71">
        <v>1</v>
      </c>
      <c r="K39" s="71" t="s">
        <v>223</v>
      </c>
      <c r="L39" s="71" t="s">
        <v>3948</v>
      </c>
      <c r="M39" s="71" t="s">
        <v>3636</v>
      </c>
      <c r="N39" s="71">
        <v>81533462968</v>
      </c>
      <c r="O39" s="71" t="s">
        <v>245</v>
      </c>
      <c r="P39" s="71" t="s">
        <v>246</v>
      </c>
      <c r="Q39" s="71">
        <v>0</v>
      </c>
      <c r="R39" s="71" t="s">
        <v>379</v>
      </c>
      <c r="S39" s="71" t="s">
        <v>389</v>
      </c>
      <c r="T39" s="71" t="s">
        <v>390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ENCARREGADO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2424</v>
      </c>
      <c r="G40" s="71" t="s">
        <v>391</v>
      </c>
      <c r="H40" s="71">
        <v>47</v>
      </c>
      <c r="I40" s="71" t="s">
        <v>222</v>
      </c>
      <c r="J40" s="71">
        <v>1</v>
      </c>
      <c r="K40" s="71" t="s">
        <v>223</v>
      </c>
      <c r="L40" s="71" t="s">
        <v>392</v>
      </c>
      <c r="M40" s="71" t="s">
        <v>388</v>
      </c>
      <c r="N40" s="71">
        <v>30570535808</v>
      </c>
      <c r="O40" s="71" t="s">
        <v>245</v>
      </c>
      <c r="P40" s="71" t="s">
        <v>246</v>
      </c>
      <c r="Q40" s="71">
        <v>0</v>
      </c>
      <c r="R40" s="71" t="s">
        <v>393</v>
      </c>
      <c r="S40" s="71" t="s">
        <v>394</v>
      </c>
      <c r="T40" s="71" t="s">
        <v>395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ENCARREGADO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18</v>
      </c>
      <c r="G41" s="71" t="s">
        <v>396</v>
      </c>
      <c r="H41" s="71">
        <v>1075</v>
      </c>
      <c r="I41" s="71" t="s">
        <v>230</v>
      </c>
      <c r="J41" s="71">
        <v>1</v>
      </c>
      <c r="K41" s="71" t="s">
        <v>223</v>
      </c>
      <c r="L41" s="71" t="s">
        <v>397</v>
      </c>
      <c r="M41" s="71" t="s">
        <v>398</v>
      </c>
      <c r="N41" s="71">
        <v>2926107935</v>
      </c>
      <c r="Q41" s="71">
        <v>0</v>
      </c>
      <c r="R41" s="71" t="s">
        <v>393</v>
      </c>
      <c r="S41" s="71" t="s">
        <v>394</v>
      </c>
      <c r="T41" s="71" t="s">
        <v>395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FISCAL DE CAIXA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1369</v>
      </c>
      <c r="G42" s="71" t="s">
        <v>399</v>
      </c>
      <c r="H42" s="71">
        <v>344</v>
      </c>
      <c r="I42" s="71" t="s">
        <v>400</v>
      </c>
      <c r="J42" s="71">
        <v>1</v>
      </c>
      <c r="K42" s="71" t="s">
        <v>223</v>
      </c>
      <c r="L42" s="71" t="s">
        <v>401</v>
      </c>
      <c r="M42" s="71" t="s">
        <v>402</v>
      </c>
      <c r="N42" s="71">
        <v>10551183900</v>
      </c>
      <c r="Q42" s="71">
        <v>0</v>
      </c>
      <c r="R42" s="71" t="s">
        <v>403</v>
      </c>
      <c r="S42" s="71" t="s">
        <v>404</v>
      </c>
      <c r="T42" s="71" t="s">
        <v>405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FISCAL DE CAIXA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1679</v>
      </c>
      <c r="G43" s="71" t="s">
        <v>406</v>
      </c>
      <c r="H43" s="71">
        <v>1085</v>
      </c>
      <c r="I43" s="71" t="s">
        <v>222</v>
      </c>
      <c r="J43" s="71">
        <v>1</v>
      </c>
      <c r="K43" s="71" t="s">
        <v>223</v>
      </c>
      <c r="L43" s="71" t="s">
        <v>407</v>
      </c>
      <c r="M43" s="71" t="s">
        <v>408</v>
      </c>
      <c r="N43" s="71">
        <v>11750708906</v>
      </c>
      <c r="Q43" s="71">
        <v>0</v>
      </c>
      <c r="R43" s="71" t="s">
        <v>403</v>
      </c>
      <c r="S43" s="71" t="s">
        <v>404</v>
      </c>
      <c r="T43" s="71" t="s">
        <v>405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2419</v>
      </c>
      <c r="G44" s="71" t="s">
        <v>409</v>
      </c>
      <c r="H44" s="71">
        <v>47</v>
      </c>
      <c r="I44" s="71" t="s">
        <v>222</v>
      </c>
      <c r="J44" s="71">
        <v>1</v>
      </c>
      <c r="K44" s="71" t="s">
        <v>223</v>
      </c>
      <c r="L44" s="71" t="s">
        <v>410</v>
      </c>
      <c r="M44" s="71" t="s">
        <v>411</v>
      </c>
      <c r="N44" s="71">
        <v>5925727908</v>
      </c>
      <c r="O44" s="71" t="s">
        <v>245</v>
      </c>
      <c r="P44" s="71" t="s">
        <v>246</v>
      </c>
      <c r="Q44" s="71">
        <v>0</v>
      </c>
      <c r="R44" s="71" t="s">
        <v>412</v>
      </c>
      <c r="S44" s="71" t="s">
        <v>413</v>
      </c>
      <c r="T44" s="71" t="s">
        <v>414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2418</v>
      </c>
      <c r="G45" s="71" t="s">
        <v>415</v>
      </c>
      <c r="H45" s="71">
        <v>47</v>
      </c>
      <c r="I45" s="71" t="s">
        <v>222</v>
      </c>
      <c r="J45" s="71">
        <v>1</v>
      </c>
      <c r="K45" s="71" t="s">
        <v>223</v>
      </c>
      <c r="L45" s="71" t="s">
        <v>416</v>
      </c>
      <c r="M45" s="71" t="s">
        <v>417</v>
      </c>
      <c r="N45" s="71">
        <v>12949571980</v>
      </c>
      <c r="O45" s="71" t="s">
        <v>245</v>
      </c>
      <c r="P45" s="71" t="s">
        <v>246</v>
      </c>
      <c r="Q45" s="71">
        <v>0</v>
      </c>
      <c r="R45" s="71" t="s">
        <v>412</v>
      </c>
      <c r="S45" s="71" t="s">
        <v>413</v>
      </c>
      <c r="T45" s="71" t="s">
        <v>414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2268</v>
      </c>
      <c r="G46" s="71" t="s">
        <v>418</v>
      </c>
      <c r="H46" s="71">
        <v>1085</v>
      </c>
      <c r="I46" s="71" t="s">
        <v>222</v>
      </c>
      <c r="J46" s="71">
        <v>1</v>
      </c>
      <c r="K46" s="71" t="s">
        <v>223</v>
      </c>
      <c r="L46" s="71" t="s">
        <v>419</v>
      </c>
      <c r="M46" s="71" t="s">
        <v>420</v>
      </c>
      <c r="N46" s="71">
        <v>5464412972</v>
      </c>
      <c r="Q46" s="71">
        <v>0</v>
      </c>
      <c r="R46" s="71" t="s">
        <v>412</v>
      </c>
      <c r="S46" s="71" t="s">
        <v>413</v>
      </c>
      <c r="T46" s="71" t="s">
        <v>414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2411</v>
      </c>
      <c r="G47" s="71" t="s">
        <v>421</v>
      </c>
      <c r="H47" s="71">
        <v>47</v>
      </c>
      <c r="I47" s="71" t="s">
        <v>222</v>
      </c>
      <c r="J47" s="71">
        <v>1</v>
      </c>
      <c r="K47" s="71" t="s">
        <v>223</v>
      </c>
      <c r="L47" s="71" t="s">
        <v>422</v>
      </c>
      <c r="M47" s="71" t="s">
        <v>423</v>
      </c>
      <c r="N47" s="71">
        <v>11206129930</v>
      </c>
      <c r="O47" s="71" t="s">
        <v>245</v>
      </c>
      <c r="P47" s="71" t="s">
        <v>246</v>
      </c>
      <c r="Q47" s="71">
        <v>0</v>
      </c>
      <c r="R47" s="71" t="s">
        <v>412</v>
      </c>
      <c r="S47" s="71" t="s">
        <v>413</v>
      </c>
      <c r="T47" s="71" t="s">
        <v>414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2428</v>
      </c>
      <c r="G48" s="71" t="s">
        <v>424</v>
      </c>
      <c r="H48" s="71">
        <v>47</v>
      </c>
      <c r="I48" s="71" t="s">
        <v>222</v>
      </c>
      <c r="J48" s="71">
        <v>1</v>
      </c>
      <c r="K48" s="71" t="s">
        <v>223</v>
      </c>
      <c r="L48" s="71" t="s">
        <v>425</v>
      </c>
      <c r="M48" s="71" t="s">
        <v>426</v>
      </c>
      <c r="N48" s="71">
        <v>3398087990</v>
      </c>
      <c r="O48" s="71" t="s">
        <v>245</v>
      </c>
      <c r="P48" s="71" t="s">
        <v>246</v>
      </c>
      <c r="Q48" s="71">
        <v>0</v>
      </c>
      <c r="R48" s="71" t="s">
        <v>427</v>
      </c>
      <c r="S48" s="71" t="s">
        <v>428</v>
      </c>
      <c r="T48" s="71" t="s">
        <v>429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778</v>
      </c>
      <c r="G49" s="71" t="s">
        <v>430</v>
      </c>
      <c r="H49" s="71">
        <v>1091</v>
      </c>
      <c r="I49" s="71" t="s">
        <v>238</v>
      </c>
      <c r="J49" s="71">
        <v>1</v>
      </c>
      <c r="K49" s="71" t="s">
        <v>223</v>
      </c>
      <c r="L49" s="71" t="s">
        <v>431</v>
      </c>
      <c r="M49" s="71" t="s">
        <v>432</v>
      </c>
      <c r="N49" s="71">
        <v>90518870944</v>
      </c>
      <c r="Q49" s="71">
        <v>0</v>
      </c>
      <c r="R49" s="71" t="s">
        <v>412</v>
      </c>
      <c r="S49" s="71" t="s">
        <v>413</v>
      </c>
      <c r="T49" s="71" t="s">
        <v>414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Afastamento</v>
      </c>
      <c r="E50" s="71">
        <v>1</v>
      </c>
      <c r="F50" s="71">
        <v>2267</v>
      </c>
      <c r="G50" s="71" t="s">
        <v>433</v>
      </c>
      <c r="H50" s="71">
        <v>1087</v>
      </c>
      <c r="I50" s="71" t="s">
        <v>222</v>
      </c>
      <c r="J50" s="71">
        <v>5</v>
      </c>
      <c r="K50" s="71" t="s">
        <v>434</v>
      </c>
      <c r="L50" s="71" t="s">
        <v>435</v>
      </c>
      <c r="M50" s="71" t="s">
        <v>436</v>
      </c>
      <c r="N50" s="71">
        <v>80133957900</v>
      </c>
      <c r="Q50" s="71">
        <v>0</v>
      </c>
      <c r="R50" s="71" t="s">
        <v>412</v>
      </c>
      <c r="S50" s="71" t="s">
        <v>413</v>
      </c>
      <c r="T50" s="71" t="s">
        <v>414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2431</v>
      </c>
      <c r="G51" s="71" t="s">
        <v>3670</v>
      </c>
      <c r="H51" s="71">
        <v>47</v>
      </c>
      <c r="I51" s="71" t="s">
        <v>222</v>
      </c>
      <c r="J51" s="71">
        <v>1</v>
      </c>
      <c r="K51" s="71" t="s">
        <v>223</v>
      </c>
      <c r="L51" s="71" t="s">
        <v>3671</v>
      </c>
      <c r="M51" s="71" t="s">
        <v>3642</v>
      </c>
      <c r="N51" s="71">
        <v>6131274207</v>
      </c>
      <c r="O51" s="71" t="s">
        <v>245</v>
      </c>
      <c r="P51" s="71" t="s">
        <v>246</v>
      </c>
      <c r="Q51" s="71">
        <v>0</v>
      </c>
      <c r="R51" s="71" t="s">
        <v>412</v>
      </c>
      <c r="S51" s="71" t="s">
        <v>413</v>
      </c>
      <c r="T51" s="71" t="s">
        <v>414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Ativos</v>
      </c>
      <c r="E52" s="71">
        <v>1</v>
      </c>
      <c r="F52" s="71">
        <v>2377</v>
      </c>
      <c r="G52" s="71" t="s">
        <v>437</v>
      </c>
      <c r="H52" s="71">
        <v>525</v>
      </c>
      <c r="I52" s="71" t="s">
        <v>222</v>
      </c>
      <c r="J52" s="71">
        <v>1</v>
      </c>
      <c r="K52" s="71" t="s">
        <v>223</v>
      </c>
      <c r="L52" s="71" t="s">
        <v>438</v>
      </c>
      <c r="M52" s="71" t="s">
        <v>439</v>
      </c>
      <c r="N52" s="71">
        <v>1183305940</v>
      </c>
      <c r="O52" s="71" t="s">
        <v>245</v>
      </c>
      <c r="P52" s="71" t="s">
        <v>246</v>
      </c>
      <c r="Q52" s="71">
        <v>0</v>
      </c>
      <c r="R52" s="71" t="s">
        <v>412</v>
      </c>
      <c r="S52" s="71" t="s">
        <v>413</v>
      </c>
      <c r="T52" s="71" t="s">
        <v>414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2436</v>
      </c>
      <c r="G53" s="71" t="s">
        <v>3668</v>
      </c>
      <c r="H53" s="71">
        <v>47</v>
      </c>
      <c r="I53" s="71" t="s">
        <v>222</v>
      </c>
      <c r="J53" s="71">
        <v>1</v>
      </c>
      <c r="K53" s="71" t="s">
        <v>223</v>
      </c>
      <c r="L53" s="71" t="s">
        <v>3669</v>
      </c>
      <c r="M53" s="71" t="s">
        <v>3636</v>
      </c>
      <c r="N53" s="71">
        <v>12280220970</v>
      </c>
      <c r="O53" s="71" t="s">
        <v>245</v>
      </c>
      <c r="P53" s="71" t="s">
        <v>246</v>
      </c>
      <c r="Q53" s="71">
        <v>0</v>
      </c>
      <c r="R53" s="71" t="s">
        <v>412</v>
      </c>
      <c r="S53" s="71" t="s">
        <v>413</v>
      </c>
      <c r="T53" s="71" t="s">
        <v>414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Afastamento</v>
      </c>
      <c r="E54" s="71">
        <v>1</v>
      </c>
      <c r="F54" s="71">
        <v>2204</v>
      </c>
      <c r="G54" s="71" t="s">
        <v>440</v>
      </c>
      <c r="H54" s="71">
        <v>1089</v>
      </c>
      <c r="I54" s="71" t="s">
        <v>222</v>
      </c>
      <c r="J54" s="71">
        <v>5</v>
      </c>
      <c r="K54" s="71" t="s">
        <v>434</v>
      </c>
      <c r="L54" s="71" t="s">
        <v>441</v>
      </c>
      <c r="M54" s="71" t="s">
        <v>442</v>
      </c>
      <c r="N54" s="71">
        <v>12430011948</v>
      </c>
      <c r="Q54" s="71">
        <v>0</v>
      </c>
      <c r="R54" s="71" t="s">
        <v>412</v>
      </c>
      <c r="S54" s="71" t="s">
        <v>413</v>
      </c>
      <c r="T54" s="71" t="s">
        <v>414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2372</v>
      </c>
      <c r="G55" s="71" t="s">
        <v>443</v>
      </c>
      <c r="H55" s="71">
        <v>99</v>
      </c>
      <c r="I55" s="71" t="s">
        <v>444</v>
      </c>
      <c r="J55" s="71">
        <v>1</v>
      </c>
      <c r="K55" s="71" t="s">
        <v>223</v>
      </c>
      <c r="L55" s="71" t="s">
        <v>445</v>
      </c>
      <c r="M55" s="71" t="s">
        <v>446</v>
      </c>
      <c r="N55" s="71">
        <v>7390549963</v>
      </c>
      <c r="O55" s="71" t="s">
        <v>245</v>
      </c>
      <c r="P55" s="71" t="s">
        <v>246</v>
      </c>
      <c r="Q55" s="71">
        <v>0</v>
      </c>
      <c r="R55" s="71" t="s">
        <v>412</v>
      </c>
      <c r="S55" s="71" t="s">
        <v>413</v>
      </c>
      <c r="T55" s="71" t="s">
        <v>414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2403</v>
      </c>
      <c r="G56" s="71" t="s">
        <v>447</v>
      </c>
      <c r="H56" s="71">
        <v>1087</v>
      </c>
      <c r="I56" s="71" t="s">
        <v>222</v>
      </c>
      <c r="J56" s="71">
        <v>1</v>
      </c>
      <c r="K56" s="71" t="s">
        <v>223</v>
      </c>
      <c r="L56" s="71" t="s">
        <v>448</v>
      </c>
      <c r="M56" s="71" t="s">
        <v>449</v>
      </c>
      <c r="N56" s="71">
        <v>3391823186</v>
      </c>
      <c r="O56" s="71" t="s">
        <v>245</v>
      </c>
      <c r="P56" s="71" t="s">
        <v>246</v>
      </c>
      <c r="Q56" s="71">
        <v>0</v>
      </c>
      <c r="R56" s="71" t="s">
        <v>412</v>
      </c>
      <c r="S56" s="71" t="s">
        <v>413</v>
      </c>
      <c r="T56" s="71" t="s">
        <v>414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2380</v>
      </c>
      <c r="G57" s="71" t="s">
        <v>450</v>
      </c>
      <c r="H57" s="71">
        <v>928</v>
      </c>
      <c r="I57" s="71" t="s">
        <v>222</v>
      </c>
      <c r="J57" s="71">
        <v>1</v>
      </c>
      <c r="K57" s="71" t="s">
        <v>223</v>
      </c>
      <c r="L57" s="71" t="s">
        <v>451</v>
      </c>
      <c r="M57" s="71" t="s">
        <v>452</v>
      </c>
      <c r="N57" s="71">
        <v>10429471980</v>
      </c>
      <c r="O57" s="71" t="s">
        <v>245</v>
      </c>
      <c r="P57" s="71" t="s">
        <v>246</v>
      </c>
      <c r="Q57" s="71">
        <v>0</v>
      </c>
      <c r="R57" s="71" t="s">
        <v>412</v>
      </c>
      <c r="S57" s="71" t="s">
        <v>413</v>
      </c>
      <c r="T57" s="71" t="s">
        <v>414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2360</v>
      </c>
      <c r="G58" s="71" t="s">
        <v>453</v>
      </c>
      <c r="H58" s="71">
        <v>1085</v>
      </c>
      <c r="I58" s="71" t="s">
        <v>222</v>
      </c>
      <c r="J58" s="71">
        <v>1</v>
      </c>
      <c r="K58" s="71" t="s">
        <v>223</v>
      </c>
      <c r="L58" s="71" t="s">
        <v>454</v>
      </c>
      <c r="M58" s="71" t="s">
        <v>455</v>
      </c>
      <c r="N58" s="71">
        <v>9307038988</v>
      </c>
      <c r="O58" s="71" t="s">
        <v>245</v>
      </c>
      <c r="P58" s="71" t="s">
        <v>246</v>
      </c>
      <c r="Q58" s="71">
        <v>0</v>
      </c>
      <c r="R58" s="71" t="s">
        <v>412</v>
      </c>
      <c r="S58" s="71" t="s">
        <v>413</v>
      </c>
      <c r="T58" s="71" t="s">
        <v>414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Férias</v>
      </c>
      <c r="E59" s="71">
        <v>1</v>
      </c>
      <c r="F59" s="71">
        <v>1684</v>
      </c>
      <c r="G59" s="71" t="s">
        <v>456</v>
      </c>
      <c r="H59" s="71">
        <v>1094</v>
      </c>
      <c r="I59" s="71" t="s">
        <v>238</v>
      </c>
      <c r="J59" s="71">
        <v>2</v>
      </c>
      <c r="K59" s="71" t="s">
        <v>471</v>
      </c>
      <c r="L59" s="71" t="s">
        <v>457</v>
      </c>
      <c r="M59" s="71" t="s">
        <v>458</v>
      </c>
      <c r="N59" s="71">
        <v>45414963991</v>
      </c>
      <c r="Q59" s="71">
        <v>0</v>
      </c>
      <c r="R59" s="71" t="s">
        <v>412</v>
      </c>
      <c r="S59" s="71" t="s">
        <v>413</v>
      </c>
      <c r="T59" s="71" t="s">
        <v>414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Demitido</v>
      </c>
      <c r="E60" s="71">
        <v>1</v>
      </c>
      <c r="F60" s="71">
        <v>2338</v>
      </c>
      <c r="G60" s="71" t="s">
        <v>459</v>
      </c>
      <c r="H60" s="71">
        <v>1076</v>
      </c>
      <c r="I60" s="71" t="s">
        <v>230</v>
      </c>
      <c r="J60" s="71">
        <v>7</v>
      </c>
      <c r="K60" s="71" t="s">
        <v>460</v>
      </c>
      <c r="L60" s="71" t="s">
        <v>461</v>
      </c>
      <c r="M60" s="71" t="s">
        <v>462</v>
      </c>
      <c r="N60" s="71">
        <v>12695508964</v>
      </c>
      <c r="O60" s="71" t="s">
        <v>245</v>
      </c>
      <c r="P60" s="71" t="s">
        <v>246</v>
      </c>
      <c r="Q60" s="71">
        <v>0</v>
      </c>
      <c r="R60" s="71" t="s">
        <v>412</v>
      </c>
      <c r="S60" s="71" t="s">
        <v>413</v>
      </c>
      <c r="T60" s="71" t="s">
        <v>414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2438</v>
      </c>
      <c r="G61" s="71" t="s">
        <v>3666</v>
      </c>
      <c r="H61" s="71">
        <v>133</v>
      </c>
      <c r="I61" s="71" t="s">
        <v>494</v>
      </c>
      <c r="J61" s="71">
        <v>1</v>
      </c>
      <c r="K61" s="71" t="s">
        <v>223</v>
      </c>
      <c r="L61" s="71" t="s">
        <v>3667</v>
      </c>
      <c r="M61" s="71" t="s">
        <v>3636</v>
      </c>
      <c r="N61" s="71">
        <v>11918741921</v>
      </c>
      <c r="O61" s="71" t="s">
        <v>245</v>
      </c>
      <c r="P61" s="71" t="s">
        <v>246</v>
      </c>
      <c r="Q61" s="71">
        <v>0</v>
      </c>
      <c r="R61" s="71" t="s">
        <v>412</v>
      </c>
      <c r="S61" s="71" t="s">
        <v>413</v>
      </c>
      <c r="T61" s="71" t="s">
        <v>414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2369</v>
      </c>
      <c r="G62" s="71" t="s">
        <v>463</v>
      </c>
      <c r="H62" s="71">
        <v>520</v>
      </c>
      <c r="I62" s="71" t="s">
        <v>222</v>
      </c>
      <c r="J62" s="71">
        <v>1</v>
      </c>
      <c r="K62" s="71" t="s">
        <v>223</v>
      </c>
      <c r="L62" s="71" t="s">
        <v>464</v>
      </c>
      <c r="M62" s="71" t="s">
        <v>465</v>
      </c>
      <c r="N62" s="71">
        <v>4133808908</v>
      </c>
      <c r="O62" s="71" t="s">
        <v>245</v>
      </c>
      <c r="P62" s="71" t="s">
        <v>246</v>
      </c>
      <c r="Q62" s="71">
        <v>0</v>
      </c>
      <c r="R62" s="71" t="s">
        <v>412</v>
      </c>
      <c r="S62" s="71" t="s">
        <v>413</v>
      </c>
      <c r="T62" s="71" t="s">
        <v>414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2341</v>
      </c>
      <c r="G63" s="71" t="s">
        <v>466</v>
      </c>
      <c r="H63" s="71">
        <v>1085</v>
      </c>
      <c r="I63" s="71" t="s">
        <v>222</v>
      </c>
      <c r="J63" s="71">
        <v>1</v>
      </c>
      <c r="K63" s="71" t="s">
        <v>223</v>
      </c>
      <c r="L63" s="71" t="s">
        <v>467</v>
      </c>
      <c r="M63" s="71" t="s">
        <v>468</v>
      </c>
      <c r="N63" s="71">
        <v>10806372907</v>
      </c>
      <c r="O63" s="71" t="s">
        <v>245</v>
      </c>
      <c r="P63" s="71" t="s">
        <v>246</v>
      </c>
      <c r="Q63" s="71">
        <v>0</v>
      </c>
      <c r="R63" s="71" t="s">
        <v>412</v>
      </c>
      <c r="S63" s="71" t="s">
        <v>413</v>
      </c>
      <c r="T63" s="71" t="s">
        <v>414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2430</v>
      </c>
      <c r="G64" s="71" t="s">
        <v>469</v>
      </c>
      <c r="H64" s="71">
        <v>47</v>
      </c>
      <c r="I64" s="71" t="s">
        <v>222</v>
      </c>
      <c r="J64" s="71">
        <v>1</v>
      </c>
      <c r="K64" s="71" t="s">
        <v>223</v>
      </c>
      <c r="L64" s="71" t="s">
        <v>470</v>
      </c>
      <c r="M64" s="71" t="s">
        <v>471</v>
      </c>
      <c r="N64" s="71">
        <v>7318522906</v>
      </c>
      <c r="O64" s="71" t="s">
        <v>245</v>
      </c>
      <c r="P64" s="71" t="s">
        <v>246</v>
      </c>
      <c r="Q64" s="71">
        <v>0</v>
      </c>
      <c r="R64" s="71" t="s">
        <v>412</v>
      </c>
      <c r="S64" s="71" t="s">
        <v>413</v>
      </c>
      <c r="T64" s="71" t="s">
        <v>414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IF(D65="Inativo","Inativo",IFERROR(VLOOKUP($G65,Conf!$F$19:$G$39,2,0),VLOOKUP($S65,Conf!$K:$M,3,0)))</f>
        <v>OPERADOR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2382</v>
      </c>
      <c r="G65" s="71" t="s">
        <v>472</v>
      </c>
      <c r="H65" s="71">
        <v>387</v>
      </c>
      <c r="I65" s="71" t="s">
        <v>473</v>
      </c>
      <c r="J65" s="71">
        <v>1</v>
      </c>
      <c r="K65" s="71" t="s">
        <v>223</v>
      </c>
      <c r="L65" s="71" t="s">
        <v>474</v>
      </c>
      <c r="M65" s="71" t="s">
        <v>452</v>
      </c>
      <c r="N65" s="71">
        <v>314014900</v>
      </c>
      <c r="O65" s="71" t="s">
        <v>245</v>
      </c>
      <c r="P65" s="71" t="s">
        <v>246</v>
      </c>
      <c r="Q65" s="71">
        <v>0</v>
      </c>
      <c r="R65" s="71" t="s">
        <v>412</v>
      </c>
      <c r="S65" s="71" t="s">
        <v>413</v>
      </c>
      <c r="T65" s="71" t="s">
        <v>414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IF(D66="Inativo","Inativo",IFERROR(VLOOKUP($G66,Conf!$F$19:$G$39,2,0),VLOOKUP($S66,Conf!$K:$M,3,0)))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2113</v>
      </c>
      <c r="G66" s="71" t="s">
        <v>475</v>
      </c>
      <c r="H66" s="71">
        <v>1089</v>
      </c>
      <c r="I66" s="71" t="s">
        <v>222</v>
      </c>
      <c r="J66" s="71">
        <v>1</v>
      </c>
      <c r="K66" s="71" t="s">
        <v>223</v>
      </c>
      <c r="L66" s="71" t="s">
        <v>476</v>
      </c>
      <c r="M66" s="71" t="s">
        <v>477</v>
      </c>
      <c r="N66" s="71">
        <v>9115082954</v>
      </c>
      <c r="Q66" s="71">
        <v>0</v>
      </c>
      <c r="R66" s="71" t="s">
        <v>412</v>
      </c>
      <c r="S66" s="71" t="s">
        <v>413</v>
      </c>
      <c r="T66" s="71" t="s">
        <v>414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IF(D67="Inativo","Inativo",IFERROR(VLOOKUP($G67,Conf!$F$19:$G$39,2,0),VLOOKUP($S67,Conf!$K:$M,3,0)))</f>
        <v>OPERADOR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2417</v>
      </c>
      <c r="G67" s="71" t="s">
        <v>478</v>
      </c>
      <c r="H67" s="71">
        <v>47</v>
      </c>
      <c r="I67" s="71" t="s">
        <v>222</v>
      </c>
      <c r="J67" s="71">
        <v>1</v>
      </c>
      <c r="K67" s="71" t="s">
        <v>223</v>
      </c>
      <c r="L67" s="71" t="s">
        <v>479</v>
      </c>
      <c r="M67" s="71" t="s">
        <v>417</v>
      </c>
      <c r="N67" s="71">
        <v>13878121903</v>
      </c>
      <c r="O67" s="71" t="s">
        <v>245</v>
      </c>
      <c r="P67" s="71" t="s">
        <v>246</v>
      </c>
      <c r="Q67" s="71">
        <v>0</v>
      </c>
      <c r="R67" s="71" t="s">
        <v>412</v>
      </c>
      <c r="S67" s="71" t="s">
        <v>413</v>
      </c>
      <c r="T67" s="71" t="s">
        <v>414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IF(D68="Inativo","Inativo",IFERROR(VLOOKUP($G68,Conf!$F$19:$G$39,2,0),VLOOKUP($S68,Conf!$K:$M,3,0)))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2437</v>
      </c>
      <c r="G68" s="71" t="s">
        <v>3664</v>
      </c>
      <c r="H68" s="71">
        <v>133</v>
      </c>
      <c r="I68" s="71" t="s">
        <v>494</v>
      </c>
      <c r="J68" s="71">
        <v>1</v>
      </c>
      <c r="K68" s="71" t="s">
        <v>223</v>
      </c>
      <c r="L68" s="71" t="s">
        <v>3665</v>
      </c>
      <c r="M68" s="71" t="s">
        <v>3636</v>
      </c>
      <c r="N68" s="71">
        <v>12187226905</v>
      </c>
      <c r="O68" s="71" t="s">
        <v>245</v>
      </c>
      <c r="P68" s="71" t="s">
        <v>246</v>
      </c>
      <c r="Q68" s="71">
        <v>0</v>
      </c>
      <c r="R68" s="71" t="s">
        <v>412</v>
      </c>
      <c r="S68" s="71" t="s">
        <v>413</v>
      </c>
      <c r="T68" s="71" t="s">
        <v>414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IF(D69="Inativo","Inativo",IFERROR(VLOOKUP($G69,Conf!$F$19:$G$39,2,0),VLOOKUP($S69,Conf!$K:$M,3,0)))</f>
        <v>OPERADOR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2357</v>
      </c>
      <c r="G69" s="71" t="s">
        <v>480</v>
      </c>
      <c r="H69" s="71">
        <v>481</v>
      </c>
      <c r="I69" s="71" t="s">
        <v>481</v>
      </c>
      <c r="J69" s="71">
        <v>1</v>
      </c>
      <c r="K69" s="71" t="s">
        <v>223</v>
      </c>
      <c r="L69" s="71" t="s">
        <v>482</v>
      </c>
      <c r="M69" s="71" t="s">
        <v>483</v>
      </c>
      <c r="N69" s="71">
        <v>15214582943</v>
      </c>
      <c r="O69" s="71" t="s">
        <v>245</v>
      </c>
      <c r="P69" s="71" t="s">
        <v>246</v>
      </c>
      <c r="Q69" s="71">
        <v>0</v>
      </c>
      <c r="R69" s="71" t="s">
        <v>412</v>
      </c>
      <c r="S69" s="71" t="s">
        <v>413</v>
      </c>
      <c r="T69" s="71" t="s">
        <v>414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IF(D70="Inativo","Inativo",IFERROR(VLOOKUP($G70,Conf!$F$19:$G$39,2,0),VLOOKUP($S70,Conf!$K:$M,3,0)))</f>
        <v>OPERADOR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2361</v>
      </c>
      <c r="G70" s="71" t="s">
        <v>484</v>
      </c>
      <c r="H70" s="71">
        <v>19</v>
      </c>
      <c r="I70" s="71" t="s">
        <v>485</v>
      </c>
      <c r="J70" s="71">
        <v>7</v>
      </c>
      <c r="K70" s="71" t="s">
        <v>3631</v>
      </c>
      <c r="L70" s="71" t="s">
        <v>486</v>
      </c>
      <c r="M70" s="71" t="s">
        <v>455</v>
      </c>
      <c r="N70" s="71">
        <v>13726880992</v>
      </c>
      <c r="O70" s="71" t="s">
        <v>245</v>
      </c>
      <c r="P70" s="71" t="s">
        <v>246</v>
      </c>
      <c r="Q70" s="71">
        <v>0</v>
      </c>
      <c r="R70" s="71" t="s">
        <v>412</v>
      </c>
      <c r="S70" s="71" t="s">
        <v>413</v>
      </c>
      <c r="T70" s="71" t="s">
        <v>414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IF(D71="Inativo","Inativo",IFERROR(VLOOKUP($G71,Conf!$F$19:$G$39,2,0),VLOOKUP($S71,Conf!$K:$M,3,0)))</f>
        <v>OPERADOR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2258</v>
      </c>
      <c r="G71" s="71" t="s">
        <v>487</v>
      </c>
      <c r="H71" s="71">
        <v>1089</v>
      </c>
      <c r="I71" s="71" t="s">
        <v>222</v>
      </c>
      <c r="J71" s="71">
        <v>1</v>
      </c>
      <c r="K71" s="71" t="s">
        <v>223</v>
      </c>
      <c r="L71" s="71" t="s">
        <v>488</v>
      </c>
      <c r="M71" s="71" t="s">
        <v>489</v>
      </c>
      <c r="N71" s="71">
        <v>2835884971</v>
      </c>
      <c r="Q71" s="71">
        <v>0</v>
      </c>
      <c r="R71" s="71" t="s">
        <v>412</v>
      </c>
      <c r="S71" s="71" t="s">
        <v>413</v>
      </c>
      <c r="T71" s="71" t="s">
        <v>414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IF(D72="Inativo","Inativo",IFERROR(VLOOKUP($G72,Conf!$F$19:$G$39,2,0),VLOOKUP($S72,Conf!$K:$M,3,0)))</f>
        <v>OPERADOR</v>
      </c>
      <c r="D72" s="72" t="str">
        <f ca="1">IFERROR(IF(TODAY()-K72&gt;365,"Inativo",IF(J72=2,"Férias",IF(J72=7,"Demitido","Afastamento"))),VLOOKUP(J72,Conf!$H:$I,2,0))</f>
        <v>Demitido</v>
      </c>
      <c r="E72" s="71">
        <v>1</v>
      </c>
      <c r="F72" s="71">
        <v>2326</v>
      </c>
      <c r="G72" s="71" t="s">
        <v>490</v>
      </c>
      <c r="H72" s="71">
        <v>1088</v>
      </c>
      <c r="I72" s="71" t="s">
        <v>222</v>
      </c>
      <c r="J72" s="71">
        <v>7</v>
      </c>
      <c r="K72" s="71" t="s">
        <v>3648</v>
      </c>
      <c r="L72" s="71" t="s">
        <v>491</v>
      </c>
      <c r="M72" s="71" t="s">
        <v>492</v>
      </c>
      <c r="N72" s="71">
        <v>11239793243</v>
      </c>
      <c r="Q72" s="71">
        <v>0</v>
      </c>
      <c r="R72" s="71" t="s">
        <v>412</v>
      </c>
      <c r="S72" s="71" t="s">
        <v>413</v>
      </c>
      <c r="T72" s="71" t="s">
        <v>414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IF(D73="Inativo","Inativo",IFERROR(VLOOKUP($G73,Conf!$F$19:$G$39,2,0),VLOOKUP($S73,Conf!$K:$M,3,0)))</f>
        <v>OPERADOR</v>
      </c>
      <c r="D73" s="72" t="str">
        <f ca="1">IFERROR(IF(TODAY()-K73&gt;365,"Inativo",IF(J73=2,"Férias",IF(J73=7,"Demitido","Afastamento"))),VLOOKUP(J73,Conf!$H:$I,2,0))</f>
        <v>Demitido</v>
      </c>
      <c r="E73" s="71">
        <v>1</v>
      </c>
      <c r="F73" s="71">
        <v>2427</v>
      </c>
      <c r="G73" s="71" t="s">
        <v>493</v>
      </c>
      <c r="H73" s="71">
        <v>133</v>
      </c>
      <c r="I73" s="71" t="s">
        <v>494</v>
      </c>
      <c r="J73" s="71">
        <v>7</v>
      </c>
      <c r="K73" s="71" t="s">
        <v>3632</v>
      </c>
      <c r="L73" s="71" t="s">
        <v>495</v>
      </c>
      <c r="M73" s="71" t="s">
        <v>337</v>
      </c>
      <c r="N73" s="71">
        <v>13545525473</v>
      </c>
      <c r="O73" s="71" t="s">
        <v>245</v>
      </c>
      <c r="P73" s="71" t="s">
        <v>246</v>
      </c>
      <c r="Q73" s="71">
        <v>0</v>
      </c>
      <c r="R73" s="71" t="s">
        <v>412</v>
      </c>
      <c r="S73" s="71" t="s">
        <v>413</v>
      </c>
      <c r="T73" s="71" t="s">
        <v>414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IF(D74="Inativo","Inativo",IFERROR(VLOOKUP($G74,Conf!$F$19:$G$39,2,0),VLOOKUP($S74,Conf!$K:$M,3,0)))</f>
        <v>OPERADOR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2435</v>
      </c>
      <c r="G74" s="71" t="s">
        <v>3662</v>
      </c>
      <c r="H74" s="71">
        <v>19</v>
      </c>
      <c r="I74" s="71" t="s">
        <v>485</v>
      </c>
      <c r="J74" s="71">
        <v>1</v>
      </c>
      <c r="K74" s="71" t="s">
        <v>223</v>
      </c>
      <c r="L74" s="71" t="s">
        <v>3663</v>
      </c>
      <c r="M74" s="71" t="s">
        <v>3636</v>
      </c>
      <c r="N74" s="71">
        <v>47997216820</v>
      </c>
      <c r="O74" s="71" t="s">
        <v>245</v>
      </c>
      <c r="P74" s="71" t="s">
        <v>246</v>
      </c>
      <c r="Q74" s="71">
        <v>0</v>
      </c>
      <c r="R74" s="71" t="s">
        <v>412</v>
      </c>
      <c r="S74" s="71" t="s">
        <v>413</v>
      </c>
      <c r="T74" s="71" t="s">
        <v>414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IF(D75="Inativo","Inativo",IFERROR(VLOOKUP($G75,Conf!$F$19:$G$39,2,0),VLOOKUP($S75,Conf!$K:$M,3,0)))</f>
        <v>BALCONISTA</v>
      </c>
      <c r="D75" s="72" t="str">
        <f ca="1">IFERROR(IF(TODAY()-K75&gt;365,"Inativo",IF(J75=2,"Férias",IF(J75=7,"Demitido","Afastamento"))),VLOOKUP(J75,Conf!$H:$I,2,0))</f>
        <v>Férias</v>
      </c>
      <c r="E75" s="71">
        <v>1</v>
      </c>
      <c r="F75" s="71">
        <v>78</v>
      </c>
      <c r="G75" s="71" t="s">
        <v>496</v>
      </c>
      <c r="H75" s="71">
        <v>1075</v>
      </c>
      <c r="I75" s="71" t="s">
        <v>230</v>
      </c>
      <c r="J75" s="71">
        <v>2</v>
      </c>
      <c r="K75" s="71" t="s">
        <v>471</v>
      </c>
      <c r="L75" s="71" t="s">
        <v>497</v>
      </c>
      <c r="M75" s="71" t="s">
        <v>498</v>
      </c>
      <c r="N75" s="71">
        <v>11618697943</v>
      </c>
      <c r="Q75" s="71">
        <v>0</v>
      </c>
      <c r="R75" s="71" t="s">
        <v>499</v>
      </c>
      <c r="S75" s="71" t="s">
        <v>500</v>
      </c>
      <c r="T75" s="71" t="s">
        <v>510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IF(D76="Inativo","Inativo",IFERROR(VLOOKUP($G76,Conf!$F$19:$G$39,2,0),VLOOKUP($S76,Conf!$K:$M,3,0)))</f>
        <v>BALCONISTA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1782</v>
      </c>
      <c r="G76" s="71" t="s">
        <v>501</v>
      </c>
      <c r="H76" s="71">
        <v>1086</v>
      </c>
      <c r="I76" s="71" t="s">
        <v>222</v>
      </c>
      <c r="J76" s="71">
        <v>1</v>
      </c>
      <c r="K76" s="71" t="s">
        <v>223</v>
      </c>
      <c r="L76" s="71" t="s">
        <v>502</v>
      </c>
      <c r="M76" s="71" t="s">
        <v>503</v>
      </c>
      <c r="N76" s="71">
        <v>585028150</v>
      </c>
      <c r="Q76" s="71">
        <v>0</v>
      </c>
      <c r="R76" s="71" t="s">
        <v>504</v>
      </c>
      <c r="S76" s="71" t="s">
        <v>505</v>
      </c>
      <c r="T76" s="71" t="s">
        <v>506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IF(D77="Inativo","Inativo",IFERROR(VLOOKUP($G77,Conf!$F$19:$G$39,2,0),VLOOKUP($S77,Conf!$K:$M,3,0)))</f>
        <v>BALCONISTA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90</v>
      </c>
      <c r="G77" s="71" t="s">
        <v>507</v>
      </c>
      <c r="H77" s="71">
        <v>1085</v>
      </c>
      <c r="I77" s="71" t="s">
        <v>222</v>
      </c>
      <c r="J77" s="71">
        <v>1</v>
      </c>
      <c r="K77" s="71" t="s">
        <v>223</v>
      </c>
      <c r="L77" s="71" t="s">
        <v>508</v>
      </c>
      <c r="M77" s="71" t="s">
        <v>509</v>
      </c>
      <c r="N77" s="71">
        <v>79610692915</v>
      </c>
      <c r="Q77" s="71">
        <v>0</v>
      </c>
      <c r="R77" s="71" t="s">
        <v>499</v>
      </c>
      <c r="S77" s="71" t="s">
        <v>500</v>
      </c>
      <c r="T77" s="71" t="s">
        <v>510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IF(D78="Inativo","Inativo",IFERROR(VLOOKUP($G78,Conf!$F$19:$G$39,2,0),VLOOKUP($S78,Conf!$K:$M,3,0)))</f>
        <v>GERENTE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132</v>
      </c>
      <c r="G78" s="71" t="s">
        <v>511</v>
      </c>
      <c r="H78" s="71">
        <v>280</v>
      </c>
      <c r="I78" s="71" t="s">
        <v>230</v>
      </c>
      <c r="J78" s="71">
        <v>1</v>
      </c>
      <c r="K78" s="71" t="s">
        <v>223</v>
      </c>
      <c r="L78" s="71" t="s">
        <v>512</v>
      </c>
      <c r="M78" s="71" t="s">
        <v>513</v>
      </c>
      <c r="N78" s="71">
        <v>10919484964</v>
      </c>
      <c r="Q78" s="71">
        <v>0</v>
      </c>
      <c r="R78" s="71" t="s">
        <v>514</v>
      </c>
      <c r="S78" s="71" t="s">
        <v>515</v>
      </c>
      <c r="T78" s="71" t="s">
        <v>704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20</v>
      </c>
      <c r="G79" s="71" t="s">
        <v>516</v>
      </c>
      <c r="H79" s="71">
        <v>47</v>
      </c>
      <c r="I79" s="71" t="s">
        <v>222</v>
      </c>
      <c r="J79" s="71">
        <v>1</v>
      </c>
      <c r="K79" s="71" t="s">
        <v>223</v>
      </c>
      <c r="L79" s="71" t="s">
        <v>517</v>
      </c>
      <c r="M79" s="71" t="s">
        <v>471</v>
      </c>
      <c r="N79" s="71">
        <v>7059677275</v>
      </c>
      <c r="O79" s="71" t="s">
        <v>245</v>
      </c>
      <c r="P79" s="71" t="s">
        <v>246</v>
      </c>
      <c r="Q79" s="71">
        <v>0</v>
      </c>
      <c r="R79" s="71" t="s">
        <v>518</v>
      </c>
      <c r="S79" s="71" t="s">
        <v>519</v>
      </c>
      <c r="T79" s="71" t="s">
        <v>520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22</v>
      </c>
      <c r="G80" s="71" t="s">
        <v>521</v>
      </c>
      <c r="H80" s="71">
        <v>971</v>
      </c>
      <c r="I80" s="71" t="s">
        <v>230</v>
      </c>
      <c r="J80" s="71">
        <v>1</v>
      </c>
      <c r="K80" s="71" t="s">
        <v>223</v>
      </c>
      <c r="L80" s="71" t="s">
        <v>522</v>
      </c>
      <c r="M80" s="71" t="s">
        <v>471</v>
      </c>
      <c r="N80" s="71">
        <v>10949544973</v>
      </c>
      <c r="O80" s="71" t="s">
        <v>245</v>
      </c>
      <c r="P80" s="71" t="s">
        <v>246</v>
      </c>
      <c r="Q80" s="71">
        <v>0</v>
      </c>
      <c r="R80" s="71" t="s">
        <v>518</v>
      </c>
      <c r="S80" s="71" t="s">
        <v>519</v>
      </c>
      <c r="T80" s="71" t="s">
        <v>520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IF(D81="Inativo","Inativo",IFERROR(VLOOKUP($G81,Conf!$F$19:$G$39,2,0),VLOOKUP($S81,Conf!$K:$M,3,0)))</f>
        <v>REPOSITOR</v>
      </c>
      <c r="D81" s="72" t="str">
        <f ca="1">IFERROR(IF(TODAY()-K81&gt;365,"Inativo",IF(J81=2,"Férias",IF(J81=7,"Demitido","Afastamento"))),VLOOKUP(J81,Conf!$H:$I,2,0))</f>
        <v>Demitido</v>
      </c>
      <c r="E81" s="71">
        <v>1</v>
      </c>
      <c r="F81" s="71">
        <v>10</v>
      </c>
      <c r="G81" s="71" t="s">
        <v>523</v>
      </c>
      <c r="H81" s="71">
        <v>6</v>
      </c>
      <c r="I81" s="71" t="s">
        <v>230</v>
      </c>
      <c r="J81" s="71">
        <v>7</v>
      </c>
      <c r="K81" s="71" t="s">
        <v>239</v>
      </c>
      <c r="L81" s="71" t="s">
        <v>524</v>
      </c>
      <c r="M81" s="71" t="s">
        <v>525</v>
      </c>
      <c r="N81" s="71">
        <v>5631063956</v>
      </c>
      <c r="O81" s="71" t="s">
        <v>245</v>
      </c>
      <c r="P81" s="71" t="s">
        <v>246</v>
      </c>
      <c r="Q81" s="71">
        <v>0</v>
      </c>
      <c r="R81" s="71" t="s">
        <v>518</v>
      </c>
      <c r="S81" s="71" t="s">
        <v>519</v>
      </c>
      <c r="T81" s="71" t="s">
        <v>520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IF(D82="Inativo","Inativo",IFERROR(VLOOKUP($G82,Conf!$F$19:$G$39,2,0),VLOOKUP($S82,Conf!$K:$M,3,0)))</f>
        <v>REPOSITOR</v>
      </c>
      <c r="D82" s="72" t="str">
        <f ca="1">IFERROR(IF(TODAY()-K82&gt;365,"Inativo",IF(J82=2,"Férias",IF(J82=7,"Demitido","Afastamento"))),VLOOKUP(J82,Conf!$H:$I,2,0))</f>
        <v>Demitido</v>
      </c>
      <c r="E82" s="71">
        <v>1</v>
      </c>
      <c r="F82" s="71">
        <v>12</v>
      </c>
      <c r="G82" s="71" t="s">
        <v>526</v>
      </c>
      <c r="H82" s="71">
        <v>531</v>
      </c>
      <c r="I82" s="71" t="s">
        <v>222</v>
      </c>
      <c r="J82" s="71">
        <v>7</v>
      </c>
      <c r="K82" s="71" t="s">
        <v>527</v>
      </c>
      <c r="L82" s="71" t="s">
        <v>528</v>
      </c>
      <c r="M82" s="71" t="s">
        <v>529</v>
      </c>
      <c r="N82" s="71">
        <v>9718457941</v>
      </c>
      <c r="O82" s="71" t="s">
        <v>245</v>
      </c>
      <c r="P82" s="71" t="s">
        <v>246</v>
      </c>
      <c r="Q82" s="71">
        <v>0</v>
      </c>
      <c r="R82" s="71" t="s">
        <v>518</v>
      </c>
      <c r="S82" s="71" t="s">
        <v>519</v>
      </c>
      <c r="T82" s="71" t="s">
        <v>520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HORTIFRUTI</v>
      </c>
      <c r="C83" s="72" t="str">
        <f ca="1">IF(D83="Inativo","Inativo",IFERROR(VLOOKUP($G83,Conf!$F$19:$G$39,2,0),VLOOKUP($S83,Conf!$K:$M,3,0)))</f>
        <v>GERENTE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109</v>
      </c>
      <c r="G83" s="71" t="s">
        <v>530</v>
      </c>
      <c r="H83" s="71">
        <v>280</v>
      </c>
      <c r="I83" s="71" t="s">
        <v>230</v>
      </c>
      <c r="J83" s="71">
        <v>1</v>
      </c>
      <c r="K83" s="71" t="s">
        <v>223</v>
      </c>
      <c r="L83" s="71" t="s">
        <v>531</v>
      </c>
      <c r="M83" s="71" t="s">
        <v>532</v>
      </c>
      <c r="N83" s="71">
        <v>12952642931</v>
      </c>
      <c r="Q83" s="71">
        <v>0</v>
      </c>
      <c r="R83" s="71" t="s">
        <v>533</v>
      </c>
      <c r="S83" s="71" t="s">
        <v>534</v>
      </c>
      <c r="T83" s="71" t="s">
        <v>548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IF(D84="Inativo","Inativo",IFERROR(VLOOKUP($G84,Conf!$F$19:$G$39,2,0),VLOOKUP($S84,Conf!$K:$M,3,0)))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4</v>
      </c>
      <c r="G84" s="71" t="s">
        <v>536</v>
      </c>
      <c r="H84" s="71">
        <v>47</v>
      </c>
      <c r="I84" s="71" t="s">
        <v>222</v>
      </c>
      <c r="J84" s="71">
        <v>1</v>
      </c>
      <c r="K84" s="71" t="s">
        <v>223</v>
      </c>
      <c r="L84" s="71" t="s">
        <v>537</v>
      </c>
      <c r="M84" s="71" t="s">
        <v>538</v>
      </c>
      <c r="N84" s="71">
        <v>40983862915</v>
      </c>
      <c r="O84" s="71" t="s">
        <v>245</v>
      </c>
      <c r="P84" s="71" t="s">
        <v>246</v>
      </c>
      <c r="Q84" s="71">
        <v>0</v>
      </c>
      <c r="R84" s="71" t="s">
        <v>539</v>
      </c>
      <c r="S84" s="71" t="s">
        <v>540</v>
      </c>
      <c r="T84" s="71" t="s">
        <v>541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IF(D85="Inativo","Inativo",IFERROR(VLOOKUP($G85,Conf!$F$19:$G$39,2,0),VLOOKUP($S85,Conf!$K:$M,3,0)))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276</v>
      </c>
      <c r="G85" s="71" t="s">
        <v>542</v>
      </c>
      <c r="H85" s="71">
        <v>47</v>
      </c>
      <c r="I85" s="71" t="s">
        <v>222</v>
      </c>
      <c r="J85" s="71">
        <v>1</v>
      </c>
      <c r="K85" s="71" t="s">
        <v>223</v>
      </c>
      <c r="L85" s="71" t="s">
        <v>543</v>
      </c>
      <c r="M85" s="71" t="s">
        <v>544</v>
      </c>
      <c r="N85" s="71">
        <v>5902332974</v>
      </c>
      <c r="O85" s="71" t="s">
        <v>245</v>
      </c>
      <c r="P85" s="71" t="s">
        <v>246</v>
      </c>
      <c r="Q85" s="71">
        <v>0</v>
      </c>
      <c r="R85" s="71" t="s">
        <v>539</v>
      </c>
      <c r="S85" s="71" t="s">
        <v>540</v>
      </c>
      <c r="T85" s="71" t="s">
        <v>541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HORTIFRUTI</v>
      </c>
      <c r="C86" s="72" t="str">
        <f ca="1">IF(D86="Inativo","Inativo",IFERROR(VLOOKUP($G86,Conf!$F$19:$G$39,2,0),VLOOKUP($S86,Conf!$K:$M,3,0)))</f>
        <v>REPOSITOR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146</v>
      </c>
      <c r="G86" s="71" t="s">
        <v>545</v>
      </c>
      <c r="H86" s="71">
        <v>1100</v>
      </c>
      <c r="I86" s="71" t="s">
        <v>279</v>
      </c>
      <c r="J86" s="71">
        <v>1</v>
      </c>
      <c r="K86" s="71" t="s">
        <v>223</v>
      </c>
      <c r="L86" s="71" t="s">
        <v>546</v>
      </c>
      <c r="M86" s="71" t="s">
        <v>547</v>
      </c>
      <c r="N86" s="71">
        <v>11964653983</v>
      </c>
      <c r="Q86" s="71">
        <v>0</v>
      </c>
      <c r="R86" s="71" t="s">
        <v>539</v>
      </c>
      <c r="S86" s="71" t="s">
        <v>540</v>
      </c>
      <c r="T86" s="71" t="s">
        <v>541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IF(D87="Inativo","Inativo",IFERROR(VLOOKUP($G87,Conf!$F$19:$G$39,2,0),VLOOKUP($S87,Conf!$K:$M,3,0)))</f>
        <v>REPOSITOR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112</v>
      </c>
      <c r="G87" s="71" t="s">
        <v>549</v>
      </c>
      <c r="H87" s="71">
        <v>44</v>
      </c>
      <c r="I87" s="71" t="s">
        <v>550</v>
      </c>
      <c r="J87" s="71">
        <v>1</v>
      </c>
      <c r="K87" s="71" t="s">
        <v>223</v>
      </c>
      <c r="L87" s="71" t="s">
        <v>551</v>
      </c>
      <c r="M87" s="71" t="s">
        <v>552</v>
      </c>
      <c r="N87" s="71">
        <v>95362010972</v>
      </c>
      <c r="Q87" s="71">
        <v>0</v>
      </c>
      <c r="R87" s="71" t="s">
        <v>553</v>
      </c>
      <c r="S87" s="71" t="s">
        <v>554</v>
      </c>
      <c r="T87" s="71" t="s">
        <v>555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IF(D88="Inativo","Inativo",IFERROR(VLOOKUP($G88,Conf!$F$19:$G$39,2,0),VLOOKUP($S88,Conf!$K:$M,3,0)))</f>
        <v>REPOSITOR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279</v>
      </c>
      <c r="G88" s="71" t="s">
        <v>556</v>
      </c>
      <c r="H88" s="71">
        <v>47</v>
      </c>
      <c r="I88" s="71" t="s">
        <v>222</v>
      </c>
      <c r="J88" s="71">
        <v>1</v>
      </c>
      <c r="K88" s="71" t="s">
        <v>223</v>
      </c>
      <c r="L88" s="71" t="s">
        <v>557</v>
      </c>
      <c r="M88" s="71" t="s">
        <v>455</v>
      </c>
      <c r="N88" s="71">
        <v>73081795915</v>
      </c>
      <c r="O88" s="71" t="s">
        <v>245</v>
      </c>
      <c r="P88" s="71" t="s">
        <v>246</v>
      </c>
      <c r="Q88" s="71">
        <v>0</v>
      </c>
      <c r="R88" s="71" t="s">
        <v>539</v>
      </c>
      <c r="S88" s="71" t="s">
        <v>540</v>
      </c>
      <c r="T88" s="71" t="s">
        <v>541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IF(D89="Inativo","Inativo",IFERROR(VLOOKUP($G89,Conf!$F$19:$G$39,2,0),VLOOKUP($S89,Conf!$K:$M,3,0)))</f>
        <v>REPOSITOR</v>
      </c>
      <c r="D89" s="72" t="str">
        <f ca="1">IFERROR(IF(TODAY()-K89&gt;365,"Inativo",IF(J89=2,"Férias",IF(J89=7,"Demitido","Afastamento"))),VLOOKUP(J89,Conf!$H:$I,2,0))</f>
        <v>Férias</v>
      </c>
      <c r="E89" s="71">
        <v>1</v>
      </c>
      <c r="F89" s="71">
        <v>395</v>
      </c>
      <c r="G89" s="71" t="s">
        <v>558</v>
      </c>
      <c r="H89" s="71">
        <v>1094</v>
      </c>
      <c r="I89" s="71" t="s">
        <v>238</v>
      </c>
      <c r="J89" s="71">
        <v>2</v>
      </c>
      <c r="K89" s="71" t="s">
        <v>471</v>
      </c>
      <c r="L89" s="71" t="s">
        <v>559</v>
      </c>
      <c r="M89" s="71" t="s">
        <v>560</v>
      </c>
      <c r="N89" s="71">
        <v>495126926</v>
      </c>
      <c r="Q89" s="71">
        <v>0</v>
      </c>
      <c r="R89" s="71" t="s">
        <v>553</v>
      </c>
      <c r="S89" s="71" t="s">
        <v>554</v>
      </c>
      <c r="T89" s="71" t="s">
        <v>555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IF(D90="Inativo","Inativo",IFERROR(VLOOKUP($G90,Conf!$F$19:$G$39,2,0),VLOOKUP($S90,Conf!$K:$M,3,0)))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128</v>
      </c>
      <c r="G90" s="71" t="s">
        <v>561</v>
      </c>
      <c r="H90" s="71">
        <v>1089</v>
      </c>
      <c r="I90" s="71" t="s">
        <v>222</v>
      </c>
      <c r="J90" s="71">
        <v>1</v>
      </c>
      <c r="K90" s="71" t="s">
        <v>223</v>
      </c>
      <c r="L90" s="71" t="s">
        <v>562</v>
      </c>
      <c r="M90" s="71" t="s">
        <v>563</v>
      </c>
      <c r="N90" s="71">
        <v>2109129956</v>
      </c>
      <c r="Q90" s="71">
        <v>0</v>
      </c>
      <c r="R90" s="71" t="s">
        <v>539</v>
      </c>
      <c r="S90" s="71" t="s">
        <v>540</v>
      </c>
      <c r="T90" s="71" t="s">
        <v>541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Inativo</v>
      </c>
      <c r="C91" s="72" t="str">
        <f ca="1">IF(D91="Inativo","Inativo",IFERROR(VLOOKUP($G91,Conf!$F$19:$G$39,2,0),VLOOKUP($S91,Conf!$K:$M,3,0)))</f>
        <v>Inativo</v>
      </c>
      <c r="D91" s="72" t="str">
        <f ca="1">IFERROR(IF(TODAY()-K91&gt;365,"Inativo",IF(J91=2,"Férias",IF(J91=7,"Demitido","Afastamento"))),VLOOKUP(J91,Conf!$H:$I,2,0))</f>
        <v>Inativo</v>
      </c>
      <c r="E91" s="71">
        <v>1</v>
      </c>
      <c r="F91" s="71">
        <v>4</v>
      </c>
      <c r="G91" s="71" t="s">
        <v>565</v>
      </c>
      <c r="H91" s="71">
        <v>16</v>
      </c>
      <c r="I91" s="71" t="s">
        <v>473</v>
      </c>
      <c r="J91" s="71">
        <v>22</v>
      </c>
      <c r="K91" s="71" t="s">
        <v>566</v>
      </c>
      <c r="L91" s="71" t="s">
        <v>567</v>
      </c>
      <c r="M91" s="71" t="s">
        <v>568</v>
      </c>
      <c r="N91" s="71">
        <v>34977414934</v>
      </c>
      <c r="Q91" s="71">
        <v>0</v>
      </c>
      <c r="R91" s="71" t="s">
        <v>367</v>
      </c>
      <c r="S91" s="71" t="s">
        <v>368</v>
      </c>
      <c r="T91" s="71" t="s">
        <v>369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Inativo</v>
      </c>
      <c r="C92" s="72" t="str">
        <f ca="1">IF(D92="Inativo","Inativo",IFERROR(VLOOKUP($G92,Conf!$F$19:$G$39,2,0),VLOOKUP($S92,Conf!$K:$M,3,0)))</f>
        <v>Inativo</v>
      </c>
      <c r="D92" s="72" t="str">
        <f ca="1">IFERROR(IF(TODAY()-K92&gt;365,"Inativo",IF(J92=2,"Férias",IF(J92=7,"Demitido","Afastamento"))),VLOOKUP(J92,Conf!$H:$I,2,0))</f>
        <v>Inativo</v>
      </c>
      <c r="E92" s="71">
        <v>1</v>
      </c>
      <c r="F92" s="71">
        <v>767</v>
      </c>
      <c r="G92" s="71" t="s">
        <v>569</v>
      </c>
      <c r="H92" s="71">
        <v>16</v>
      </c>
      <c r="I92" s="71" t="s">
        <v>473</v>
      </c>
      <c r="J92" s="71">
        <v>3</v>
      </c>
      <c r="K92" s="71" t="s">
        <v>570</v>
      </c>
      <c r="L92" s="71" t="s">
        <v>571</v>
      </c>
      <c r="M92" s="71" t="s">
        <v>572</v>
      </c>
      <c r="N92" s="71">
        <v>5101531944</v>
      </c>
      <c r="Q92" s="71">
        <v>0</v>
      </c>
      <c r="R92" s="71" t="s">
        <v>573</v>
      </c>
      <c r="S92" s="71" t="s">
        <v>574</v>
      </c>
      <c r="T92" s="71" t="s">
        <v>575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Inativo</v>
      </c>
      <c r="C93" s="72" t="str">
        <f ca="1">IF(D93="Inativo","Inativo",IFERROR(VLOOKUP($G93,Conf!$F$19:$G$39,2,0),VLOOKUP($S93,Conf!$K:$M,3,0)))</f>
        <v>Inativo</v>
      </c>
      <c r="D93" s="72" t="str">
        <f ca="1">IFERROR(IF(TODAY()-K93&gt;365,"Inativo",IF(J93=2,"Férias",IF(J93=7,"Demitido","Afastamento"))),VLOOKUP(J93,Conf!$H:$I,2,0))</f>
        <v>Inativo</v>
      </c>
      <c r="E93" s="71">
        <v>1</v>
      </c>
      <c r="F93" s="71">
        <v>1932</v>
      </c>
      <c r="G93" s="71" t="s">
        <v>576</v>
      </c>
      <c r="H93" s="71">
        <v>520</v>
      </c>
      <c r="I93" s="71" t="s">
        <v>222</v>
      </c>
      <c r="J93" s="71">
        <v>3</v>
      </c>
      <c r="K93" s="71" t="s">
        <v>577</v>
      </c>
      <c r="L93" s="71" t="s">
        <v>578</v>
      </c>
      <c r="M93" s="71" t="s">
        <v>579</v>
      </c>
      <c r="N93" s="71">
        <v>67398634900</v>
      </c>
      <c r="Q93" s="71">
        <v>0</v>
      </c>
      <c r="R93" s="71" t="s">
        <v>580</v>
      </c>
      <c r="S93" s="71" t="s">
        <v>581</v>
      </c>
      <c r="T93" s="71" t="s">
        <v>582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Inativo</v>
      </c>
      <c r="C94" s="72" t="str">
        <f ca="1">IF(D94="Inativo","Inativo",IFERROR(VLOOKUP($G94,Conf!$F$19:$G$39,2,0),VLOOKUP($S94,Conf!$K:$M,3,0)))</f>
        <v>Inativo</v>
      </c>
      <c r="D94" s="72" t="str">
        <f ca="1">IFERROR(IF(TODAY()-K94&gt;365,"Inativo",IF(J94=2,"Férias",IF(J94=7,"Demitido","Afastamento"))),VLOOKUP(J94,Conf!$H:$I,2,0))</f>
        <v>Inativo</v>
      </c>
      <c r="E94" s="71">
        <v>1</v>
      </c>
      <c r="F94" s="71">
        <v>172</v>
      </c>
      <c r="G94" s="71" t="s">
        <v>583</v>
      </c>
      <c r="H94" s="71">
        <v>16</v>
      </c>
      <c r="I94" s="71" t="s">
        <v>473</v>
      </c>
      <c r="J94" s="71">
        <v>22</v>
      </c>
      <c r="K94" s="71" t="s">
        <v>584</v>
      </c>
      <c r="L94" s="71" t="s">
        <v>585</v>
      </c>
      <c r="M94" s="71" t="s">
        <v>586</v>
      </c>
      <c r="N94" s="71">
        <v>58143602915</v>
      </c>
      <c r="Q94" s="71">
        <v>0</v>
      </c>
      <c r="R94" s="71" t="s">
        <v>587</v>
      </c>
      <c r="S94" s="71" t="s">
        <v>588</v>
      </c>
      <c r="T94" s="71" t="s">
        <v>589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LIMPEZA</v>
      </c>
      <c r="C95" s="72" t="str">
        <f ca="1">IF(D95="Inativo","Inativo",IFERROR(VLOOKUP($G95,Conf!$F$19:$G$39,2,0),VLOOKUP($S95,Conf!$K:$M,3,0)))</f>
        <v>ZELADOR(A)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137</v>
      </c>
      <c r="G95" s="71" t="s">
        <v>590</v>
      </c>
      <c r="H95" s="71">
        <v>6</v>
      </c>
      <c r="I95" s="71" t="s">
        <v>230</v>
      </c>
      <c r="J95" s="71">
        <v>1</v>
      </c>
      <c r="K95" s="71" t="s">
        <v>223</v>
      </c>
      <c r="L95" s="71" t="s">
        <v>591</v>
      </c>
      <c r="M95" s="71" t="s">
        <v>592</v>
      </c>
      <c r="N95" s="71">
        <v>72770937987</v>
      </c>
      <c r="Q95" s="71">
        <v>0</v>
      </c>
      <c r="R95" s="71" t="s">
        <v>593</v>
      </c>
      <c r="S95" s="71" t="s">
        <v>594</v>
      </c>
      <c r="T95" s="71" t="s">
        <v>597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LIMPEZA</v>
      </c>
      <c r="C96" s="72" t="str">
        <f ca="1">IF(D96="Inativo","Inativo",IFERROR(VLOOKUP($G96,Conf!$F$19:$G$39,2,0),VLOOKUP($S96,Conf!$K:$M,3,0)))</f>
        <v>ZELADOR(A)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287</v>
      </c>
      <c r="G96" s="71" t="s">
        <v>595</v>
      </c>
      <c r="H96" s="71">
        <v>47</v>
      </c>
      <c r="I96" s="71" t="s">
        <v>222</v>
      </c>
      <c r="J96" s="71">
        <v>1</v>
      </c>
      <c r="K96" s="71" t="s">
        <v>223</v>
      </c>
      <c r="L96" s="71" t="s">
        <v>596</v>
      </c>
      <c r="M96" s="71" t="s">
        <v>446</v>
      </c>
      <c r="N96" s="71">
        <v>5705757964</v>
      </c>
      <c r="O96" s="71" t="s">
        <v>245</v>
      </c>
      <c r="P96" s="71" t="s">
        <v>246</v>
      </c>
      <c r="Q96" s="71">
        <v>0</v>
      </c>
      <c r="R96" s="71" t="s">
        <v>593</v>
      </c>
      <c r="S96" s="71" t="s">
        <v>594</v>
      </c>
      <c r="T96" s="71" t="s">
        <v>597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LIMPEZA</v>
      </c>
      <c r="C97" s="72" t="str">
        <f ca="1">IF(D97="Inativo","Inativo",IFERROR(VLOOKUP($G97,Conf!$F$19:$G$39,2,0),VLOOKUP($S97,Conf!$K:$M,3,0)))</f>
        <v>ZELADOR(A)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144</v>
      </c>
      <c r="G97" s="71" t="s">
        <v>598</v>
      </c>
      <c r="H97" s="71">
        <v>524</v>
      </c>
      <c r="I97" s="71" t="s">
        <v>222</v>
      </c>
      <c r="J97" s="71">
        <v>1</v>
      </c>
      <c r="K97" s="71" t="s">
        <v>223</v>
      </c>
      <c r="L97" s="71" t="s">
        <v>599</v>
      </c>
      <c r="M97" s="71" t="s">
        <v>600</v>
      </c>
      <c r="N97" s="71">
        <v>26460703817</v>
      </c>
      <c r="Q97" s="71">
        <v>0</v>
      </c>
      <c r="R97" s="71" t="s">
        <v>593</v>
      </c>
      <c r="S97" s="71" t="s">
        <v>594</v>
      </c>
      <c r="T97" s="71" t="s">
        <v>597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APRENDIZ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2393</v>
      </c>
      <c r="G98" s="71" t="s">
        <v>601</v>
      </c>
      <c r="H98" s="71">
        <v>205</v>
      </c>
      <c r="I98" s="71" t="s">
        <v>602</v>
      </c>
      <c r="J98" s="71">
        <v>1</v>
      </c>
      <c r="K98" s="71" t="s">
        <v>223</v>
      </c>
      <c r="L98" s="71" t="s">
        <v>603</v>
      </c>
      <c r="M98" s="71" t="s">
        <v>604</v>
      </c>
      <c r="N98" s="71">
        <v>12320441999</v>
      </c>
      <c r="O98" s="71" t="s">
        <v>245</v>
      </c>
      <c r="P98" s="71" t="s">
        <v>246</v>
      </c>
      <c r="Q98" s="71">
        <v>0</v>
      </c>
      <c r="R98" s="71" t="s">
        <v>605</v>
      </c>
      <c r="S98" s="71" t="s">
        <v>606</v>
      </c>
      <c r="T98" s="71" t="s">
        <v>607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APRENDIZ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292</v>
      </c>
      <c r="G99" s="71" t="s">
        <v>608</v>
      </c>
      <c r="H99" s="71">
        <v>205</v>
      </c>
      <c r="I99" s="71" t="s">
        <v>602</v>
      </c>
      <c r="J99" s="71">
        <v>1</v>
      </c>
      <c r="K99" s="71" t="s">
        <v>223</v>
      </c>
      <c r="L99" s="71" t="s">
        <v>609</v>
      </c>
      <c r="M99" s="71" t="s">
        <v>604</v>
      </c>
      <c r="N99" s="71">
        <v>12021777944</v>
      </c>
      <c r="O99" s="71" t="s">
        <v>245</v>
      </c>
      <c r="P99" s="71" t="s">
        <v>246</v>
      </c>
      <c r="Q99" s="71">
        <v>0</v>
      </c>
      <c r="R99" s="71" t="s">
        <v>610</v>
      </c>
      <c r="S99" s="71" t="s">
        <v>611</v>
      </c>
      <c r="T99" s="71" t="s">
        <v>535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APRENDIZ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2388</v>
      </c>
      <c r="G100" s="71" t="s">
        <v>613</v>
      </c>
      <c r="H100" s="71">
        <v>205</v>
      </c>
      <c r="I100" s="71" t="s">
        <v>602</v>
      </c>
      <c r="J100" s="71">
        <v>1</v>
      </c>
      <c r="K100" s="71" t="s">
        <v>223</v>
      </c>
      <c r="L100" s="71" t="s">
        <v>614</v>
      </c>
      <c r="M100" s="71" t="s">
        <v>604</v>
      </c>
      <c r="N100" s="71">
        <v>11495610926</v>
      </c>
      <c r="O100" s="71" t="s">
        <v>245</v>
      </c>
      <c r="P100" s="71" t="s">
        <v>246</v>
      </c>
      <c r="Q100" s="71">
        <v>0</v>
      </c>
      <c r="R100" s="71" t="s">
        <v>605</v>
      </c>
      <c r="S100" s="71" t="s">
        <v>606</v>
      </c>
      <c r="T100" s="71" t="s">
        <v>607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APRENDIZ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2390</v>
      </c>
      <c r="G101" s="71" t="s">
        <v>615</v>
      </c>
      <c r="H101" s="71">
        <v>205</v>
      </c>
      <c r="I101" s="71" t="s">
        <v>602</v>
      </c>
      <c r="J101" s="71">
        <v>1</v>
      </c>
      <c r="K101" s="71" t="s">
        <v>223</v>
      </c>
      <c r="L101" s="71" t="s">
        <v>616</v>
      </c>
      <c r="M101" s="71" t="s">
        <v>604</v>
      </c>
      <c r="N101" s="71">
        <v>10510319904</v>
      </c>
      <c r="O101" s="71" t="s">
        <v>245</v>
      </c>
      <c r="P101" s="71" t="s">
        <v>246</v>
      </c>
      <c r="Q101" s="71">
        <v>0</v>
      </c>
      <c r="R101" s="71" t="s">
        <v>605</v>
      </c>
      <c r="S101" s="71" t="s">
        <v>606</v>
      </c>
      <c r="T101" s="71" t="s">
        <v>607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APRENDIZ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291</v>
      </c>
      <c r="G102" s="71" t="s">
        <v>617</v>
      </c>
      <c r="H102" s="71">
        <v>205</v>
      </c>
      <c r="I102" s="71" t="s">
        <v>602</v>
      </c>
      <c r="J102" s="71">
        <v>1</v>
      </c>
      <c r="K102" s="71" t="s">
        <v>223</v>
      </c>
      <c r="L102" s="71" t="s">
        <v>618</v>
      </c>
      <c r="M102" s="71" t="s">
        <v>604</v>
      </c>
      <c r="N102" s="71">
        <v>1401740952</v>
      </c>
      <c r="O102" s="71" t="s">
        <v>245</v>
      </c>
      <c r="P102" s="71" t="s">
        <v>246</v>
      </c>
      <c r="Q102" s="71">
        <v>0</v>
      </c>
      <c r="R102" s="71" t="s">
        <v>610</v>
      </c>
      <c r="S102" s="71" t="s">
        <v>611</v>
      </c>
      <c r="T102" s="71" t="s">
        <v>535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APRENDIZ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2385</v>
      </c>
      <c r="G103" s="71" t="s">
        <v>619</v>
      </c>
      <c r="H103" s="71">
        <v>205</v>
      </c>
      <c r="I103" s="71" t="s">
        <v>602</v>
      </c>
      <c r="J103" s="71">
        <v>1</v>
      </c>
      <c r="K103" s="71" t="s">
        <v>223</v>
      </c>
      <c r="L103" s="71" t="s">
        <v>620</v>
      </c>
      <c r="M103" s="71" t="s">
        <v>604</v>
      </c>
      <c r="N103" s="71">
        <v>12005640905</v>
      </c>
      <c r="O103" s="71" t="s">
        <v>245</v>
      </c>
      <c r="P103" s="71" t="s">
        <v>246</v>
      </c>
      <c r="Q103" s="71">
        <v>0</v>
      </c>
      <c r="R103" s="71" t="s">
        <v>605</v>
      </c>
      <c r="S103" s="71" t="s">
        <v>606</v>
      </c>
      <c r="T103" s="71" t="s">
        <v>607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AUXILIAR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282</v>
      </c>
      <c r="G104" s="71" t="s">
        <v>621</v>
      </c>
      <c r="H104" s="71">
        <v>6</v>
      </c>
      <c r="I104" s="71" t="s">
        <v>230</v>
      </c>
      <c r="J104" s="71">
        <v>1</v>
      </c>
      <c r="K104" s="71" t="s">
        <v>223</v>
      </c>
      <c r="L104" s="71" t="s">
        <v>622</v>
      </c>
      <c r="M104" s="71" t="s">
        <v>623</v>
      </c>
      <c r="N104" s="71">
        <v>57422044934</v>
      </c>
      <c r="O104" s="71" t="s">
        <v>245</v>
      </c>
      <c r="P104" s="71" t="s">
        <v>246</v>
      </c>
      <c r="Q104" s="71">
        <v>0</v>
      </c>
      <c r="R104" s="71" t="s">
        <v>624</v>
      </c>
      <c r="S104" s="71" t="s">
        <v>625</v>
      </c>
      <c r="T104" s="71" t="s">
        <v>564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CARTAZISTA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1338</v>
      </c>
      <c r="G105" s="71" t="s">
        <v>626</v>
      </c>
      <c r="H105" s="71">
        <v>45</v>
      </c>
      <c r="I105" s="71" t="s">
        <v>306</v>
      </c>
      <c r="J105" s="71">
        <v>1</v>
      </c>
      <c r="K105" s="71" t="s">
        <v>223</v>
      </c>
      <c r="L105" s="71" t="s">
        <v>627</v>
      </c>
      <c r="M105" s="71" t="s">
        <v>628</v>
      </c>
      <c r="N105" s="71">
        <v>6535572994</v>
      </c>
      <c r="Q105" s="71">
        <v>0</v>
      </c>
      <c r="R105" s="71" t="s">
        <v>629</v>
      </c>
      <c r="S105" s="71" t="s">
        <v>630</v>
      </c>
      <c r="T105" s="71" t="s">
        <v>631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ENCARREGADO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1714</v>
      </c>
      <c r="G106" s="71" t="s">
        <v>632</v>
      </c>
      <c r="H106" s="71">
        <v>529</v>
      </c>
      <c r="I106" s="71" t="s">
        <v>222</v>
      </c>
      <c r="J106" s="71">
        <v>1</v>
      </c>
      <c r="K106" s="71" t="s">
        <v>223</v>
      </c>
      <c r="L106" s="71" t="s">
        <v>633</v>
      </c>
      <c r="M106" s="71" t="s">
        <v>634</v>
      </c>
      <c r="N106" s="71">
        <v>46348062821</v>
      </c>
      <c r="Q106" s="71">
        <v>0</v>
      </c>
      <c r="R106" s="71" t="s">
        <v>635</v>
      </c>
      <c r="S106" s="71" t="s">
        <v>636</v>
      </c>
      <c r="T106" s="71" t="s">
        <v>637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95</v>
      </c>
      <c r="G107" s="71" t="s">
        <v>645</v>
      </c>
      <c r="H107" s="71">
        <v>47</v>
      </c>
      <c r="I107" s="71" t="s">
        <v>222</v>
      </c>
      <c r="J107" s="71">
        <v>1</v>
      </c>
      <c r="K107" s="71" t="s">
        <v>223</v>
      </c>
      <c r="L107" s="71" t="s">
        <v>646</v>
      </c>
      <c r="M107" s="71" t="s">
        <v>647</v>
      </c>
      <c r="N107" s="71">
        <v>8025405974</v>
      </c>
      <c r="Q107" s="71">
        <v>0</v>
      </c>
      <c r="R107" s="71" t="s">
        <v>648</v>
      </c>
      <c r="S107" s="71" t="s">
        <v>649</v>
      </c>
      <c r="T107" s="71" t="s">
        <v>612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67</v>
      </c>
      <c r="G108" s="71" t="s">
        <v>650</v>
      </c>
      <c r="H108" s="71">
        <v>1091</v>
      </c>
      <c r="I108" s="71" t="s">
        <v>238</v>
      </c>
      <c r="J108" s="71">
        <v>1</v>
      </c>
      <c r="K108" s="71" t="s">
        <v>223</v>
      </c>
      <c r="L108" s="71" t="s">
        <v>651</v>
      </c>
      <c r="M108" s="71" t="s">
        <v>652</v>
      </c>
      <c r="N108" s="71">
        <v>1961831708</v>
      </c>
      <c r="Q108" s="71">
        <v>0</v>
      </c>
      <c r="R108" s="71" t="s">
        <v>648</v>
      </c>
      <c r="S108" s="71" t="s">
        <v>649</v>
      </c>
      <c r="T108" s="71" t="s">
        <v>612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296</v>
      </c>
      <c r="G109" s="71" t="s">
        <v>653</v>
      </c>
      <c r="H109" s="71">
        <v>520</v>
      </c>
      <c r="I109" s="71" t="s">
        <v>222</v>
      </c>
      <c r="J109" s="71">
        <v>1</v>
      </c>
      <c r="K109" s="71" t="s">
        <v>223</v>
      </c>
      <c r="L109" s="71" t="s">
        <v>654</v>
      </c>
      <c r="M109" s="71" t="s">
        <v>655</v>
      </c>
      <c r="N109" s="71">
        <v>7102084994</v>
      </c>
      <c r="O109" s="71" t="s">
        <v>245</v>
      </c>
      <c r="P109" s="71" t="s">
        <v>246</v>
      </c>
      <c r="Q109" s="71">
        <v>0</v>
      </c>
      <c r="R109" s="71" t="s">
        <v>648</v>
      </c>
      <c r="S109" s="71" t="s">
        <v>649</v>
      </c>
      <c r="T109" s="71" t="s">
        <v>612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960</v>
      </c>
      <c r="G110" s="71" t="s">
        <v>656</v>
      </c>
      <c r="H110" s="71">
        <v>1071</v>
      </c>
      <c r="I110" s="71" t="s">
        <v>657</v>
      </c>
      <c r="J110" s="71">
        <v>1</v>
      </c>
      <c r="K110" s="71" t="s">
        <v>223</v>
      </c>
      <c r="L110" s="71" t="s">
        <v>658</v>
      </c>
      <c r="M110" s="71" t="s">
        <v>659</v>
      </c>
      <c r="N110" s="71">
        <v>5939639976</v>
      </c>
      <c r="Q110" s="71">
        <v>0</v>
      </c>
      <c r="R110" s="71" t="s">
        <v>660</v>
      </c>
      <c r="S110" s="71" t="s">
        <v>661</v>
      </c>
      <c r="T110" s="71" t="s">
        <v>662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IF(D111="Inativo","Inativo",IFERROR(VLOOKUP($G111,Conf!$F$19:$G$39,2,0),VLOOKUP($S111,Conf!$K:$M,3,0)))</f>
        <v>REPOSITOR</v>
      </c>
      <c r="D111" s="72" t="str">
        <f ca="1">IFERROR(IF(TODAY()-K111&gt;365,"Inativo",IF(J111=2,"Férias",IF(J111=7,"Demitido","Afastamento"))),VLOOKUP(J111,Conf!$H:$I,2,0))</f>
        <v>Férias</v>
      </c>
      <c r="E111" s="71">
        <v>1</v>
      </c>
      <c r="F111" s="71">
        <v>77</v>
      </c>
      <c r="G111" s="71" t="s">
        <v>663</v>
      </c>
      <c r="H111" s="71">
        <v>1086</v>
      </c>
      <c r="I111" s="71" t="s">
        <v>222</v>
      </c>
      <c r="J111" s="71">
        <v>2</v>
      </c>
      <c r="K111" s="71" t="s">
        <v>471</v>
      </c>
      <c r="L111" s="71" t="s">
        <v>664</v>
      </c>
      <c r="M111" s="71" t="s">
        <v>665</v>
      </c>
      <c r="N111" s="71">
        <v>12354886918</v>
      </c>
      <c r="Q111" s="71">
        <v>0</v>
      </c>
      <c r="R111" s="71" t="s">
        <v>648</v>
      </c>
      <c r="S111" s="71" t="s">
        <v>649</v>
      </c>
      <c r="T111" s="71" t="s">
        <v>612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IF(D112="Inativo","Inativo",IFERROR(VLOOKUP($G112,Conf!$F$19:$G$39,2,0),VLOOKUP($S112,Conf!$K:$M,3,0)))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244</v>
      </c>
      <c r="G112" s="71" t="s">
        <v>666</v>
      </c>
      <c r="H112" s="71">
        <v>6</v>
      </c>
      <c r="I112" s="71" t="s">
        <v>230</v>
      </c>
      <c r="J112" s="71">
        <v>1</v>
      </c>
      <c r="K112" s="71" t="s">
        <v>223</v>
      </c>
      <c r="L112" s="71" t="s">
        <v>667</v>
      </c>
      <c r="M112" s="71" t="s">
        <v>668</v>
      </c>
      <c r="N112" s="71">
        <v>12338832914</v>
      </c>
      <c r="Q112" s="71">
        <v>0</v>
      </c>
      <c r="R112" s="71" t="s">
        <v>648</v>
      </c>
      <c r="S112" s="71" t="s">
        <v>649</v>
      </c>
      <c r="T112" s="71" t="s">
        <v>612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LOJA</v>
      </c>
      <c r="C113" s="72" t="str">
        <f ca="1">IF(D113="Inativo","Inativo",IFERROR(VLOOKUP($G113,Conf!$F$19:$G$39,2,0),VLOOKUP($S113,Conf!$K:$M,3,0)))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215</v>
      </c>
      <c r="G113" s="71" t="s">
        <v>669</v>
      </c>
      <c r="H113" s="71">
        <v>1087</v>
      </c>
      <c r="I113" s="71" t="s">
        <v>222</v>
      </c>
      <c r="J113" s="71">
        <v>1</v>
      </c>
      <c r="K113" s="71" t="s">
        <v>223</v>
      </c>
      <c r="L113" s="71" t="s">
        <v>670</v>
      </c>
      <c r="M113" s="71" t="s">
        <v>671</v>
      </c>
      <c r="N113" s="71">
        <v>11430598913</v>
      </c>
      <c r="Q113" s="71">
        <v>0</v>
      </c>
      <c r="R113" s="71" t="s">
        <v>648</v>
      </c>
      <c r="S113" s="71" t="s">
        <v>649</v>
      </c>
      <c r="T113" s="71" t="s">
        <v>612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LOJA</v>
      </c>
      <c r="C114" s="72" t="str">
        <f ca="1">IF(D114="Inativo","Inativo",IFERROR(VLOOKUP($G114,Conf!$F$19:$G$39,2,0),VLOOKUP($S114,Conf!$K:$M,3,0)))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21</v>
      </c>
      <c r="G114" s="71" t="s">
        <v>672</v>
      </c>
      <c r="H114" s="71">
        <v>47</v>
      </c>
      <c r="I114" s="71" t="s">
        <v>222</v>
      </c>
      <c r="J114" s="71">
        <v>1</v>
      </c>
      <c r="K114" s="71" t="s">
        <v>223</v>
      </c>
      <c r="L114" s="71" t="s">
        <v>673</v>
      </c>
      <c r="M114" s="71" t="s">
        <v>471</v>
      </c>
      <c r="N114" s="71">
        <v>12393989994</v>
      </c>
      <c r="O114" s="71" t="s">
        <v>245</v>
      </c>
      <c r="P114" s="71" t="s">
        <v>246</v>
      </c>
      <c r="Q114" s="71">
        <v>0</v>
      </c>
      <c r="R114" s="71" t="s">
        <v>648</v>
      </c>
      <c r="S114" s="71" t="s">
        <v>674</v>
      </c>
      <c r="T114" s="71" t="s">
        <v>612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LOJA</v>
      </c>
      <c r="C115" s="72" t="str">
        <f ca="1">IF(D115="Inativo","Inativo",IFERROR(VLOOKUP($G115,Conf!$F$19:$G$39,2,0),VLOOKUP($S115,Conf!$K:$M,3,0)))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203</v>
      </c>
      <c r="G115" s="71" t="s">
        <v>675</v>
      </c>
      <c r="H115" s="71">
        <v>1069</v>
      </c>
      <c r="I115" s="71" t="s">
        <v>657</v>
      </c>
      <c r="J115" s="71">
        <v>1</v>
      </c>
      <c r="K115" s="71" t="s">
        <v>223</v>
      </c>
      <c r="L115" s="71" t="s">
        <v>676</v>
      </c>
      <c r="M115" s="71" t="s">
        <v>677</v>
      </c>
      <c r="N115" s="71">
        <v>53773470991</v>
      </c>
      <c r="Q115" s="71">
        <v>0</v>
      </c>
      <c r="R115" s="71" t="s">
        <v>648</v>
      </c>
      <c r="S115" s="71" t="s">
        <v>649</v>
      </c>
      <c r="T115" s="71" t="s">
        <v>612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LOJA</v>
      </c>
      <c r="C116" s="72" t="str">
        <f ca="1">IF(D116="Inativo","Inativo",IFERROR(VLOOKUP($G116,Conf!$F$19:$G$39,2,0),VLOOKUP($S116,Conf!$K:$M,3,0)))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248</v>
      </c>
      <c r="G116" s="71" t="s">
        <v>678</v>
      </c>
      <c r="H116" s="71">
        <v>1085</v>
      </c>
      <c r="I116" s="71" t="s">
        <v>222</v>
      </c>
      <c r="J116" s="71">
        <v>1</v>
      </c>
      <c r="K116" s="71" t="s">
        <v>223</v>
      </c>
      <c r="L116" s="71" t="s">
        <v>679</v>
      </c>
      <c r="M116" s="71" t="s">
        <v>680</v>
      </c>
      <c r="N116" s="71">
        <v>11430348992</v>
      </c>
      <c r="Q116" s="71">
        <v>0</v>
      </c>
      <c r="R116" s="71" t="s">
        <v>648</v>
      </c>
      <c r="S116" s="71" t="s">
        <v>649</v>
      </c>
      <c r="T116" s="71" t="s">
        <v>612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LOJA</v>
      </c>
      <c r="C117" s="72" t="str">
        <f ca="1">IF(D117="Inativo","Inativo",IFERROR(VLOOKUP($G117,Conf!$F$19:$G$39,2,0),VLOOKUP($S117,Conf!$K:$M,3,0)))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1220</v>
      </c>
      <c r="G117" s="71" t="s">
        <v>681</v>
      </c>
      <c r="H117" s="71">
        <v>1073</v>
      </c>
      <c r="I117" s="71" t="s">
        <v>230</v>
      </c>
      <c r="J117" s="71">
        <v>1</v>
      </c>
      <c r="K117" s="71" t="s">
        <v>223</v>
      </c>
      <c r="L117" s="71" t="s">
        <v>682</v>
      </c>
      <c r="M117" s="71" t="s">
        <v>683</v>
      </c>
      <c r="N117" s="71">
        <v>31449415814</v>
      </c>
      <c r="Q117" s="71">
        <v>0</v>
      </c>
      <c r="R117" s="71" t="s">
        <v>660</v>
      </c>
      <c r="S117" s="71" t="s">
        <v>661</v>
      </c>
      <c r="T117" s="71" t="s">
        <v>662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LOJA</v>
      </c>
      <c r="C118" s="72" t="str">
        <f ca="1">IF(D118="Inativo","Inativo",IFERROR(VLOOKUP($G118,Conf!$F$19:$G$39,2,0),VLOOKUP($S118,Conf!$K:$M,3,0)))</f>
        <v>REPOSITOR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290</v>
      </c>
      <c r="G118" s="71" t="s">
        <v>684</v>
      </c>
      <c r="H118" s="71">
        <v>918</v>
      </c>
      <c r="I118" s="71" t="s">
        <v>222</v>
      </c>
      <c r="J118" s="71">
        <v>1</v>
      </c>
      <c r="K118" s="71" t="s">
        <v>223</v>
      </c>
      <c r="L118" s="71" t="s">
        <v>685</v>
      </c>
      <c r="M118" s="71" t="s">
        <v>686</v>
      </c>
      <c r="N118" s="71">
        <v>16593034940</v>
      </c>
      <c r="O118" s="71" t="s">
        <v>245</v>
      </c>
      <c r="P118" s="71" t="s">
        <v>246</v>
      </c>
      <c r="Q118" s="71">
        <v>0</v>
      </c>
      <c r="R118" s="71" t="s">
        <v>648</v>
      </c>
      <c r="S118" s="71" t="s">
        <v>649</v>
      </c>
      <c r="T118" s="71" t="s">
        <v>612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18</v>
      </c>
      <c r="G119" s="71" t="s">
        <v>697</v>
      </c>
      <c r="H119" s="71">
        <v>971</v>
      </c>
      <c r="I119" s="71" t="s">
        <v>230</v>
      </c>
      <c r="J119" s="71">
        <v>1</v>
      </c>
      <c r="K119" s="71" t="s">
        <v>223</v>
      </c>
      <c r="L119" s="71" t="s">
        <v>698</v>
      </c>
      <c r="M119" s="71" t="s">
        <v>244</v>
      </c>
      <c r="N119" s="71">
        <v>38712925837</v>
      </c>
      <c r="O119" s="71" t="s">
        <v>245</v>
      </c>
      <c r="P119" s="71" t="s">
        <v>246</v>
      </c>
      <c r="Q119" s="71">
        <v>0</v>
      </c>
      <c r="R119" s="71" t="s">
        <v>699</v>
      </c>
      <c r="S119" s="71" t="s">
        <v>700</v>
      </c>
      <c r="T119" s="71" t="s">
        <v>228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41</v>
      </c>
      <c r="G120" s="71" t="s">
        <v>701</v>
      </c>
      <c r="H120" s="71">
        <v>486</v>
      </c>
      <c r="I120" s="71" t="s">
        <v>550</v>
      </c>
      <c r="J120" s="71">
        <v>1</v>
      </c>
      <c r="K120" s="71" t="s">
        <v>223</v>
      </c>
      <c r="L120" s="71" t="s">
        <v>702</v>
      </c>
      <c r="M120" s="71" t="s">
        <v>703</v>
      </c>
      <c r="N120" s="71">
        <v>3068410967</v>
      </c>
      <c r="Q120" s="71">
        <v>0</v>
      </c>
      <c r="R120" s="71" t="s">
        <v>699</v>
      </c>
      <c r="S120" s="71" t="s">
        <v>700</v>
      </c>
      <c r="T120" s="71" t="s">
        <v>228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Demitido</v>
      </c>
      <c r="E121" s="71">
        <v>1</v>
      </c>
      <c r="F121" s="71">
        <v>13</v>
      </c>
      <c r="G121" s="71" t="s">
        <v>705</v>
      </c>
      <c r="H121" s="71">
        <v>530</v>
      </c>
      <c r="I121" s="71" t="s">
        <v>222</v>
      </c>
      <c r="J121" s="71">
        <v>7</v>
      </c>
      <c r="K121" s="71" t="s">
        <v>3642</v>
      </c>
      <c r="L121" s="71" t="s">
        <v>706</v>
      </c>
      <c r="M121" s="71" t="s">
        <v>231</v>
      </c>
      <c r="N121" s="71">
        <v>5645278909</v>
      </c>
      <c r="O121" s="71" t="s">
        <v>245</v>
      </c>
      <c r="P121" s="71" t="s">
        <v>246</v>
      </c>
      <c r="Q121" s="71">
        <v>0</v>
      </c>
      <c r="R121" s="71" t="s">
        <v>699</v>
      </c>
      <c r="S121" s="71" t="s">
        <v>700</v>
      </c>
      <c r="T121" s="71" t="s">
        <v>228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271</v>
      </c>
      <c r="G122" s="71" t="s">
        <v>707</v>
      </c>
      <c r="H122" s="71">
        <v>287</v>
      </c>
      <c r="I122" s="71" t="s">
        <v>230</v>
      </c>
      <c r="J122" s="71">
        <v>1</v>
      </c>
      <c r="K122" s="71" t="s">
        <v>223</v>
      </c>
      <c r="L122" s="71" t="s">
        <v>708</v>
      </c>
      <c r="M122" s="71" t="s">
        <v>709</v>
      </c>
      <c r="N122" s="71">
        <v>10113649991</v>
      </c>
      <c r="O122" s="71" t="s">
        <v>245</v>
      </c>
      <c r="P122" s="71" t="s">
        <v>246</v>
      </c>
      <c r="Q122" s="71">
        <v>0</v>
      </c>
      <c r="R122" s="71" t="s">
        <v>699</v>
      </c>
      <c r="S122" s="71" t="s">
        <v>700</v>
      </c>
      <c r="T122" s="71" t="s">
        <v>228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246</v>
      </c>
      <c r="G123" s="71" t="s">
        <v>710</v>
      </c>
      <c r="H123" s="71">
        <v>6</v>
      </c>
      <c r="I123" s="71" t="s">
        <v>230</v>
      </c>
      <c r="J123" s="71">
        <v>1</v>
      </c>
      <c r="K123" s="71" t="s">
        <v>223</v>
      </c>
      <c r="L123" s="71" t="s">
        <v>711</v>
      </c>
      <c r="M123" s="71" t="s">
        <v>712</v>
      </c>
      <c r="N123" s="71">
        <v>445063173</v>
      </c>
      <c r="Q123" s="71">
        <v>0</v>
      </c>
      <c r="R123" s="71" t="s">
        <v>699</v>
      </c>
      <c r="S123" s="71" t="s">
        <v>700</v>
      </c>
      <c r="T123" s="71" t="s">
        <v>228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57</v>
      </c>
      <c r="G124" s="71" t="s">
        <v>714</v>
      </c>
      <c r="H124" s="71">
        <v>524</v>
      </c>
      <c r="I124" s="71" t="s">
        <v>222</v>
      </c>
      <c r="J124" s="71">
        <v>1</v>
      </c>
      <c r="K124" s="71" t="s">
        <v>223</v>
      </c>
      <c r="L124" s="71" t="s">
        <v>715</v>
      </c>
      <c r="M124" s="71" t="s">
        <v>716</v>
      </c>
      <c r="N124" s="71">
        <v>61146846991</v>
      </c>
      <c r="Q124" s="71">
        <v>0</v>
      </c>
      <c r="R124" s="71" t="s">
        <v>699</v>
      </c>
      <c r="S124" s="71" t="s">
        <v>700</v>
      </c>
      <c r="T124" s="71" t="s">
        <v>228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BALCONISTA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14</v>
      </c>
      <c r="G125" s="71" t="s">
        <v>718</v>
      </c>
      <c r="H125" s="71">
        <v>531</v>
      </c>
      <c r="I125" s="71" t="s">
        <v>222</v>
      </c>
      <c r="J125" s="71">
        <v>1</v>
      </c>
      <c r="K125" s="71" t="s">
        <v>223</v>
      </c>
      <c r="L125" s="71" t="s">
        <v>719</v>
      </c>
      <c r="M125" s="71" t="s">
        <v>231</v>
      </c>
      <c r="N125" s="71">
        <v>10829585222</v>
      </c>
      <c r="O125" s="71" t="s">
        <v>245</v>
      </c>
      <c r="P125" s="71" t="s">
        <v>246</v>
      </c>
      <c r="Q125" s="71">
        <v>0</v>
      </c>
      <c r="R125" s="71" t="s">
        <v>720</v>
      </c>
      <c r="S125" s="71" t="s">
        <v>721</v>
      </c>
      <c r="T125" s="71" t="s">
        <v>722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260</v>
      </c>
      <c r="G126" s="71" t="s">
        <v>723</v>
      </c>
      <c r="H126" s="71">
        <v>522</v>
      </c>
      <c r="I126" s="71" t="s">
        <v>222</v>
      </c>
      <c r="J126" s="71">
        <v>1</v>
      </c>
      <c r="K126" s="71" t="s">
        <v>223</v>
      </c>
      <c r="L126" s="71" t="s">
        <v>724</v>
      </c>
      <c r="M126" s="71" t="s">
        <v>725</v>
      </c>
      <c r="N126" s="71">
        <v>5138849980</v>
      </c>
      <c r="O126" s="71" t="s">
        <v>245</v>
      </c>
      <c r="P126" s="71" t="s">
        <v>246</v>
      </c>
      <c r="Q126" s="71">
        <v>0</v>
      </c>
      <c r="R126" s="71" t="s">
        <v>699</v>
      </c>
      <c r="S126" s="71" t="s">
        <v>700</v>
      </c>
      <c r="T126" s="71" t="s">
        <v>228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254</v>
      </c>
      <c r="G127" s="71" t="s">
        <v>726</v>
      </c>
      <c r="H127" s="71">
        <v>295</v>
      </c>
      <c r="I127" s="71" t="s">
        <v>313</v>
      </c>
      <c r="J127" s="71">
        <v>1</v>
      </c>
      <c r="K127" s="71" t="s">
        <v>223</v>
      </c>
      <c r="L127" s="71" t="s">
        <v>727</v>
      </c>
      <c r="M127" s="71" t="s">
        <v>696</v>
      </c>
      <c r="N127" s="71">
        <v>87838940982</v>
      </c>
      <c r="Q127" s="71">
        <v>0</v>
      </c>
      <c r="R127" s="71" t="s">
        <v>699</v>
      </c>
      <c r="S127" s="71" t="s">
        <v>700</v>
      </c>
      <c r="T127" s="71" t="s">
        <v>228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16</v>
      </c>
      <c r="G128" s="71" t="s">
        <v>728</v>
      </c>
      <c r="H128" s="71">
        <v>1073</v>
      </c>
      <c r="I128" s="71" t="s">
        <v>230</v>
      </c>
      <c r="J128" s="71">
        <v>1</v>
      </c>
      <c r="K128" s="71" t="s">
        <v>223</v>
      </c>
      <c r="L128" s="71" t="s">
        <v>729</v>
      </c>
      <c r="M128" s="71" t="s">
        <v>337</v>
      </c>
      <c r="N128" s="71">
        <v>37521288874</v>
      </c>
      <c r="O128" s="71" t="s">
        <v>245</v>
      </c>
      <c r="P128" s="71" t="s">
        <v>246</v>
      </c>
      <c r="Q128" s="71">
        <v>0</v>
      </c>
      <c r="R128" s="71" t="s">
        <v>699</v>
      </c>
      <c r="S128" s="71" t="s">
        <v>700</v>
      </c>
      <c r="T128" s="71" t="s">
        <v>228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AUXILIAR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63</v>
      </c>
      <c r="G129" s="71" t="s">
        <v>730</v>
      </c>
      <c r="H129" s="71">
        <v>6</v>
      </c>
      <c r="I129" s="71" t="s">
        <v>230</v>
      </c>
      <c r="J129" s="71">
        <v>1</v>
      </c>
      <c r="K129" s="71" t="s">
        <v>223</v>
      </c>
      <c r="L129" s="71" t="s">
        <v>731</v>
      </c>
      <c r="M129" s="71" t="s">
        <v>732</v>
      </c>
      <c r="N129" s="71">
        <v>756914930</v>
      </c>
      <c r="Q129" s="71">
        <v>0</v>
      </c>
      <c r="R129" s="71" t="s">
        <v>573</v>
      </c>
      <c r="S129" s="71" t="s">
        <v>574</v>
      </c>
      <c r="T129" s="71" t="s">
        <v>575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IF(D130="Inativo","Inativo",IFERROR(VLOOKUP($G130,Conf!$F$19:$G$39,2,0),VLOOKUP($S130,Conf!$K:$M,3,0)))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257</v>
      </c>
      <c r="G130" s="71" t="s">
        <v>733</v>
      </c>
      <c r="H130" s="71">
        <v>520</v>
      </c>
      <c r="I130" s="71" t="s">
        <v>222</v>
      </c>
      <c r="J130" s="71">
        <v>1</v>
      </c>
      <c r="K130" s="71" t="s">
        <v>223</v>
      </c>
      <c r="L130" s="71" t="s">
        <v>734</v>
      </c>
      <c r="M130" s="71" t="s">
        <v>735</v>
      </c>
      <c r="N130" s="71">
        <v>10728251981</v>
      </c>
      <c r="Q130" s="71">
        <v>0</v>
      </c>
      <c r="R130" s="71" t="s">
        <v>699</v>
      </c>
      <c r="S130" s="71" t="s">
        <v>700</v>
      </c>
      <c r="T130" s="71" t="s">
        <v>228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PADARIA</v>
      </c>
      <c r="C131" s="72" t="str">
        <f ca="1">IF(D131="Inativo","Inativo",IFERROR(VLOOKUP($G131,Conf!$F$19:$G$39,2,0),VLOOKUP($S131,Conf!$K:$M,3,0)))</f>
        <v>AUXILIAR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278</v>
      </c>
      <c r="G131" s="71" t="s">
        <v>736</v>
      </c>
      <c r="H131" s="71">
        <v>923</v>
      </c>
      <c r="I131" s="71" t="s">
        <v>222</v>
      </c>
      <c r="J131" s="71">
        <v>1</v>
      </c>
      <c r="K131" s="71" t="s">
        <v>223</v>
      </c>
      <c r="L131" s="71" t="s">
        <v>737</v>
      </c>
      <c r="M131" s="71" t="s">
        <v>738</v>
      </c>
      <c r="N131" s="71">
        <v>6435515905</v>
      </c>
      <c r="O131" s="71" t="s">
        <v>245</v>
      </c>
      <c r="P131" s="71" t="s">
        <v>246</v>
      </c>
      <c r="Q131" s="71">
        <v>0</v>
      </c>
      <c r="R131" s="71" t="s">
        <v>699</v>
      </c>
      <c r="S131" s="71" t="s">
        <v>700</v>
      </c>
      <c r="T131" s="71" t="s">
        <v>228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PADARIA</v>
      </c>
      <c r="C132" s="72" t="str">
        <f ca="1">IF(D132="Inativo","Inativo",IFERROR(VLOOKUP($G132,Conf!$F$19:$G$39,2,0),VLOOKUP($S132,Conf!$K:$M,3,0)))</f>
        <v>AUXILIAR</v>
      </c>
      <c r="D132" s="72" t="str">
        <f ca="1">IFERROR(IF(TODAY()-K132&gt;365,"Inativo",IF(J132=2,"Férias",IF(J132=7,"Demitido","Afastamento"))),VLOOKUP(J132,Conf!$H:$I,2,0))</f>
        <v>Afastamento</v>
      </c>
      <c r="E132" s="71">
        <v>1</v>
      </c>
      <c r="F132" s="71">
        <v>98</v>
      </c>
      <c r="G132" s="71" t="s">
        <v>739</v>
      </c>
      <c r="H132" s="71">
        <v>551</v>
      </c>
      <c r="I132" s="71" t="s">
        <v>740</v>
      </c>
      <c r="J132" s="71">
        <v>6</v>
      </c>
      <c r="K132" s="71" t="s">
        <v>741</v>
      </c>
      <c r="L132" s="71" t="s">
        <v>742</v>
      </c>
      <c r="M132" s="71" t="s">
        <v>743</v>
      </c>
      <c r="N132" s="71">
        <v>13115144903</v>
      </c>
      <c r="Q132" s="71">
        <v>0</v>
      </c>
      <c r="R132" s="71" t="s">
        <v>699</v>
      </c>
      <c r="S132" s="71" t="s">
        <v>700</v>
      </c>
      <c r="T132" s="71" t="s">
        <v>228</v>
      </c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PADARIA</v>
      </c>
      <c r="C133" s="72" t="str">
        <f ca="1">IF(D133="Inativo","Inativo",IFERROR(VLOOKUP($G133,Conf!$F$19:$G$39,2,0),VLOOKUP($S133,Conf!$K:$M,3,0)))</f>
        <v>GERENTE</v>
      </c>
      <c r="D133" s="72" t="str">
        <f ca="1">IFERROR(IF(TODAY()-K133&gt;365,"Inativo",IF(J133=2,"Férias",IF(J133=7,"Demitido","Afastamento"))),VLOOKUP(J133,Conf!$H:$I,2,0))</f>
        <v>Ativos</v>
      </c>
      <c r="E133" s="71">
        <v>1</v>
      </c>
      <c r="F133" s="71">
        <v>54</v>
      </c>
      <c r="G133" s="71" t="s">
        <v>744</v>
      </c>
      <c r="H133" s="71">
        <v>67</v>
      </c>
      <c r="I133" s="71" t="s">
        <v>287</v>
      </c>
      <c r="J133" s="71">
        <v>1</v>
      </c>
      <c r="K133" s="71" t="s">
        <v>223</v>
      </c>
      <c r="L133" s="71" t="s">
        <v>745</v>
      </c>
      <c r="M133" s="71" t="s">
        <v>746</v>
      </c>
      <c r="N133" s="71">
        <v>302167102</v>
      </c>
      <c r="Q133" s="71">
        <v>0</v>
      </c>
      <c r="R133" s="71" t="s">
        <v>747</v>
      </c>
      <c r="S133" s="71" t="s">
        <v>748</v>
      </c>
      <c r="T133" s="71" t="s">
        <v>770</v>
      </c>
    </row>
    <row r="134" spans="1:20" x14ac:dyDescent="0.3">
      <c r="A134" s="72">
        <f>IFERROR(VLOOKUP($G134,Conf!$B:$C,2,0),E134)</f>
        <v>1</v>
      </c>
      <c r="B134" s="72" t="str">
        <f ca="1">IF(D134="Inativo","Inativo",VLOOKUP($S134,Conf!$K:$M,2,0))</f>
        <v>PADARIA</v>
      </c>
      <c r="C134" s="72" t="str">
        <f ca="1">IF(D134="Inativo","Inativo",IFERROR(VLOOKUP($G134,Conf!$F$19:$G$39,2,0),VLOOKUP($S134,Conf!$K:$M,3,0)))</f>
        <v>PADEIRO(A)</v>
      </c>
      <c r="D134" s="72" t="str">
        <f ca="1">IFERROR(IF(TODAY()-K134&gt;365,"Inativo",IF(J134=2,"Férias",IF(J134=7,"Demitido","Afastamento"))),VLOOKUP(J134,Conf!$H:$I,2,0))</f>
        <v>Ativos</v>
      </c>
      <c r="E134" s="71">
        <v>1</v>
      </c>
      <c r="F134" s="71">
        <v>1677</v>
      </c>
      <c r="G134" s="71" t="s">
        <v>749</v>
      </c>
      <c r="H134" s="71">
        <v>533</v>
      </c>
      <c r="I134" s="71" t="s">
        <v>287</v>
      </c>
      <c r="J134" s="71">
        <v>1</v>
      </c>
      <c r="K134" s="71" t="s">
        <v>223</v>
      </c>
      <c r="L134" s="71" t="s">
        <v>750</v>
      </c>
      <c r="M134" s="71" t="s">
        <v>408</v>
      </c>
      <c r="N134" s="71">
        <v>73063177920</v>
      </c>
      <c r="Q134" s="71">
        <v>0</v>
      </c>
      <c r="R134" s="71" t="s">
        <v>751</v>
      </c>
      <c r="S134" s="71" t="s">
        <v>752</v>
      </c>
      <c r="T134" s="71" t="s">
        <v>753</v>
      </c>
    </row>
    <row r="135" spans="1:20" x14ac:dyDescent="0.3">
      <c r="A135" s="72">
        <f>IFERROR(VLOOKUP($G135,Conf!$B:$C,2,0),E135)</f>
        <v>1</v>
      </c>
      <c r="B135" s="72" t="str">
        <f ca="1">IF(D135="Inativo","Inativo",VLOOKUP($S135,Conf!$K:$M,2,0))</f>
        <v>PADARIA</v>
      </c>
      <c r="C135" s="72" t="str">
        <f ca="1">IF(D135="Inativo","Inativo",IFERROR(VLOOKUP($G135,Conf!$F$19:$G$39,2,0),VLOOKUP($S135,Conf!$K:$M,3,0)))</f>
        <v>PADEIRO(A)</v>
      </c>
      <c r="D135" s="72" t="str">
        <f ca="1">IFERROR(IF(TODAY()-K135&gt;365,"Inativo",IF(J135=2,"Férias",IF(J135=7,"Demitido","Afastamento"))),VLOOKUP(J135,Conf!$H:$I,2,0))</f>
        <v>Férias</v>
      </c>
      <c r="E135" s="71">
        <v>1</v>
      </c>
      <c r="F135" s="71">
        <v>467</v>
      </c>
      <c r="G135" s="71" t="s">
        <v>754</v>
      </c>
      <c r="H135" s="71">
        <v>498</v>
      </c>
      <c r="I135" s="71" t="s">
        <v>306</v>
      </c>
      <c r="J135" s="71">
        <v>2</v>
      </c>
      <c r="K135" s="71" t="s">
        <v>471</v>
      </c>
      <c r="L135" s="71" t="s">
        <v>755</v>
      </c>
      <c r="M135" s="71" t="s">
        <v>614</v>
      </c>
      <c r="N135" s="71">
        <v>5871491910</v>
      </c>
      <c r="Q135" s="71">
        <v>0</v>
      </c>
      <c r="R135" s="71" t="s">
        <v>751</v>
      </c>
      <c r="S135" s="71" t="s">
        <v>752</v>
      </c>
      <c r="T135" s="71" t="s">
        <v>753</v>
      </c>
    </row>
    <row r="136" spans="1:20" x14ac:dyDescent="0.3">
      <c r="A136" s="72">
        <f>IFERROR(VLOOKUP($G136,Conf!$B:$C,2,0),E136)</f>
        <v>1</v>
      </c>
      <c r="B136" s="72" t="str">
        <f ca="1">IF(D136="Inativo","Inativo",VLOOKUP($S136,Conf!$K:$M,2,0))</f>
        <v>PADARIA</v>
      </c>
      <c r="C136" s="72" t="str">
        <f ca="1">IF(D136="Inativo","Inativo",IFERROR(VLOOKUP($G136,Conf!$F$19:$G$39,2,0),VLOOKUP($S136,Conf!$K:$M,3,0)))</f>
        <v>PADEIRO(A)</v>
      </c>
      <c r="D136" s="72" t="str">
        <f ca="1">IFERROR(IF(TODAY()-K136&gt;365,"Inativo",IF(J136=2,"Férias",IF(J136=7,"Demitido","Afastamento"))),VLOOKUP(J136,Conf!$H:$I,2,0))</f>
        <v>Demitido</v>
      </c>
      <c r="E136" s="71">
        <v>1</v>
      </c>
      <c r="F136" s="71">
        <v>267</v>
      </c>
      <c r="G136" s="71" t="s">
        <v>756</v>
      </c>
      <c r="H136" s="71">
        <v>1094</v>
      </c>
      <c r="I136" s="71" t="s">
        <v>238</v>
      </c>
      <c r="J136" s="71">
        <v>7</v>
      </c>
      <c r="K136" s="71" t="s">
        <v>3642</v>
      </c>
      <c r="L136" s="71" t="s">
        <v>757</v>
      </c>
      <c r="M136" s="71" t="s">
        <v>758</v>
      </c>
      <c r="N136" s="71">
        <v>5668973930</v>
      </c>
      <c r="O136" s="71" t="s">
        <v>245</v>
      </c>
      <c r="P136" s="71" t="s">
        <v>246</v>
      </c>
      <c r="Q136" s="71">
        <v>0</v>
      </c>
      <c r="R136" s="71" t="s">
        <v>759</v>
      </c>
      <c r="S136" s="71" t="s">
        <v>760</v>
      </c>
      <c r="T136" s="71" t="s">
        <v>717</v>
      </c>
    </row>
    <row r="137" spans="1:20" x14ac:dyDescent="0.3">
      <c r="A137" s="72">
        <f>IFERROR(VLOOKUP($G137,Conf!$B:$C,2,0),E137)</f>
        <v>1</v>
      </c>
      <c r="B137" s="72" t="str">
        <f ca="1">IF(D137="Inativo","Inativo",VLOOKUP($S137,Conf!$K:$M,2,0))</f>
        <v>PORTARIA</v>
      </c>
      <c r="C137" s="72" t="str">
        <f ca="1">IF(D137="Inativo","Inativo",IFERROR(VLOOKUP($G137,Conf!$F$19:$G$39,2,0),VLOOKUP($S137,Conf!$K:$M,3,0)))</f>
        <v>PORTEIRO</v>
      </c>
      <c r="D137" s="72" t="str">
        <f ca="1">IFERROR(IF(TODAY()-K137&gt;365,"Inativo",IF(J137=2,"Férias",IF(J137=7,"Demitido","Afastamento"))),VLOOKUP(J137,Conf!$H:$I,2,0))</f>
        <v>Ativos</v>
      </c>
      <c r="E137" s="71">
        <v>1</v>
      </c>
      <c r="F137" s="71">
        <v>269</v>
      </c>
      <c r="G137" s="71" t="s">
        <v>761</v>
      </c>
      <c r="H137" s="71">
        <v>1073</v>
      </c>
      <c r="I137" s="71" t="s">
        <v>230</v>
      </c>
      <c r="J137" s="71">
        <v>1</v>
      </c>
      <c r="K137" s="71" t="s">
        <v>223</v>
      </c>
      <c r="L137" s="71" t="s">
        <v>762</v>
      </c>
      <c r="M137" s="71" t="s">
        <v>763</v>
      </c>
      <c r="N137" s="71">
        <v>30889928991</v>
      </c>
      <c r="O137" s="71" t="s">
        <v>245</v>
      </c>
      <c r="P137" s="71" t="s">
        <v>246</v>
      </c>
      <c r="Q137" s="71">
        <v>0</v>
      </c>
      <c r="R137" s="71" t="s">
        <v>764</v>
      </c>
      <c r="S137" s="71" t="s">
        <v>765</v>
      </c>
      <c r="T137" s="71" t="s">
        <v>693</v>
      </c>
    </row>
    <row r="138" spans="1:20" x14ac:dyDescent="0.3">
      <c r="A138" s="72">
        <f>IFERROR(VLOOKUP($G138,Conf!$B:$C,2,0),E138)</f>
        <v>1</v>
      </c>
      <c r="B138" s="72" t="str">
        <f ca="1">IF(D138="Inativo","Inativo",VLOOKUP($S138,Conf!$K:$M,2,0))</f>
        <v>PREVENÇÃO</v>
      </c>
      <c r="C138" s="72" t="str">
        <f ca="1">IF(D138="Inativo","Inativo",IFERROR(VLOOKUP($G138,Conf!$F$19:$G$39,2,0),VLOOKUP($S138,Conf!$K:$M,3,0)))</f>
        <v>AGENTE</v>
      </c>
      <c r="D138" s="72" t="str">
        <f ca="1">IFERROR(IF(TODAY()-K138&gt;365,"Inativo",IF(J138=2,"Férias",IF(J138=7,"Demitido","Afastamento"))),VLOOKUP(J138,Conf!$H:$I,2,0))</f>
        <v>Ativos</v>
      </c>
      <c r="E138" s="71">
        <v>1</v>
      </c>
      <c r="F138" s="71">
        <v>2432</v>
      </c>
      <c r="G138" s="71" t="s">
        <v>3672</v>
      </c>
      <c r="H138" s="71">
        <v>16</v>
      </c>
      <c r="I138" s="71" t="s">
        <v>473</v>
      </c>
      <c r="J138" s="71">
        <v>1</v>
      </c>
      <c r="K138" s="71" t="s">
        <v>223</v>
      </c>
      <c r="L138" s="71" t="s">
        <v>3673</v>
      </c>
      <c r="M138" s="71" t="s">
        <v>3633</v>
      </c>
      <c r="N138" s="71">
        <v>30677441878</v>
      </c>
      <c r="O138" s="71" t="s">
        <v>245</v>
      </c>
      <c r="P138" s="71" t="s">
        <v>246</v>
      </c>
      <c r="Q138" s="71">
        <v>0</v>
      </c>
      <c r="R138" s="71" t="s">
        <v>2824</v>
      </c>
      <c r="S138" s="71" t="s">
        <v>2825</v>
      </c>
      <c r="T138" s="71" t="s">
        <v>2826</v>
      </c>
    </row>
    <row r="139" spans="1:20" x14ac:dyDescent="0.3">
      <c r="A139" s="72">
        <f>IFERROR(VLOOKUP($G139,Conf!$B:$C,2,0),E139)</f>
        <v>1</v>
      </c>
      <c r="B139" s="72" t="str">
        <f ca="1">IF(D139="Inativo","Inativo",VLOOKUP($S139,Conf!$K:$M,2,0))</f>
        <v>ROTISSERIA</v>
      </c>
      <c r="C139" s="72" t="str">
        <f ca="1">IF(D139="Inativo","Inativo",IFERROR(VLOOKUP($G139,Conf!$F$19:$G$39,2,0),VLOOKUP($S139,Conf!$K:$M,3,0)))</f>
        <v>COZINHEIRO</v>
      </c>
      <c r="D139" s="72" t="str">
        <f ca="1">IFERROR(IF(TODAY()-K139&gt;365,"Inativo",IF(J139=2,"Férias",IF(J139=7,"Demitido","Afastamento"))),VLOOKUP(J139,Conf!$H:$I,2,0))</f>
        <v>Ativos</v>
      </c>
      <c r="E139" s="71">
        <v>1</v>
      </c>
      <c r="F139" s="71">
        <v>256</v>
      </c>
      <c r="G139" s="71" t="s">
        <v>766</v>
      </c>
      <c r="H139" s="71">
        <v>1076</v>
      </c>
      <c r="I139" s="71" t="s">
        <v>230</v>
      </c>
      <c r="J139" s="71">
        <v>1</v>
      </c>
      <c r="K139" s="71" t="s">
        <v>223</v>
      </c>
      <c r="L139" s="71" t="s">
        <v>767</v>
      </c>
      <c r="M139" s="71" t="s">
        <v>735</v>
      </c>
      <c r="N139" s="71">
        <v>73113042968</v>
      </c>
      <c r="Q139" s="71">
        <v>0</v>
      </c>
      <c r="R139" s="71" t="s">
        <v>768</v>
      </c>
      <c r="S139" s="71" t="s">
        <v>769</v>
      </c>
      <c r="T139" s="71" t="s">
        <v>713</v>
      </c>
    </row>
    <row r="140" spans="1:20" x14ac:dyDescent="0.3">
      <c r="A140" s="72">
        <f>IFERROR(VLOOKUP($G140,Conf!$B:$C,2,0),E140)</f>
        <v>1</v>
      </c>
      <c r="B140" s="72" t="str">
        <f ca="1">IF(D140="Inativo","Inativo",VLOOKUP($S140,Conf!$K:$M,2,0))</f>
        <v>ROTISSERIA</v>
      </c>
      <c r="C140" s="72" t="str">
        <f ca="1">IF(D140="Inativo","Inativo",IFERROR(VLOOKUP($G140,Conf!$F$19:$G$39,2,0),VLOOKUP($S140,Conf!$K:$M,3,0)))</f>
        <v>COZINHEIRO</v>
      </c>
      <c r="D140" s="72" t="str">
        <f ca="1">IFERROR(IF(TODAY()-K140&gt;365,"Inativo",IF(J140=2,"Férias",IF(J140=7,"Demitido","Afastamento"))),VLOOKUP(J140,Conf!$H:$I,2,0))</f>
        <v>Ativos</v>
      </c>
      <c r="E140" s="71">
        <v>1</v>
      </c>
      <c r="F140" s="71">
        <v>1632</v>
      </c>
      <c r="G140" s="71" t="s">
        <v>771</v>
      </c>
      <c r="H140" s="71">
        <v>1081</v>
      </c>
      <c r="I140" s="71" t="s">
        <v>772</v>
      </c>
      <c r="J140" s="71">
        <v>1</v>
      </c>
      <c r="K140" s="71" t="s">
        <v>223</v>
      </c>
      <c r="L140" s="71" t="s">
        <v>773</v>
      </c>
      <c r="M140" s="71" t="s">
        <v>774</v>
      </c>
      <c r="N140" s="71">
        <v>2379840911</v>
      </c>
      <c r="Q140" s="71">
        <v>0</v>
      </c>
      <c r="R140" s="71" t="s">
        <v>775</v>
      </c>
      <c r="S140" s="71" t="s">
        <v>776</v>
      </c>
      <c r="T140" s="71" t="s">
        <v>777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AÇOUGUEIRO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210</v>
      </c>
      <c r="G141" s="71" t="s">
        <v>778</v>
      </c>
      <c r="H141" s="71">
        <v>523</v>
      </c>
      <c r="I141" s="71" t="s">
        <v>222</v>
      </c>
      <c r="J141" s="71">
        <v>1</v>
      </c>
      <c r="K141" s="71" t="s">
        <v>223</v>
      </c>
      <c r="L141" s="71" t="s">
        <v>779</v>
      </c>
      <c r="M141" s="71" t="s">
        <v>337</v>
      </c>
      <c r="N141" s="71">
        <v>5269071428</v>
      </c>
      <c r="O141" s="71" t="s">
        <v>245</v>
      </c>
      <c r="P141" s="71" t="s">
        <v>246</v>
      </c>
      <c r="Q141" s="71">
        <v>0</v>
      </c>
      <c r="R141" s="71" t="s">
        <v>226</v>
      </c>
      <c r="S141" s="71" t="s">
        <v>780</v>
      </c>
      <c r="T141" s="71" t="s">
        <v>247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AÇOUGUE</v>
      </c>
      <c r="C142" s="72" t="str">
        <f ca="1">IF(D142="Inativo","Inativo",IFERROR(VLOOKUP($G142,Conf!$F$19:$G$39,2,0),VLOOKUP($S142,Conf!$K:$M,3,0)))</f>
        <v>AÇOUGUEIRO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1385</v>
      </c>
      <c r="G142" s="71" t="s">
        <v>781</v>
      </c>
      <c r="H142" s="71">
        <v>1074</v>
      </c>
      <c r="I142" s="71" t="s">
        <v>230</v>
      </c>
      <c r="J142" s="71">
        <v>1</v>
      </c>
      <c r="K142" s="71" t="s">
        <v>223</v>
      </c>
      <c r="L142" s="71" t="s">
        <v>782</v>
      </c>
      <c r="M142" s="71" t="s">
        <v>783</v>
      </c>
      <c r="N142" s="71">
        <v>11702261913</v>
      </c>
      <c r="Q142" s="71">
        <v>0</v>
      </c>
      <c r="R142" s="71" t="s">
        <v>234</v>
      </c>
      <c r="S142" s="71" t="s">
        <v>784</v>
      </c>
      <c r="T142" s="71" t="s">
        <v>785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AÇOUGUE</v>
      </c>
      <c r="C143" s="72" t="str">
        <f ca="1">IF(D143="Inativo","Inativo",IFERROR(VLOOKUP($G143,Conf!$F$19:$G$39,2,0),VLOOKUP($S143,Conf!$K:$M,3,0)))</f>
        <v>AÇOUGUEIRO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206</v>
      </c>
      <c r="G143" s="71" t="s">
        <v>786</v>
      </c>
      <c r="H143" s="71">
        <v>527</v>
      </c>
      <c r="I143" s="71" t="s">
        <v>222</v>
      </c>
      <c r="J143" s="71">
        <v>1</v>
      </c>
      <c r="K143" s="71" t="s">
        <v>223</v>
      </c>
      <c r="L143" s="71" t="s">
        <v>787</v>
      </c>
      <c r="M143" s="71" t="s">
        <v>525</v>
      </c>
      <c r="N143" s="71">
        <v>30882982915</v>
      </c>
      <c r="O143" s="71" t="s">
        <v>245</v>
      </c>
      <c r="P143" s="71" t="s">
        <v>246</v>
      </c>
      <c r="Q143" s="71">
        <v>0</v>
      </c>
      <c r="R143" s="71" t="s">
        <v>226</v>
      </c>
      <c r="S143" s="71" t="s">
        <v>780</v>
      </c>
      <c r="T143" s="71" t="s">
        <v>247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AÇOUGUE</v>
      </c>
      <c r="C144" s="72" t="str">
        <f ca="1">IF(D144="Inativo","Inativo",IFERROR(VLOOKUP($G144,Conf!$F$19:$G$39,2,0),VLOOKUP($S144,Conf!$K:$M,3,0)))</f>
        <v>BALCONISTA</v>
      </c>
      <c r="D144" s="72" t="str">
        <f ca="1">IFERROR(IF(TODAY()-K144&gt;365,"Inativo",IF(J144=2,"Férias",IF(J144=7,"Demitido","Afastamento"))),VLOOKUP(J144,Conf!$H:$I,2,0))</f>
        <v>Afastamento</v>
      </c>
      <c r="E144" s="71">
        <v>2</v>
      </c>
      <c r="F144" s="71">
        <v>141</v>
      </c>
      <c r="G144" s="71" t="s">
        <v>788</v>
      </c>
      <c r="H144" s="71">
        <v>1089</v>
      </c>
      <c r="I144" s="71" t="s">
        <v>222</v>
      </c>
      <c r="J144" s="71">
        <v>5</v>
      </c>
      <c r="K144" s="71" t="s">
        <v>789</v>
      </c>
      <c r="L144" s="71" t="s">
        <v>790</v>
      </c>
      <c r="M144" s="71" t="s">
        <v>791</v>
      </c>
      <c r="N144" s="71">
        <v>12297203918</v>
      </c>
      <c r="Q144" s="71">
        <v>0</v>
      </c>
      <c r="R144" s="71" t="s">
        <v>792</v>
      </c>
      <c r="S144" s="71" t="s">
        <v>793</v>
      </c>
      <c r="T144" s="71" t="s">
        <v>794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AÇOUGUE</v>
      </c>
      <c r="C145" s="72" t="str">
        <f ca="1">IF(D145="Inativo","Inativo",IFERROR(VLOOKUP($G145,Conf!$F$19:$G$39,2,0),VLOOKUP($S145,Conf!$K:$M,3,0)))</f>
        <v>BALCONISTA</v>
      </c>
      <c r="D145" s="72" t="str">
        <f ca="1">IFERROR(IF(TODAY()-K145&gt;365,"Inativo",IF(J145=2,"Férias",IF(J145=7,"Demitido","Afastamento"))),VLOOKUP(J145,Conf!$H:$I,2,0))</f>
        <v>Demitido</v>
      </c>
      <c r="E145" s="71">
        <v>2</v>
      </c>
      <c r="F145" s="71">
        <v>207</v>
      </c>
      <c r="G145" s="71" t="s">
        <v>795</v>
      </c>
      <c r="H145" s="71">
        <v>47</v>
      </c>
      <c r="I145" s="71" t="s">
        <v>222</v>
      </c>
      <c r="J145" s="71">
        <v>7</v>
      </c>
      <c r="K145" s="71" t="s">
        <v>244</v>
      </c>
      <c r="L145" s="71" t="s">
        <v>796</v>
      </c>
      <c r="M145" s="71" t="s">
        <v>797</v>
      </c>
      <c r="N145" s="71">
        <v>9647088922</v>
      </c>
      <c r="O145" s="71" t="s">
        <v>245</v>
      </c>
      <c r="P145" s="71" t="s">
        <v>246</v>
      </c>
      <c r="Q145" s="71">
        <v>0</v>
      </c>
      <c r="R145" s="71" t="s">
        <v>792</v>
      </c>
      <c r="S145" s="71" t="s">
        <v>793</v>
      </c>
      <c r="T145" s="71" t="s">
        <v>794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IF(D146="Inativo","Inativo",IFERROR(VLOOKUP($G146,Conf!$F$19:$G$39,2,0),VLOOKUP($S146,Conf!$K:$M,3,0)))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212</v>
      </c>
      <c r="G146" s="71" t="s">
        <v>798</v>
      </c>
      <c r="H146" s="71">
        <v>189</v>
      </c>
      <c r="I146" s="71" t="s">
        <v>799</v>
      </c>
      <c r="J146" s="71">
        <v>1</v>
      </c>
      <c r="K146" s="71" t="s">
        <v>223</v>
      </c>
      <c r="L146" s="71" t="s">
        <v>800</v>
      </c>
      <c r="M146" s="71" t="s">
        <v>801</v>
      </c>
      <c r="N146" s="71">
        <v>9321538950</v>
      </c>
      <c r="O146" s="71" t="s">
        <v>245</v>
      </c>
      <c r="P146" s="71" t="s">
        <v>246</v>
      </c>
      <c r="Q146" s="71">
        <v>0</v>
      </c>
      <c r="R146" s="71" t="s">
        <v>263</v>
      </c>
      <c r="S146" s="71" t="s">
        <v>802</v>
      </c>
      <c r="T146" s="71" t="s">
        <v>274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IF(D147="Inativo","Inativo",IFERROR(VLOOKUP($G147,Conf!$F$19:$G$39,2,0),VLOOKUP($S147,Conf!$K:$M,3,0)))</f>
        <v>DESOSSADOR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89</v>
      </c>
      <c r="G147" s="71" t="s">
        <v>803</v>
      </c>
      <c r="H147" s="71">
        <v>1085</v>
      </c>
      <c r="I147" s="71" t="s">
        <v>222</v>
      </c>
      <c r="J147" s="71">
        <v>1</v>
      </c>
      <c r="K147" s="71" t="s">
        <v>223</v>
      </c>
      <c r="L147" s="71" t="s">
        <v>804</v>
      </c>
      <c r="M147" s="71" t="s">
        <v>805</v>
      </c>
      <c r="N147" s="71">
        <v>12024528686</v>
      </c>
      <c r="Q147" s="71">
        <v>0</v>
      </c>
      <c r="R147" s="71" t="s">
        <v>263</v>
      </c>
      <c r="S147" s="71" t="s">
        <v>802</v>
      </c>
      <c r="T147" s="71" t="s">
        <v>274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AÇOUGUE</v>
      </c>
      <c r="C148" s="72" t="str">
        <f ca="1">IF(D148="Inativo","Inativo",IFERROR(VLOOKUP($G148,Conf!$F$19:$G$39,2,0),VLOOKUP($S148,Conf!$K:$M,3,0)))</f>
        <v>DESOSSADOR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173</v>
      </c>
      <c r="G148" s="71" t="s">
        <v>806</v>
      </c>
      <c r="H148" s="71">
        <v>499</v>
      </c>
      <c r="I148" s="71" t="s">
        <v>306</v>
      </c>
      <c r="J148" s="71">
        <v>1</v>
      </c>
      <c r="K148" s="71" t="s">
        <v>223</v>
      </c>
      <c r="L148" s="71" t="s">
        <v>807</v>
      </c>
      <c r="M148" s="71" t="s">
        <v>808</v>
      </c>
      <c r="N148" s="71">
        <v>67134319920</v>
      </c>
      <c r="O148" s="71" t="s">
        <v>245</v>
      </c>
      <c r="P148" s="71" t="s">
        <v>246</v>
      </c>
      <c r="Q148" s="71">
        <v>0</v>
      </c>
      <c r="R148" s="71" t="s">
        <v>263</v>
      </c>
      <c r="S148" s="71" t="s">
        <v>802</v>
      </c>
      <c r="T148" s="71" t="s">
        <v>274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AÇOUGUE</v>
      </c>
      <c r="C149" s="72" t="str">
        <f ca="1">IF(D149="Inativo","Inativo",IFERROR(VLOOKUP($G149,Conf!$F$19:$G$39,2,0),VLOOKUP($S149,Conf!$K:$M,3,0)))</f>
        <v>GERENTE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192</v>
      </c>
      <c r="G149" s="71" t="s">
        <v>809</v>
      </c>
      <c r="H149" s="71">
        <v>973</v>
      </c>
      <c r="I149" s="71" t="s">
        <v>400</v>
      </c>
      <c r="J149" s="71">
        <v>1</v>
      </c>
      <c r="K149" s="71" t="s">
        <v>223</v>
      </c>
      <c r="L149" s="71" t="s">
        <v>810</v>
      </c>
      <c r="M149" s="71" t="s">
        <v>811</v>
      </c>
      <c r="N149" s="71">
        <v>9725887956</v>
      </c>
      <c r="O149" s="71" t="s">
        <v>245</v>
      </c>
      <c r="P149" s="71" t="s">
        <v>246</v>
      </c>
      <c r="Q149" s="71">
        <v>0</v>
      </c>
      <c r="R149" s="71" t="s">
        <v>290</v>
      </c>
      <c r="S149" s="71" t="s">
        <v>812</v>
      </c>
      <c r="T149" s="71" t="s">
        <v>282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ADMINISTRATIVO</v>
      </c>
      <c r="C150" s="72" t="str">
        <f ca="1">IF(D150="Inativo","Inativo",IFERROR(VLOOKUP($G150,Conf!$F$19:$G$39,2,0),VLOOKUP($S150,Conf!$K:$M,3,0)))</f>
        <v>GERENTE</v>
      </c>
      <c r="D150" s="72" t="str">
        <f ca="1">IFERROR(IF(TODAY()-K150&gt;365,"Inativo",IF(J150=2,"Férias",IF(J150=7,"Demitido","Afastamento"))),VLOOKUP(J150,Conf!$H:$I,2,0))</f>
        <v>Férias</v>
      </c>
      <c r="E150" s="71">
        <v>6</v>
      </c>
      <c r="F150" s="71">
        <v>2195</v>
      </c>
      <c r="G150" s="71" t="s">
        <v>990</v>
      </c>
      <c r="H150" s="71">
        <v>12</v>
      </c>
      <c r="I150" s="71" t="s">
        <v>639</v>
      </c>
      <c r="J150" s="71">
        <v>2</v>
      </c>
      <c r="K150" s="71" t="s">
        <v>3647</v>
      </c>
      <c r="L150" s="71" t="s">
        <v>991</v>
      </c>
      <c r="M150" s="71" t="s">
        <v>992</v>
      </c>
      <c r="N150" s="71">
        <v>3996857900</v>
      </c>
      <c r="Q150" s="71">
        <v>0</v>
      </c>
      <c r="R150" s="71" t="s">
        <v>993</v>
      </c>
      <c r="S150" s="71" t="s">
        <v>643</v>
      </c>
      <c r="T150" s="71" t="s">
        <v>994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ADMINISTRATIVO</v>
      </c>
      <c r="C151" s="72" t="str">
        <f ca="1">IF(D151="Inativo","Inativo",IFERROR(VLOOKUP($G151,Conf!$F$19:$G$39,2,0),VLOOKUP($S151,Conf!$K:$M,3,0)))</f>
        <v>SUBGERENTE</v>
      </c>
      <c r="D151" s="72" t="str">
        <f ca="1">IFERROR(IF(TODAY()-K151&gt;365,"Inativo",IF(J151=2,"Férias",IF(J151=7,"Demitido","Afastamento"))),VLOOKUP(J151,Conf!$H:$I,2,0))</f>
        <v>Ativos</v>
      </c>
      <c r="E151" s="71">
        <v>1</v>
      </c>
      <c r="F151" s="71">
        <v>199</v>
      </c>
      <c r="G151" s="71" t="s">
        <v>1017</v>
      </c>
      <c r="H151" s="71">
        <v>12</v>
      </c>
      <c r="I151" s="71" t="s">
        <v>639</v>
      </c>
      <c r="J151" s="71">
        <v>1</v>
      </c>
      <c r="K151" s="71" t="s">
        <v>223</v>
      </c>
      <c r="L151" s="71" t="s">
        <v>1018</v>
      </c>
      <c r="M151" s="71" t="s">
        <v>1019</v>
      </c>
      <c r="N151" s="71">
        <v>72348933004</v>
      </c>
      <c r="Q151" s="71">
        <v>0</v>
      </c>
      <c r="R151" s="71" t="s">
        <v>691</v>
      </c>
      <c r="S151" s="71" t="s">
        <v>692</v>
      </c>
      <c r="T151" s="71" t="s">
        <v>381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CONFEITARIA</v>
      </c>
      <c r="C152" s="72" t="str">
        <f ca="1">IF(D152="Inativo","Inativo",IFERROR(VLOOKUP($G152,Conf!$F$19:$G$39,2,0),VLOOKUP($S152,Conf!$K:$M,3,0)))</f>
        <v>AUXILIAR</v>
      </c>
      <c r="D152" s="72" t="str">
        <f ca="1">IFERROR(IF(TODAY()-K152&gt;365,"Inativo",IF(J152=2,"Férias",IF(J152=7,"Demitido","Afastamento"))),VLOOKUP(J152,Conf!$H:$I,2,0))</f>
        <v>Demitido</v>
      </c>
      <c r="E152" s="71">
        <v>2</v>
      </c>
      <c r="F152" s="71">
        <v>1228</v>
      </c>
      <c r="G152" s="71" t="s">
        <v>1020</v>
      </c>
      <c r="H152" s="71">
        <v>47</v>
      </c>
      <c r="I152" s="71" t="s">
        <v>222</v>
      </c>
      <c r="J152" s="71">
        <v>7</v>
      </c>
      <c r="K152" s="71" t="s">
        <v>840</v>
      </c>
      <c r="L152" s="71" t="s">
        <v>1021</v>
      </c>
      <c r="M152" s="71" t="s">
        <v>1022</v>
      </c>
      <c r="N152" s="71">
        <v>5297948452</v>
      </c>
      <c r="Q152" s="71">
        <v>0</v>
      </c>
      <c r="R152" s="71" t="s">
        <v>1023</v>
      </c>
      <c r="S152" s="71" t="s">
        <v>1024</v>
      </c>
      <c r="T152" s="71" t="s">
        <v>1025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CONFEITARIA</v>
      </c>
      <c r="C153" s="72" t="str">
        <f ca="1">IF(D153="Inativo","Inativo",IFERROR(VLOOKUP($G153,Conf!$F$19:$G$39,2,0),VLOOKUP($S153,Conf!$K:$M,3,0)))</f>
        <v>CONFEITEIRO(A)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220</v>
      </c>
      <c r="G153" s="71" t="s">
        <v>3956</v>
      </c>
      <c r="H153" s="71">
        <v>283</v>
      </c>
      <c r="I153" s="71" t="s">
        <v>230</v>
      </c>
      <c r="J153" s="71">
        <v>1</v>
      </c>
      <c r="K153" s="71" t="s">
        <v>223</v>
      </c>
      <c r="L153" s="71" t="s">
        <v>3957</v>
      </c>
      <c r="M153" s="71" t="s">
        <v>3647</v>
      </c>
      <c r="N153" s="71">
        <v>12080011910</v>
      </c>
      <c r="O153" s="71" t="s">
        <v>245</v>
      </c>
      <c r="P153" s="71" t="s">
        <v>246</v>
      </c>
      <c r="Q153" s="71">
        <v>0</v>
      </c>
      <c r="R153" s="71" t="s">
        <v>302</v>
      </c>
      <c r="S153" s="71" t="s">
        <v>3584</v>
      </c>
      <c r="T153" s="71" t="s">
        <v>304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DEPOSITO</v>
      </c>
      <c r="C154" s="72" t="str">
        <f ca="1">IF(D154="Inativo","Inativo",IFERROR(VLOOKUP($G154,Conf!$F$19:$G$39,2,0),VLOOKUP($S154,Conf!$K:$M,3,0)))</f>
        <v>AUXILIAR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1510</v>
      </c>
      <c r="G154" s="71" t="s">
        <v>813</v>
      </c>
      <c r="H154" s="71">
        <v>11</v>
      </c>
      <c r="I154" s="71" t="s">
        <v>400</v>
      </c>
      <c r="J154" s="71">
        <v>1</v>
      </c>
      <c r="K154" s="71" t="s">
        <v>223</v>
      </c>
      <c r="L154" s="71" t="s">
        <v>814</v>
      </c>
      <c r="M154" s="71" t="s">
        <v>815</v>
      </c>
      <c r="N154" s="71">
        <v>67391125920</v>
      </c>
      <c r="Q154" s="71">
        <v>0</v>
      </c>
      <c r="R154" s="71" t="s">
        <v>316</v>
      </c>
      <c r="S154" s="71" t="s">
        <v>317</v>
      </c>
      <c r="T154" s="71" t="s">
        <v>816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DEPOSITO</v>
      </c>
      <c r="C155" s="72" t="str">
        <f ca="1">IF(D155="Inativo","Inativo",IFERROR(VLOOKUP($G155,Conf!$F$19:$G$39,2,0),VLOOKUP($S155,Conf!$K:$M,3,0)))</f>
        <v>CONFERENTE</v>
      </c>
      <c r="D155" s="72" t="str">
        <f ca="1">IFERROR(IF(TODAY()-K155&gt;365,"Inativo",IF(J155=2,"Férias",IF(J155=7,"Demitido","Afastamento"))),VLOOKUP(J155,Conf!$H:$I,2,0))</f>
        <v>Demitido</v>
      </c>
      <c r="E155" s="71">
        <v>2</v>
      </c>
      <c r="F155" s="71">
        <v>1720</v>
      </c>
      <c r="G155" s="71" t="s">
        <v>817</v>
      </c>
      <c r="H155" s="71">
        <v>6</v>
      </c>
      <c r="I155" s="71" t="s">
        <v>230</v>
      </c>
      <c r="J155" s="71">
        <v>7</v>
      </c>
      <c r="K155" s="71" t="s">
        <v>320</v>
      </c>
      <c r="L155" s="71" t="s">
        <v>818</v>
      </c>
      <c r="M155" s="71" t="s">
        <v>819</v>
      </c>
      <c r="N155" s="71">
        <v>9635464908</v>
      </c>
      <c r="O155" s="71" t="s">
        <v>245</v>
      </c>
      <c r="P155" s="71" t="s">
        <v>246</v>
      </c>
      <c r="Q155" s="71">
        <v>0</v>
      </c>
      <c r="R155" s="71" t="s">
        <v>329</v>
      </c>
      <c r="S155" s="71" t="s">
        <v>330</v>
      </c>
      <c r="T155" s="71" t="s">
        <v>820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DEPOSITO</v>
      </c>
      <c r="C156" s="72" t="str">
        <f ca="1">IF(D156="Inativo","Inativo",IFERROR(VLOOKUP($G156,Conf!$F$19:$G$39,2,0),VLOOKUP($S156,Conf!$K:$M,3,0)))</f>
        <v>CONTROLADORIA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703</v>
      </c>
      <c r="G156" s="71" t="s">
        <v>821</v>
      </c>
      <c r="H156" s="71">
        <v>5</v>
      </c>
      <c r="I156" s="71" t="s">
        <v>822</v>
      </c>
      <c r="J156" s="71">
        <v>1</v>
      </c>
      <c r="K156" s="71" t="s">
        <v>223</v>
      </c>
      <c r="L156" s="71" t="s">
        <v>823</v>
      </c>
      <c r="M156" s="71" t="s">
        <v>824</v>
      </c>
      <c r="N156" s="71">
        <v>91798256991</v>
      </c>
      <c r="Q156" s="71">
        <v>0</v>
      </c>
      <c r="R156" s="71" t="s">
        <v>343</v>
      </c>
      <c r="S156" s="71" t="s">
        <v>344</v>
      </c>
      <c r="T156" s="71" t="s">
        <v>825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DEPOSITO</v>
      </c>
      <c r="C157" s="72" t="str">
        <f ca="1">IF(D157="Inativo","Inativo",IFERROR(VLOOKUP($G157,Conf!$F$19:$G$39,2,0),VLOOKUP($S157,Conf!$K:$M,3,0)))</f>
        <v>GERENTE</v>
      </c>
      <c r="D157" s="72" t="str">
        <f ca="1">IFERROR(IF(TODAY()-K157&gt;365,"Inativo",IF(J157=2,"Férias",IF(J157=7,"Demitido","Afastamento"))),VLOOKUP(J157,Conf!$H:$I,2,0))</f>
        <v>Demitido</v>
      </c>
      <c r="E157" s="71">
        <v>2</v>
      </c>
      <c r="F157" s="71">
        <v>80</v>
      </c>
      <c r="G157" s="71" t="s">
        <v>826</v>
      </c>
      <c r="H157" s="71">
        <v>531</v>
      </c>
      <c r="I157" s="71" t="s">
        <v>222</v>
      </c>
      <c r="J157" s="71">
        <v>7</v>
      </c>
      <c r="K157" s="71" t="s">
        <v>244</v>
      </c>
      <c r="L157" s="71" t="s">
        <v>827</v>
      </c>
      <c r="M157" s="71" t="s">
        <v>828</v>
      </c>
      <c r="N157" s="71">
        <v>8099945930</v>
      </c>
      <c r="Q157" s="71">
        <v>0</v>
      </c>
      <c r="R157" s="71" t="s">
        <v>829</v>
      </c>
      <c r="S157" s="71" t="s">
        <v>830</v>
      </c>
      <c r="T157" s="71" t="s">
        <v>831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ENTREGA</v>
      </c>
      <c r="C158" s="72" t="str">
        <f ca="1">IF(D158="Inativo","Inativo",IFERROR(VLOOKUP($G158,Conf!$F$19:$G$39,2,0),VLOOKUP($S158,Conf!$K:$M,3,0)))</f>
        <v>MOTORISTA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1739</v>
      </c>
      <c r="G158" s="71" t="s">
        <v>832</v>
      </c>
      <c r="H158" s="71">
        <v>99</v>
      </c>
      <c r="I158" s="71" t="s">
        <v>444</v>
      </c>
      <c r="J158" s="71">
        <v>1</v>
      </c>
      <c r="K158" s="71" t="s">
        <v>223</v>
      </c>
      <c r="L158" s="71" t="s">
        <v>833</v>
      </c>
      <c r="M158" s="71" t="s">
        <v>834</v>
      </c>
      <c r="N158" s="71">
        <v>11573354970</v>
      </c>
      <c r="O158" s="71" t="s">
        <v>245</v>
      </c>
      <c r="P158" s="71" t="s">
        <v>246</v>
      </c>
      <c r="Q158" s="71">
        <v>0</v>
      </c>
      <c r="R158" s="71" t="s">
        <v>835</v>
      </c>
      <c r="S158" s="71" t="s">
        <v>836</v>
      </c>
      <c r="T158" s="71" t="s">
        <v>837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ENTREGA</v>
      </c>
      <c r="C159" s="72" t="str">
        <f ca="1">IF(D159="Inativo","Inativo",IFERROR(VLOOKUP($G159,Conf!$F$19:$G$39,2,0),VLOOKUP($S159,Conf!$K:$M,3,0)))</f>
        <v>MOTORISTA</v>
      </c>
      <c r="D159" s="72" t="str">
        <f ca="1">IFERROR(IF(TODAY()-K159&gt;365,"Inativo",IF(J159=2,"Férias",IF(J159=7,"Demitido","Afastamento"))),VLOOKUP(J159,Conf!$H:$I,2,0))</f>
        <v>Demitido</v>
      </c>
      <c r="E159" s="71">
        <v>2</v>
      </c>
      <c r="F159" s="71">
        <v>1496</v>
      </c>
      <c r="G159" s="71" t="s">
        <v>838</v>
      </c>
      <c r="H159" s="71">
        <v>121</v>
      </c>
      <c r="I159" s="71" t="s">
        <v>839</v>
      </c>
      <c r="J159" s="71">
        <v>7</v>
      </c>
      <c r="K159" s="71" t="s">
        <v>840</v>
      </c>
      <c r="L159" s="71" t="s">
        <v>841</v>
      </c>
      <c r="M159" s="71" t="s">
        <v>842</v>
      </c>
      <c r="N159" s="71">
        <v>61415570906</v>
      </c>
      <c r="Q159" s="71">
        <v>0</v>
      </c>
      <c r="R159" s="71" t="s">
        <v>835</v>
      </c>
      <c r="S159" s="71" t="s">
        <v>836</v>
      </c>
      <c r="T159" s="71" t="s">
        <v>837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EMPACOTADOR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44</v>
      </c>
      <c r="G160" s="71" t="s">
        <v>843</v>
      </c>
      <c r="H160" s="71">
        <v>16</v>
      </c>
      <c r="I160" s="71" t="s">
        <v>473</v>
      </c>
      <c r="J160" s="71">
        <v>1</v>
      </c>
      <c r="K160" s="71" t="s">
        <v>223</v>
      </c>
      <c r="L160" s="71" t="s">
        <v>844</v>
      </c>
      <c r="M160" s="71" t="s">
        <v>845</v>
      </c>
      <c r="N160" s="71">
        <v>52533743968</v>
      </c>
      <c r="Q160" s="71">
        <v>0</v>
      </c>
      <c r="R160" s="71" t="s">
        <v>846</v>
      </c>
      <c r="S160" s="71" t="s">
        <v>847</v>
      </c>
      <c r="T160" s="71" t="s">
        <v>848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GERENTE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1614</v>
      </c>
      <c r="G161" s="71" t="s">
        <v>849</v>
      </c>
      <c r="H161" s="71">
        <v>616</v>
      </c>
      <c r="I161" s="71" t="s">
        <v>850</v>
      </c>
      <c r="J161" s="71">
        <v>1</v>
      </c>
      <c r="K161" s="71" t="s">
        <v>223</v>
      </c>
      <c r="L161" s="71" t="s">
        <v>851</v>
      </c>
      <c r="M161" s="71" t="s">
        <v>852</v>
      </c>
      <c r="N161" s="71">
        <v>9624024944</v>
      </c>
      <c r="Q161" s="71">
        <v>0</v>
      </c>
      <c r="R161" s="71" t="s">
        <v>853</v>
      </c>
      <c r="S161" s="71" t="s">
        <v>854</v>
      </c>
      <c r="T161" s="71" t="s">
        <v>637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1617</v>
      </c>
      <c r="G162" s="71" t="s">
        <v>855</v>
      </c>
      <c r="H162" s="71">
        <v>1087</v>
      </c>
      <c r="I162" s="71" t="s">
        <v>222</v>
      </c>
      <c r="J162" s="71">
        <v>1</v>
      </c>
      <c r="K162" s="71" t="s">
        <v>223</v>
      </c>
      <c r="L162" s="71" t="s">
        <v>856</v>
      </c>
      <c r="M162" s="71" t="s">
        <v>857</v>
      </c>
      <c r="N162" s="71">
        <v>31499868855</v>
      </c>
      <c r="Q162" s="71">
        <v>0</v>
      </c>
      <c r="R162" s="71" t="s">
        <v>403</v>
      </c>
      <c r="S162" s="71" t="s">
        <v>404</v>
      </c>
      <c r="T162" s="71" t="s">
        <v>858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FISCAL DE CAIXA</v>
      </c>
      <c r="D163" s="72" t="str">
        <f ca="1">IFERROR(IF(TODAY()-K163&gt;365,"Inativo",IF(J163=2,"Férias",IF(J163=7,"Demitido","Afastamento"))),VLOOKUP(J163,Conf!$H:$I,2,0))</f>
        <v>Afastamento</v>
      </c>
      <c r="E163" s="71">
        <v>2</v>
      </c>
      <c r="F163" s="71">
        <v>1357</v>
      </c>
      <c r="G163" s="71" t="s">
        <v>859</v>
      </c>
      <c r="H163" s="71">
        <v>1077</v>
      </c>
      <c r="I163" s="71" t="s">
        <v>230</v>
      </c>
      <c r="J163" s="71">
        <v>6</v>
      </c>
      <c r="K163" s="71" t="s">
        <v>1699</v>
      </c>
      <c r="L163" s="71" t="s">
        <v>860</v>
      </c>
      <c r="M163" s="71" t="s">
        <v>861</v>
      </c>
      <c r="N163" s="71">
        <v>12334664960</v>
      </c>
      <c r="Q163" s="71">
        <v>0</v>
      </c>
      <c r="R163" s="71" t="s">
        <v>403</v>
      </c>
      <c r="S163" s="71" t="s">
        <v>404</v>
      </c>
      <c r="T163" s="71" t="s">
        <v>858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1554</v>
      </c>
      <c r="G164" s="71" t="s">
        <v>862</v>
      </c>
      <c r="H164" s="71">
        <v>1087</v>
      </c>
      <c r="I164" s="71" t="s">
        <v>222</v>
      </c>
      <c r="J164" s="71">
        <v>1</v>
      </c>
      <c r="K164" s="71" t="s">
        <v>223</v>
      </c>
      <c r="L164" s="71" t="s">
        <v>863</v>
      </c>
      <c r="M164" s="71" t="s">
        <v>864</v>
      </c>
      <c r="N164" s="71">
        <v>12231778904</v>
      </c>
      <c r="Q164" s="71">
        <v>0</v>
      </c>
      <c r="R164" s="71" t="s">
        <v>412</v>
      </c>
      <c r="S164" s="71" t="s">
        <v>413</v>
      </c>
      <c r="T164" s="71" t="s">
        <v>865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1750</v>
      </c>
      <c r="G165" s="71" t="s">
        <v>866</v>
      </c>
      <c r="H165" s="71">
        <v>47</v>
      </c>
      <c r="I165" s="71" t="s">
        <v>222</v>
      </c>
      <c r="J165" s="71">
        <v>1</v>
      </c>
      <c r="K165" s="71" t="s">
        <v>223</v>
      </c>
      <c r="L165" s="71" t="s">
        <v>867</v>
      </c>
      <c r="M165" s="71" t="s">
        <v>471</v>
      </c>
      <c r="N165" s="71">
        <v>12954920912</v>
      </c>
      <c r="O165" s="71" t="s">
        <v>245</v>
      </c>
      <c r="P165" s="71" t="s">
        <v>246</v>
      </c>
      <c r="Q165" s="71">
        <v>0</v>
      </c>
      <c r="R165" s="71" t="s">
        <v>412</v>
      </c>
      <c r="S165" s="71" t="s">
        <v>413</v>
      </c>
      <c r="T165" s="71" t="s">
        <v>865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Férias</v>
      </c>
      <c r="E166" s="71">
        <v>2</v>
      </c>
      <c r="F166" s="71">
        <v>1620</v>
      </c>
      <c r="G166" s="71" t="s">
        <v>868</v>
      </c>
      <c r="H166" s="71">
        <v>1087</v>
      </c>
      <c r="I166" s="71" t="s">
        <v>222</v>
      </c>
      <c r="J166" s="71">
        <v>2</v>
      </c>
      <c r="K166" s="71" t="s">
        <v>426</v>
      </c>
      <c r="L166" s="71" t="s">
        <v>869</v>
      </c>
      <c r="M166" s="71" t="s">
        <v>870</v>
      </c>
      <c r="N166" s="71">
        <v>10638127980</v>
      </c>
      <c r="Q166" s="71">
        <v>0</v>
      </c>
      <c r="R166" s="71" t="s">
        <v>412</v>
      </c>
      <c r="S166" s="71" t="s">
        <v>413</v>
      </c>
      <c r="T166" s="71" t="s">
        <v>865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IF(D167="Inativo","Inativo",IFERROR(VLOOKUP($G167,Conf!$F$19:$G$39,2,0),VLOOKUP($S167,Conf!$K:$M,3,0)))</f>
        <v>OPERADOR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1524</v>
      </c>
      <c r="G167" s="71" t="s">
        <v>871</v>
      </c>
      <c r="H167" s="71">
        <v>1085</v>
      </c>
      <c r="I167" s="71" t="s">
        <v>222</v>
      </c>
      <c r="J167" s="71">
        <v>1</v>
      </c>
      <c r="K167" s="71" t="s">
        <v>223</v>
      </c>
      <c r="L167" s="71" t="s">
        <v>872</v>
      </c>
      <c r="M167" s="71" t="s">
        <v>873</v>
      </c>
      <c r="N167" s="71">
        <v>14039500911</v>
      </c>
      <c r="Q167" s="71">
        <v>0</v>
      </c>
      <c r="R167" s="71" t="s">
        <v>412</v>
      </c>
      <c r="S167" s="71" t="s">
        <v>413</v>
      </c>
      <c r="T167" s="71" t="s">
        <v>865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IF(D168="Inativo","Inativo",IFERROR(VLOOKUP($G168,Conf!$F$19:$G$39,2,0),VLOOKUP($S168,Conf!$K:$M,3,0)))</f>
        <v>OPERADOR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1487</v>
      </c>
      <c r="G168" s="71" t="s">
        <v>874</v>
      </c>
      <c r="H168" s="71">
        <v>67</v>
      </c>
      <c r="I168" s="71" t="s">
        <v>287</v>
      </c>
      <c r="J168" s="71">
        <v>1</v>
      </c>
      <c r="K168" s="71" t="s">
        <v>223</v>
      </c>
      <c r="L168" s="71" t="s">
        <v>875</v>
      </c>
      <c r="M168" s="71" t="s">
        <v>743</v>
      </c>
      <c r="N168" s="71">
        <v>7511713955</v>
      </c>
      <c r="Q168" s="71">
        <v>0</v>
      </c>
      <c r="R168" s="71" t="s">
        <v>412</v>
      </c>
      <c r="S168" s="71" t="s">
        <v>413</v>
      </c>
      <c r="T168" s="71" t="s">
        <v>865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IF(D169="Inativo","Inativo",IFERROR(VLOOKUP($G169,Conf!$F$19:$G$39,2,0),VLOOKUP($S169,Conf!$K:$M,3,0)))</f>
        <v>OPERADOR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1695</v>
      </c>
      <c r="G169" s="71" t="s">
        <v>876</v>
      </c>
      <c r="H169" s="71">
        <v>1087</v>
      </c>
      <c r="I169" s="71" t="s">
        <v>222</v>
      </c>
      <c r="J169" s="71">
        <v>1</v>
      </c>
      <c r="K169" s="71" t="s">
        <v>223</v>
      </c>
      <c r="L169" s="71" t="s">
        <v>877</v>
      </c>
      <c r="M169" s="71" t="s">
        <v>878</v>
      </c>
      <c r="N169" s="71">
        <v>15939761860</v>
      </c>
      <c r="O169" s="71" t="s">
        <v>245</v>
      </c>
      <c r="P169" s="71" t="s">
        <v>246</v>
      </c>
      <c r="Q169" s="71">
        <v>0</v>
      </c>
      <c r="R169" s="71" t="s">
        <v>412</v>
      </c>
      <c r="S169" s="71" t="s">
        <v>413</v>
      </c>
      <c r="T169" s="71" t="s">
        <v>865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IF(D170="Inativo","Inativo",IFERROR(VLOOKUP($G170,Conf!$F$19:$G$39,2,0),VLOOKUP($S170,Conf!$K:$M,3,0)))</f>
        <v>OPERADOR</v>
      </c>
      <c r="D170" s="72" t="str">
        <f ca="1">IFERROR(IF(TODAY()-K170&gt;365,"Inativo",IF(J170=2,"Férias",IF(J170=7,"Demitido","Afastamento"))),VLOOKUP(J170,Conf!$H:$I,2,0))</f>
        <v>Demitido</v>
      </c>
      <c r="E170" s="71">
        <v>2</v>
      </c>
      <c r="F170" s="71">
        <v>734</v>
      </c>
      <c r="G170" s="71" t="s">
        <v>879</v>
      </c>
      <c r="H170" s="71">
        <v>1096</v>
      </c>
      <c r="I170" s="71" t="s">
        <v>238</v>
      </c>
      <c r="J170" s="71">
        <v>7</v>
      </c>
      <c r="K170" s="71" t="s">
        <v>3632</v>
      </c>
      <c r="L170" s="71" t="s">
        <v>880</v>
      </c>
      <c r="M170" s="71" t="s">
        <v>881</v>
      </c>
      <c r="N170" s="71">
        <v>52267369915</v>
      </c>
      <c r="Q170" s="71">
        <v>0</v>
      </c>
      <c r="R170" s="71" t="s">
        <v>412</v>
      </c>
      <c r="S170" s="71" t="s">
        <v>413</v>
      </c>
      <c r="T170" s="71" t="s">
        <v>865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IF(D171="Inativo","Inativo",IFERROR(VLOOKUP($G171,Conf!$F$19:$G$39,2,0),VLOOKUP($S171,Conf!$K:$M,3,0)))</f>
        <v>OPERADOR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1736</v>
      </c>
      <c r="G171" s="71" t="s">
        <v>882</v>
      </c>
      <c r="H171" s="71">
        <v>47</v>
      </c>
      <c r="I171" s="71" t="s">
        <v>222</v>
      </c>
      <c r="J171" s="71">
        <v>1</v>
      </c>
      <c r="K171" s="71" t="s">
        <v>223</v>
      </c>
      <c r="L171" s="71" t="s">
        <v>883</v>
      </c>
      <c r="M171" s="71" t="s">
        <v>417</v>
      </c>
      <c r="N171" s="71">
        <v>11594327912</v>
      </c>
      <c r="O171" s="71" t="s">
        <v>245</v>
      </c>
      <c r="P171" s="71" t="s">
        <v>246</v>
      </c>
      <c r="Q171" s="71">
        <v>0</v>
      </c>
      <c r="R171" s="71" t="s">
        <v>412</v>
      </c>
      <c r="S171" s="71" t="s">
        <v>413</v>
      </c>
      <c r="T171" s="71" t="s">
        <v>865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IF(D172="Inativo","Inativo",IFERROR(VLOOKUP($G172,Conf!$F$19:$G$39,2,0),VLOOKUP($S172,Conf!$K:$M,3,0)))</f>
        <v>OPERADOR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1741</v>
      </c>
      <c r="G172" s="71" t="s">
        <v>884</v>
      </c>
      <c r="H172" s="71">
        <v>47</v>
      </c>
      <c r="I172" s="71" t="s">
        <v>222</v>
      </c>
      <c r="J172" s="71">
        <v>1</v>
      </c>
      <c r="K172" s="71" t="s">
        <v>223</v>
      </c>
      <c r="L172" s="71" t="s">
        <v>885</v>
      </c>
      <c r="M172" s="71" t="s">
        <v>886</v>
      </c>
      <c r="N172" s="71">
        <v>6464448919</v>
      </c>
      <c r="O172" s="71" t="s">
        <v>245</v>
      </c>
      <c r="P172" s="71" t="s">
        <v>246</v>
      </c>
      <c r="Q172" s="71">
        <v>0</v>
      </c>
      <c r="R172" s="71" t="s">
        <v>412</v>
      </c>
      <c r="S172" s="71" t="s">
        <v>413</v>
      </c>
      <c r="T172" s="71" t="s">
        <v>865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IF(D173="Inativo","Inativo",IFERROR(VLOOKUP($G173,Conf!$F$19:$G$39,2,0),VLOOKUP($S173,Conf!$K:$M,3,0)))</f>
        <v>OPERADOR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1682</v>
      </c>
      <c r="G173" s="71" t="s">
        <v>887</v>
      </c>
      <c r="H173" s="71">
        <v>1080</v>
      </c>
      <c r="I173" s="71" t="s">
        <v>772</v>
      </c>
      <c r="J173" s="71">
        <v>1</v>
      </c>
      <c r="K173" s="71" t="s">
        <v>223</v>
      </c>
      <c r="L173" s="71" t="s">
        <v>888</v>
      </c>
      <c r="M173" s="71" t="s">
        <v>889</v>
      </c>
      <c r="N173" s="71">
        <v>5463696934</v>
      </c>
      <c r="Q173" s="71">
        <v>0</v>
      </c>
      <c r="R173" s="71" t="s">
        <v>412</v>
      </c>
      <c r="S173" s="71" t="s">
        <v>413</v>
      </c>
      <c r="T173" s="71" t="s">
        <v>865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FRENTE DE CAIXA</v>
      </c>
      <c r="C174" s="72" t="str">
        <f ca="1">IF(D174="Inativo","Inativo",IFERROR(VLOOKUP($G174,Conf!$F$19:$G$39,2,0),VLOOKUP($S174,Conf!$K:$M,3,0)))</f>
        <v>OPERADOR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1702</v>
      </c>
      <c r="G174" s="71" t="s">
        <v>890</v>
      </c>
      <c r="H174" s="71">
        <v>520</v>
      </c>
      <c r="I174" s="71" t="s">
        <v>222</v>
      </c>
      <c r="J174" s="71">
        <v>1</v>
      </c>
      <c r="K174" s="71" t="s">
        <v>223</v>
      </c>
      <c r="L174" s="71" t="s">
        <v>891</v>
      </c>
      <c r="M174" s="71" t="s">
        <v>446</v>
      </c>
      <c r="N174" s="71">
        <v>3345151901</v>
      </c>
      <c r="O174" s="71" t="s">
        <v>245</v>
      </c>
      <c r="P174" s="71" t="s">
        <v>246</v>
      </c>
      <c r="Q174" s="71">
        <v>0</v>
      </c>
      <c r="R174" s="71" t="s">
        <v>412</v>
      </c>
      <c r="S174" s="71" t="s">
        <v>413</v>
      </c>
      <c r="T174" s="71" t="s">
        <v>865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FRENTE DE CAIXA</v>
      </c>
      <c r="C175" s="72" t="str">
        <f ca="1">IF(D175="Inativo","Inativo",IFERROR(VLOOKUP($G175,Conf!$F$19:$G$39,2,0),VLOOKUP($S175,Conf!$K:$M,3,0)))</f>
        <v>OPERADOR</v>
      </c>
      <c r="D175" s="72" t="str">
        <f ca="1">IFERROR(IF(TODAY()-K175&gt;365,"Inativo",IF(J175=2,"Férias",IF(J175=7,"Demitido","Afastamento"))),VLOOKUP(J175,Conf!$H:$I,2,0))</f>
        <v>Afastamento</v>
      </c>
      <c r="E175" s="71">
        <v>2</v>
      </c>
      <c r="F175" s="71">
        <v>899</v>
      </c>
      <c r="G175" s="71" t="s">
        <v>892</v>
      </c>
      <c r="H175" s="71">
        <v>1094</v>
      </c>
      <c r="I175" s="71" t="s">
        <v>238</v>
      </c>
      <c r="J175" s="71">
        <v>3</v>
      </c>
      <c r="K175" s="71" t="s">
        <v>3631</v>
      </c>
      <c r="L175" s="71" t="s">
        <v>893</v>
      </c>
      <c r="M175" s="71" t="s">
        <v>894</v>
      </c>
      <c r="N175" s="71">
        <v>11606912828</v>
      </c>
      <c r="Q175" s="71">
        <v>0</v>
      </c>
      <c r="R175" s="71" t="s">
        <v>412</v>
      </c>
      <c r="S175" s="71" t="s">
        <v>413</v>
      </c>
      <c r="T175" s="71" t="s">
        <v>865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FRENTE DE CAIXA</v>
      </c>
      <c r="C176" s="72" t="str">
        <f ca="1">IF(D176="Inativo","Inativo",IFERROR(VLOOKUP($G176,Conf!$F$19:$G$39,2,0),VLOOKUP($S176,Conf!$K:$M,3,0)))</f>
        <v>OPERADOR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1684</v>
      </c>
      <c r="G176" s="71" t="s">
        <v>895</v>
      </c>
      <c r="H176" s="71">
        <v>528</v>
      </c>
      <c r="I176" s="71" t="s">
        <v>222</v>
      </c>
      <c r="J176" s="71">
        <v>1</v>
      </c>
      <c r="K176" s="71" t="s">
        <v>223</v>
      </c>
      <c r="L176" s="71" t="s">
        <v>896</v>
      </c>
      <c r="M176" s="71" t="s">
        <v>897</v>
      </c>
      <c r="N176" s="71">
        <v>32326262972</v>
      </c>
      <c r="O176" s="71" t="s">
        <v>245</v>
      </c>
      <c r="P176" s="71" t="s">
        <v>246</v>
      </c>
      <c r="Q176" s="71">
        <v>0</v>
      </c>
      <c r="R176" s="71" t="s">
        <v>412</v>
      </c>
      <c r="S176" s="71" t="s">
        <v>413</v>
      </c>
      <c r="T176" s="71" t="s">
        <v>865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FRENTE DE CAIXA</v>
      </c>
      <c r="C177" s="72" t="str">
        <f ca="1">IF(D177="Inativo","Inativo",IFERROR(VLOOKUP($G177,Conf!$F$19:$G$39,2,0),VLOOKUP($S177,Conf!$K:$M,3,0)))</f>
        <v>OPERADOR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748</v>
      </c>
      <c r="G177" s="71" t="s">
        <v>898</v>
      </c>
      <c r="H177" s="71">
        <v>1091</v>
      </c>
      <c r="I177" s="71" t="s">
        <v>238</v>
      </c>
      <c r="J177" s="71">
        <v>1</v>
      </c>
      <c r="K177" s="71" t="s">
        <v>223</v>
      </c>
      <c r="L177" s="71" t="s">
        <v>899</v>
      </c>
      <c r="M177" s="71" t="s">
        <v>900</v>
      </c>
      <c r="N177" s="71">
        <v>7589056960</v>
      </c>
      <c r="Q177" s="71">
        <v>0</v>
      </c>
      <c r="R177" s="71" t="s">
        <v>412</v>
      </c>
      <c r="S177" s="71" t="s">
        <v>413</v>
      </c>
      <c r="T177" s="71" t="s">
        <v>865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FRENTE DE CAIXA</v>
      </c>
      <c r="C178" s="72" t="str">
        <f ca="1">IF(D178="Inativo","Inativo",IFERROR(VLOOKUP($G178,Conf!$F$19:$G$39,2,0),VLOOKUP($S178,Conf!$K:$M,3,0)))</f>
        <v>OPERADOR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1731</v>
      </c>
      <c r="G178" s="71" t="s">
        <v>901</v>
      </c>
      <c r="H178" s="71">
        <v>47</v>
      </c>
      <c r="I178" s="71" t="s">
        <v>222</v>
      </c>
      <c r="J178" s="71">
        <v>1</v>
      </c>
      <c r="K178" s="71" t="s">
        <v>223</v>
      </c>
      <c r="L178" s="71" t="s">
        <v>732</v>
      </c>
      <c r="M178" s="71" t="s">
        <v>273</v>
      </c>
      <c r="N178" s="71">
        <v>12757453939</v>
      </c>
      <c r="O178" s="71" t="s">
        <v>245</v>
      </c>
      <c r="P178" s="71" t="s">
        <v>246</v>
      </c>
      <c r="Q178" s="71">
        <v>0</v>
      </c>
      <c r="R178" s="71" t="s">
        <v>412</v>
      </c>
      <c r="S178" s="71" t="s">
        <v>413</v>
      </c>
      <c r="T178" s="71" t="s">
        <v>865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FRIOS</v>
      </c>
      <c r="C179" s="72" t="str">
        <f ca="1">IF(D179="Inativo","Inativo",IFERROR(VLOOKUP($G179,Conf!$F$19:$G$39,2,0),VLOOKUP($S179,Conf!$K:$M,3,0)))</f>
        <v>BALCONISTA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1477</v>
      </c>
      <c r="G179" s="71" t="s">
        <v>902</v>
      </c>
      <c r="H179" s="71">
        <v>466</v>
      </c>
      <c r="I179" s="71" t="s">
        <v>903</v>
      </c>
      <c r="J179" s="71">
        <v>1</v>
      </c>
      <c r="K179" s="71" t="s">
        <v>223</v>
      </c>
      <c r="L179" s="71" t="s">
        <v>904</v>
      </c>
      <c r="M179" s="71" t="s">
        <v>905</v>
      </c>
      <c r="N179" s="71">
        <v>73062448920</v>
      </c>
      <c r="Q179" s="71">
        <v>0</v>
      </c>
      <c r="R179" s="71" t="s">
        <v>504</v>
      </c>
      <c r="S179" s="71" t="s">
        <v>505</v>
      </c>
      <c r="T179" s="71" t="s">
        <v>906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FRIOS</v>
      </c>
      <c r="C180" s="72" t="str">
        <f ca="1">IF(D180="Inativo","Inativo",IFERROR(VLOOKUP($G180,Conf!$F$19:$G$39,2,0),VLOOKUP($S180,Conf!$K:$M,3,0)))</f>
        <v>BALCONISTA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144</v>
      </c>
      <c r="G180" s="71" t="s">
        <v>907</v>
      </c>
      <c r="H180" s="71">
        <v>521</v>
      </c>
      <c r="I180" s="71" t="s">
        <v>222</v>
      </c>
      <c r="J180" s="71">
        <v>1</v>
      </c>
      <c r="K180" s="71" t="s">
        <v>223</v>
      </c>
      <c r="L180" s="71" t="s">
        <v>908</v>
      </c>
      <c r="M180" s="71" t="s">
        <v>909</v>
      </c>
      <c r="N180" s="71">
        <v>13878197985</v>
      </c>
      <c r="Q180" s="71">
        <v>0</v>
      </c>
      <c r="R180" s="71" t="s">
        <v>499</v>
      </c>
      <c r="S180" s="71" t="s">
        <v>910</v>
      </c>
      <c r="T180" s="71" t="s">
        <v>510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FRIOS</v>
      </c>
      <c r="C181" s="72" t="str">
        <f ca="1">IF(D181="Inativo","Inativo",IFERROR(VLOOKUP($G181,Conf!$F$19:$G$39,2,0),VLOOKUP($S181,Conf!$K:$M,3,0)))</f>
        <v>GERENTE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</v>
      </c>
      <c r="G181" s="71" t="s">
        <v>911</v>
      </c>
      <c r="H181" s="71">
        <v>47</v>
      </c>
      <c r="I181" s="71" t="s">
        <v>222</v>
      </c>
      <c r="J181" s="71">
        <v>1</v>
      </c>
      <c r="K181" s="71" t="s">
        <v>223</v>
      </c>
      <c r="L181" s="71" t="s">
        <v>912</v>
      </c>
      <c r="M181" s="71" t="s">
        <v>815</v>
      </c>
      <c r="N181" s="71">
        <v>5058730952</v>
      </c>
      <c r="Q181" s="71">
        <v>0</v>
      </c>
      <c r="R181" s="71" t="s">
        <v>514</v>
      </c>
      <c r="S181" s="71" t="s">
        <v>913</v>
      </c>
      <c r="T181" s="71" t="s">
        <v>704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FRIOS</v>
      </c>
      <c r="C182" s="72" t="str">
        <f ca="1">IF(D182="Inativo","Inativo",IFERROR(VLOOKUP($G182,Conf!$F$19:$G$39,2,0),VLOOKUP($S182,Conf!$K:$M,3,0)))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1723</v>
      </c>
      <c r="G182" s="71" t="s">
        <v>914</v>
      </c>
      <c r="H182" s="71">
        <v>47</v>
      </c>
      <c r="I182" s="71" t="s">
        <v>222</v>
      </c>
      <c r="J182" s="71">
        <v>1</v>
      </c>
      <c r="K182" s="71" t="s">
        <v>223</v>
      </c>
      <c r="L182" s="71" t="s">
        <v>915</v>
      </c>
      <c r="M182" s="71" t="s">
        <v>916</v>
      </c>
      <c r="N182" s="71">
        <v>11541785959</v>
      </c>
      <c r="O182" s="71" t="s">
        <v>245</v>
      </c>
      <c r="P182" s="71" t="s">
        <v>246</v>
      </c>
      <c r="Q182" s="71">
        <v>0</v>
      </c>
      <c r="R182" s="71" t="s">
        <v>917</v>
      </c>
      <c r="S182" s="71" t="s">
        <v>918</v>
      </c>
      <c r="T182" s="71" t="s">
        <v>919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IF(D183="Inativo","Inativo",IFERROR(VLOOKUP($G183,Conf!$F$19:$G$39,2,0),VLOOKUP($S183,Conf!$K:$M,3,0)))</f>
        <v>ENCARREGADO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1416</v>
      </c>
      <c r="G183" s="71" t="s">
        <v>920</v>
      </c>
      <c r="H183" s="71">
        <v>7</v>
      </c>
      <c r="I183" s="71" t="s">
        <v>313</v>
      </c>
      <c r="J183" s="71">
        <v>1</v>
      </c>
      <c r="K183" s="71" t="s">
        <v>223</v>
      </c>
      <c r="L183" s="71" t="s">
        <v>921</v>
      </c>
      <c r="M183" s="71" t="s">
        <v>922</v>
      </c>
      <c r="N183" s="71">
        <v>71360281240</v>
      </c>
      <c r="Q183" s="71">
        <v>0</v>
      </c>
      <c r="R183" s="71" t="s">
        <v>923</v>
      </c>
      <c r="S183" s="71" t="s">
        <v>924</v>
      </c>
      <c r="T183" s="71" t="s">
        <v>925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IF(D184="Inativo","Inativo",IFERROR(VLOOKUP($G184,Conf!$F$19:$G$39,2,0),VLOOKUP($S184,Conf!$K:$M,3,0)))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197</v>
      </c>
      <c r="G184" s="71" t="s">
        <v>926</v>
      </c>
      <c r="H184" s="71">
        <v>493</v>
      </c>
      <c r="I184" s="71" t="s">
        <v>550</v>
      </c>
      <c r="J184" s="71">
        <v>1</v>
      </c>
      <c r="K184" s="71" t="s">
        <v>223</v>
      </c>
      <c r="L184" s="71" t="s">
        <v>927</v>
      </c>
      <c r="M184" s="71" t="s">
        <v>655</v>
      </c>
      <c r="N184" s="71">
        <v>876268963</v>
      </c>
      <c r="O184" s="71" t="s">
        <v>245</v>
      </c>
      <c r="P184" s="71" t="s">
        <v>246</v>
      </c>
      <c r="Q184" s="71">
        <v>0</v>
      </c>
      <c r="R184" s="71" t="s">
        <v>539</v>
      </c>
      <c r="S184" s="71" t="s">
        <v>928</v>
      </c>
      <c r="T184" s="71" t="s">
        <v>541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HORTIFRUTI</v>
      </c>
      <c r="C185" s="72" t="str">
        <f ca="1">IF(D185="Inativo","Inativo",IFERROR(VLOOKUP($G185,Conf!$F$19:$G$39,2,0),VLOOKUP($S185,Conf!$K:$M,3,0)))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43</v>
      </c>
      <c r="G185" s="71" t="s">
        <v>929</v>
      </c>
      <c r="H185" s="71">
        <v>44</v>
      </c>
      <c r="I185" s="71" t="s">
        <v>550</v>
      </c>
      <c r="J185" s="71">
        <v>1</v>
      </c>
      <c r="K185" s="71" t="s">
        <v>223</v>
      </c>
      <c r="L185" s="71" t="s">
        <v>930</v>
      </c>
      <c r="M185" s="71" t="s">
        <v>931</v>
      </c>
      <c r="N185" s="71">
        <v>1360284893</v>
      </c>
      <c r="Q185" s="71">
        <v>0</v>
      </c>
      <c r="R185" s="71" t="s">
        <v>539</v>
      </c>
      <c r="S185" s="71" t="s">
        <v>928</v>
      </c>
      <c r="T185" s="71" t="s">
        <v>541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HORTIFRUTI</v>
      </c>
      <c r="C186" s="72" t="str">
        <f ca="1">IF(D186="Inativo","Inativo",IFERROR(VLOOKUP($G186,Conf!$F$19:$G$39,2,0),VLOOKUP($S186,Conf!$K:$M,3,0)))</f>
        <v>REPOSITOR</v>
      </c>
      <c r="D186" s="72" t="str">
        <f ca="1">IFERROR(IF(TODAY()-K186&gt;365,"Inativo",IF(J186=2,"Férias",IF(J186=7,"Demitido","Afastamento"))),VLOOKUP(J186,Conf!$H:$I,2,0))</f>
        <v>Demitido</v>
      </c>
      <c r="E186" s="71">
        <v>2</v>
      </c>
      <c r="F186" s="71">
        <v>177</v>
      </c>
      <c r="G186" s="71" t="s">
        <v>932</v>
      </c>
      <c r="H186" s="71">
        <v>47</v>
      </c>
      <c r="I186" s="71" t="s">
        <v>222</v>
      </c>
      <c r="J186" s="71">
        <v>7</v>
      </c>
      <c r="K186" s="71" t="s">
        <v>933</v>
      </c>
      <c r="L186" s="71" t="s">
        <v>934</v>
      </c>
      <c r="M186" s="71" t="s">
        <v>878</v>
      </c>
      <c r="N186" s="71">
        <v>12214122990</v>
      </c>
      <c r="O186" s="71" t="s">
        <v>245</v>
      </c>
      <c r="P186" s="71" t="s">
        <v>246</v>
      </c>
      <c r="Q186" s="71">
        <v>0</v>
      </c>
      <c r="R186" s="71" t="s">
        <v>539</v>
      </c>
      <c r="S186" s="71" t="s">
        <v>928</v>
      </c>
      <c r="T186" s="71" t="s">
        <v>541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HORTIFRUTI</v>
      </c>
      <c r="C187" s="72" t="str">
        <f ca="1">IF(D187="Inativo","Inativo",IFERROR(VLOOKUP($G187,Conf!$F$19:$G$39,2,0),VLOOKUP($S187,Conf!$K:$M,3,0)))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200</v>
      </c>
      <c r="G187" s="71" t="s">
        <v>935</v>
      </c>
      <c r="H187" s="71">
        <v>47</v>
      </c>
      <c r="I187" s="71" t="s">
        <v>222</v>
      </c>
      <c r="J187" s="71">
        <v>1</v>
      </c>
      <c r="K187" s="71" t="s">
        <v>223</v>
      </c>
      <c r="L187" s="71" t="s">
        <v>936</v>
      </c>
      <c r="M187" s="71" t="s">
        <v>937</v>
      </c>
      <c r="N187" s="71">
        <v>758644957</v>
      </c>
      <c r="O187" s="71" t="s">
        <v>245</v>
      </c>
      <c r="P187" s="71" t="s">
        <v>246</v>
      </c>
      <c r="Q187" s="71">
        <v>0</v>
      </c>
      <c r="R187" s="71" t="s">
        <v>539</v>
      </c>
      <c r="S187" s="71" t="s">
        <v>928</v>
      </c>
      <c r="T187" s="71" t="s">
        <v>541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Inativo</v>
      </c>
      <c r="C188" s="72" t="str">
        <f ca="1">IF(D188="Inativo","Inativo",IFERROR(VLOOKUP($G188,Conf!$F$19:$G$39,2,0),VLOOKUP($S188,Conf!$K:$M,3,0)))</f>
        <v>Inativo</v>
      </c>
      <c r="D188" s="72" t="str">
        <f ca="1">IFERROR(IF(TODAY()-K188&gt;365,"Inativo",IF(J188=2,"Férias",IF(J188=7,"Demitido","Afastamento"))),VLOOKUP(J188,Conf!$H:$I,2,0))</f>
        <v>Inativo</v>
      </c>
      <c r="E188" s="71">
        <v>2</v>
      </c>
      <c r="F188" s="71">
        <v>665</v>
      </c>
      <c r="G188" s="71" t="s">
        <v>938</v>
      </c>
      <c r="H188" s="71">
        <v>164</v>
      </c>
      <c r="I188" s="71" t="s">
        <v>939</v>
      </c>
      <c r="J188" s="71">
        <v>3</v>
      </c>
      <c r="K188" s="71" t="s">
        <v>940</v>
      </c>
      <c r="L188" s="71" t="s">
        <v>941</v>
      </c>
      <c r="M188" s="71" t="s">
        <v>942</v>
      </c>
      <c r="N188" s="71">
        <v>5061558979</v>
      </c>
      <c r="Q188" s="71">
        <v>0</v>
      </c>
      <c r="R188" s="71" t="s">
        <v>412</v>
      </c>
      <c r="S188" s="71" t="s">
        <v>413</v>
      </c>
      <c r="T188" s="71" t="s">
        <v>865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Inativo</v>
      </c>
      <c r="C189" s="72" t="str">
        <f ca="1">IF(D189="Inativo","Inativo",IFERROR(VLOOKUP($G189,Conf!$F$19:$G$39,2,0),VLOOKUP($S189,Conf!$K:$M,3,0)))</f>
        <v>Inativo</v>
      </c>
      <c r="D189" s="72" t="str">
        <f ca="1">IFERROR(IF(TODAY()-K189&gt;365,"Inativo",IF(J189=2,"Férias",IF(J189=7,"Demitido","Afastamento"))),VLOOKUP(J189,Conf!$H:$I,2,0))</f>
        <v>Inativo</v>
      </c>
      <c r="E189" s="71">
        <v>2</v>
      </c>
      <c r="F189" s="71">
        <v>685</v>
      </c>
      <c r="G189" s="71" t="s">
        <v>944</v>
      </c>
      <c r="H189" s="71">
        <v>9</v>
      </c>
      <c r="I189" s="71" t="s">
        <v>945</v>
      </c>
      <c r="J189" s="71">
        <v>3</v>
      </c>
      <c r="K189" s="71" t="s">
        <v>946</v>
      </c>
      <c r="L189" s="71" t="s">
        <v>947</v>
      </c>
      <c r="M189" s="71" t="s">
        <v>943</v>
      </c>
      <c r="N189" s="71">
        <v>25504616816</v>
      </c>
      <c r="Q189" s="71">
        <v>0</v>
      </c>
      <c r="R189" s="71" t="s">
        <v>948</v>
      </c>
      <c r="S189" s="71" t="s">
        <v>949</v>
      </c>
      <c r="T189" s="71" t="s">
        <v>950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Inativo</v>
      </c>
      <c r="C190" s="72" t="str">
        <f ca="1">IF(D190="Inativo","Inativo",IFERROR(VLOOKUP($G190,Conf!$F$19:$G$39,2,0),VLOOKUP($S190,Conf!$K:$M,3,0)))</f>
        <v>Inativo</v>
      </c>
      <c r="D190" s="72" t="str">
        <f ca="1">IFERROR(IF(TODAY()-K190&gt;365,"Inativo",IF(J190=2,"Férias",IF(J190=7,"Demitido","Afastamento"))),VLOOKUP(J190,Conf!$H:$I,2,0))</f>
        <v>Inativo</v>
      </c>
      <c r="E190" s="71">
        <v>2</v>
      </c>
      <c r="F190" s="71">
        <v>2</v>
      </c>
      <c r="G190" s="71" t="s">
        <v>951</v>
      </c>
      <c r="H190" s="71">
        <v>13</v>
      </c>
      <c r="I190" s="71" t="s">
        <v>364</v>
      </c>
      <c r="J190" s="71">
        <v>22</v>
      </c>
      <c r="K190" s="71" t="s">
        <v>952</v>
      </c>
      <c r="L190" s="71" t="s">
        <v>953</v>
      </c>
      <c r="M190" s="71" t="s">
        <v>954</v>
      </c>
      <c r="N190" s="71">
        <v>36348368904</v>
      </c>
      <c r="Q190" s="71">
        <v>0</v>
      </c>
      <c r="R190" s="71" t="s">
        <v>955</v>
      </c>
      <c r="S190" s="71" t="s">
        <v>956</v>
      </c>
      <c r="T190" s="71" t="s">
        <v>957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LIMPEZA</v>
      </c>
      <c r="C191" s="72" t="str">
        <f ca="1">IF(D191="Inativo","Inativo",IFERROR(VLOOKUP($G191,Conf!$F$19:$G$39,2,0),VLOOKUP($S191,Conf!$K:$M,3,0)))</f>
        <v>ZELADOR(A)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54</v>
      </c>
      <c r="G191" s="71" t="s">
        <v>958</v>
      </c>
      <c r="H191" s="71">
        <v>523</v>
      </c>
      <c r="I191" s="71" t="s">
        <v>222</v>
      </c>
      <c r="J191" s="71">
        <v>1</v>
      </c>
      <c r="K191" s="71" t="s">
        <v>223</v>
      </c>
      <c r="L191" s="71" t="s">
        <v>959</v>
      </c>
      <c r="M191" s="71" t="s">
        <v>960</v>
      </c>
      <c r="N191" s="71">
        <v>3495563938</v>
      </c>
      <c r="Q191" s="71">
        <v>0</v>
      </c>
      <c r="R191" s="71" t="s">
        <v>587</v>
      </c>
      <c r="S191" s="71" t="s">
        <v>588</v>
      </c>
      <c r="T191" s="71" t="s">
        <v>961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LIMPEZA</v>
      </c>
      <c r="C192" s="72" t="str">
        <f ca="1">IF(D192="Inativo","Inativo",IFERROR(VLOOKUP($G192,Conf!$F$19:$G$39,2,0),VLOOKUP($S192,Conf!$K:$M,3,0)))</f>
        <v>ZELADOR(A)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1142</v>
      </c>
      <c r="G192" s="71" t="s">
        <v>962</v>
      </c>
      <c r="H192" s="71">
        <v>10</v>
      </c>
      <c r="I192" s="71" t="s">
        <v>963</v>
      </c>
      <c r="J192" s="71">
        <v>1</v>
      </c>
      <c r="K192" s="71" t="s">
        <v>223</v>
      </c>
      <c r="L192" s="71" t="s">
        <v>964</v>
      </c>
      <c r="M192" s="71" t="s">
        <v>965</v>
      </c>
      <c r="N192" s="71">
        <v>14506123859</v>
      </c>
      <c r="Q192" s="71">
        <v>0</v>
      </c>
      <c r="R192" s="71" t="s">
        <v>587</v>
      </c>
      <c r="S192" s="71" t="s">
        <v>588</v>
      </c>
      <c r="T192" s="71" t="s">
        <v>961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APRENDIZ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1710</v>
      </c>
      <c r="G193" s="71" t="s">
        <v>966</v>
      </c>
      <c r="H193" s="71">
        <v>205</v>
      </c>
      <c r="I193" s="71" t="s">
        <v>602</v>
      </c>
      <c r="J193" s="71">
        <v>1</v>
      </c>
      <c r="K193" s="71" t="s">
        <v>223</v>
      </c>
      <c r="L193" s="71" t="s">
        <v>967</v>
      </c>
      <c r="M193" s="71" t="s">
        <v>604</v>
      </c>
      <c r="N193" s="71">
        <v>80044939981</v>
      </c>
      <c r="O193" s="71" t="s">
        <v>245</v>
      </c>
      <c r="P193" s="71" t="s">
        <v>246</v>
      </c>
      <c r="Q193" s="71">
        <v>0</v>
      </c>
      <c r="R193" s="71" t="s">
        <v>605</v>
      </c>
      <c r="S193" s="71" t="s">
        <v>606</v>
      </c>
      <c r="T193" s="71" t="s">
        <v>968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APRENDIZ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1708</v>
      </c>
      <c r="G194" s="71" t="s">
        <v>969</v>
      </c>
      <c r="H194" s="71">
        <v>205</v>
      </c>
      <c r="I194" s="71" t="s">
        <v>602</v>
      </c>
      <c r="J194" s="71">
        <v>1</v>
      </c>
      <c r="K194" s="71" t="s">
        <v>223</v>
      </c>
      <c r="L194" s="71" t="s">
        <v>970</v>
      </c>
      <c r="M194" s="71" t="s">
        <v>604</v>
      </c>
      <c r="N194" s="71">
        <v>12658603436</v>
      </c>
      <c r="O194" s="71" t="s">
        <v>245</v>
      </c>
      <c r="P194" s="71" t="s">
        <v>246</v>
      </c>
      <c r="Q194" s="71">
        <v>0</v>
      </c>
      <c r="R194" s="71" t="s">
        <v>605</v>
      </c>
      <c r="S194" s="71" t="s">
        <v>606</v>
      </c>
      <c r="T194" s="71" t="s">
        <v>968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APRENDIZ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193</v>
      </c>
      <c r="G195" s="71" t="s">
        <v>971</v>
      </c>
      <c r="H195" s="71">
        <v>205</v>
      </c>
      <c r="I195" s="71" t="s">
        <v>602</v>
      </c>
      <c r="J195" s="71">
        <v>1</v>
      </c>
      <c r="K195" s="71" t="s">
        <v>223</v>
      </c>
      <c r="L195" s="71" t="s">
        <v>972</v>
      </c>
      <c r="M195" s="71" t="s">
        <v>604</v>
      </c>
      <c r="N195" s="71">
        <v>15032696986</v>
      </c>
      <c r="O195" s="71" t="s">
        <v>245</v>
      </c>
      <c r="P195" s="71" t="s">
        <v>246</v>
      </c>
      <c r="Q195" s="71">
        <v>0</v>
      </c>
      <c r="R195" s="71" t="s">
        <v>610</v>
      </c>
      <c r="S195" s="71" t="s">
        <v>973</v>
      </c>
      <c r="T195" s="71" t="s">
        <v>535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APRENDIZ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1712</v>
      </c>
      <c r="G196" s="71" t="s">
        <v>974</v>
      </c>
      <c r="H196" s="71">
        <v>205</v>
      </c>
      <c r="I196" s="71" t="s">
        <v>602</v>
      </c>
      <c r="J196" s="71">
        <v>1</v>
      </c>
      <c r="K196" s="71" t="s">
        <v>223</v>
      </c>
      <c r="L196" s="71" t="s">
        <v>975</v>
      </c>
      <c r="M196" s="71" t="s">
        <v>604</v>
      </c>
      <c r="N196" s="71">
        <v>13411013982</v>
      </c>
      <c r="O196" s="71" t="s">
        <v>245</v>
      </c>
      <c r="P196" s="71" t="s">
        <v>246</v>
      </c>
      <c r="Q196" s="71">
        <v>0</v>
      </c>
      <c r="R196" s="71" t="s">
        <v>605</v>
      </c>
      <c r="S196" s="71" t="s">
        <v>606</v>
      </c>
      <c r="T196" s="71" t="s">
        <v>968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APRENDIZ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1713</v>
      </c>
      <c r="G197" s="71" t="s">
        <v>976</v>
      </c>
      <c r="H197" s="71">
        <v>205</v>
      </c>
      <c r="I197" s="71" t="s">
        <v>602</v>
      </c>
      <c r="J197" s="71">
        <v>1</v>
      </c>
      <c r="K197" s="71" t="s">
        <v>223</v>
      </c>
      <c r="L197" s="71" t="s">
        <v>977</v>
      </c>
      <c r="M197" s="71" t="s">
        <v>604</v>
      </c>
      <c r="N197" s="71">
        <v>11985019957</v>
      </c>
      <c r="O197" s="71" t="s">
        <v>245</v>
      </c>
      <c r="P197" s="71" t="s">
        <v>246</v>
      </c>
      <c r="Q197" s="71">
        <v>0</v>
      </c>
      <c r="R197" s="71" t="s">
        <v>605</v>
      </c>
      <c r="S197" s="71" t="s">
        <v>606</v>
      </c>
      <c r="T197" s="71" t="s">
        <v>968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VENDAS</v>
      </c>
      <c r="C198" s="72" t="str">
        <f ca="1">IF(D198="Inativo","Inativo",IFERROR(VLOOKUP($G198,Conf!$F$19:$G$39,2,0),VLOOKUP($S198,Conf!$K:$M,3,0)))</f>
        <v>E-COMMERCE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1240</v>
      </c>
      <c r="G198" s="71" t="s">
        <v>978</v>
      </c>
      <c r="H198" s="71">
        <v>16</v>
      </c>
      <c r="I198" s="71" t="s">
        <v>473</v>
      </c>
      <c r="J198" s="71">
        <v>1</v>
      </c>
      <c r="K198" s="71" t="s">
        <v>223</v>
      </c>
      <c r="L198" s="71" t="s">
        <v>979</v>
      </c>
      <c r="M198" s="71" t="s">
        <v>980</v>
      </c>
      <c r="N198" s="71">
        <v>13351900902</v>
      </c>
      <c r="Q198" s="71">
        <v>0</v>
      </c>
      <c r="R198" s="71" t="s">
        <v>981</v>
      </c>
      <c r="S198" s="71" t="s">
        <v>982</v>
      </c>
      <c r="T198" s="71" t="s">
        <v>983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LOJA</v>
      </c>
      <c r="C199" s="72" t="str">
        <f ca="1">IF(D199="Inativo","Inativo",IFERROR(VLOOKUP($G199,Conf!$F$19:$G$39,2,0),VLOOKUP($S199,Conf!$K:$M,3,0)))</f>
        <v>GERENTE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94</v>
      </c>
      <c r="G199" s="71" t="s">
        <v>984</v>
      </c>
      <c r="H199" s="71">
        <v>16</v>
      </c>
      <c r="I199" s="71" t="s">
        <v>473</v>
      </c>
      <c r="J199" s="71">
        <v>1</v>
      </c>
      <c r="K199" s="71" t="s">
        <v>223</v>
      </c>
      <c r="L199" s="71" t="s">
        <v>985</v>
      </c>
      <c r="M199" s="71" t="s">
        <v>986</v>
      </c>
      <c r="N199" s="71">
        <v>12010005996</v>
      </c>
      <c r="Q199" s="71">
        <v>0</v>
      </c>
      <c r="R199" s="71" t="s">
        <v>987</v>
      </c>
      <c r="S199" s="71" t="s">
        <v>988</v>
      </c>
      <c r="T199" s="71" t="s">
        <v>989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LOJA</v>
      </c>
      <c r="C200" s="72" t="str">
        <f ca="1">IF(D200="Inativo","Inativo",IFERROR(VLOOKUP($G200,Conf!$F$19:$G$39,2,0),VLOOKUP($S200,Conf!$K:$M,3,0)))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221</v>
      </c>
      <c r="G200" s="71" t="s">
        <v>3952</v>
      </c>
      <c r="H200" s="71">
        <v>47</v>
      </c>
      <c r="I200" s="71" t="s">
        <v>222</v>
      </c>
      <c r="J200" s="71">
        <v>1</v>
      </c>
      <c r="K200" s="71" t="s">
        <v>223</v>
      </c>
      <c r="L200" s="71" t="s">
        <v>3953</v>
      </c>
      <c r="M200" s="71" t="s">
        <v>3647</v>
      </c>
      <c r="N200" s="71">
        <v>12516239998</v>
      </c>
      <c r="O200" s="71" t="s">
        <v>245</v>
      </c>
      <c r="P200" s="71" t="s">
        <v>246</v>
      </c>
      <c r="Q200" s="71">
        <v>0</v>
      </c>
      <c r="R200" s="71" t="s">
        <v>648</v>
      </c>
      <c r="S200" s="71" t="s">
        <v>997</v>
      </c>
      <c r="T200" s="71" t="s">
        <v>612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LOJA</v>
      </c>
      <c r="C201" s="72" t="str">
        <f ca="1">IF(D201="Inativo","Inativo",IFERROR(VLOOKUP($G201,Conf!$F$19:$G$39,2,0),VLOOKUP($S201,Conf!$K:$M,3,0)))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71">
        <v>2</v>
      </c>
      <c r="F201" s="71">
        <v>216</v>
      </c>
      <c r="G201" s="71" t="s">
        <v>995</v>
      </c>
      <c r="H201" s="71">
        <v>44</v>
      </c>
      <c r="I201" s="71" t="s">
        <v>550</v>
      </c>
      <c r="J201" s="71">
        <v>7</v>
      </c>
      <c r="K201" s="71" t="s">
        <v>471</v>
      </c>
      <c r="L201" s="71" t="s">
        <v>996</v>
      </c>
      <c r="M201" s="71" t="s">
        <v>244</v>
      </c>
      <c r="N201" s="71">
        <v>1162559861</v>
      </c>
      <c r="O201" s="71" t="s">
        <v>245</v>
      </c>
      <c r="P201" s="71" t="s">
        <v>246</v>
      </c>
      <c r="Q201" s="71">
        <v>0</v>
      </c>
      <c r="R201" s="71" t="s">
        <v>648</v>
      </c>
      <c r="S201" s="71" t="s">
        <v>997</v>
      </c>
      <c r="T201" s="71" t="s">
        <v>612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LOJA</v>
      </c>
      <c r="C202" s="72" t="str">
        <f ca="1">IF(D202="Inativo","Inativo",IFERROR(VLOOKUP($G202,Conf!$F$19:$G$39,2,0),VLOOKUP($S202,Conf!$K:$M,3,0)))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71">
        <v>2</v>
      </c>
      <c r="F202" s="71">
        <v>189</v>
      </c>
      <c r="G202" s="71" t="s">
        <v>998</v>
      </c>
      <c r="H202" s="71">
        <v>651</v>
      </c>
      <c r="I202" s="71" t="s">
        <v>444</v>
      </c>
      <c r="J202" s="71">
        <v>7</v>
      </c>
      <c r="K202" s="71" t="s">
        <v>999</v>
      </c>
      <c r="L202" s="71" t="s">
        <v>1000</v>
      </c>
      <c r="M202" s="71" t="s">
        <v>439</v>
      </c>
      <c r="N202" s="71">
        <v>8980679955</v>
      </c>
      <c r="O202" s="71" t="s">
        <v>245</v>
      </c>
      <c r="P202" s="71" t="s">
        <v>246</v>
      </c>
      <c r="Q202" s="71">
        <v>0</v>
      </c>
      <c r="R202" s="71" t="s">
        <v>648</v>
      </c>
      <c r="S202" s="71" t="s">
        <v>997</v>
      </c>
      <c r="T202" s="71" t="s">
        <v>612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LOJA</v>
      </c>
      <c r="C203" s="72" t="str">
        <f ca="1">IF(D203="Inativo","Inativo",IFERROR(VLOOKUP($G203,Conf!$F$19:$G$39,2,0),VLOOKUP($S203,Conf!$K:$M,3,0)))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71">
        <v>2</v>
      </c>
      <c r="F203" s="71">
        <v>219</v>
      </c>
      <c r="G203" s="71" t="s">
        <v>3954</v>
      </c>
      <c r="H203" s="71">
        <v>47</v>
      </c>
      <c r="I203" s="71" t="s">
        <v>222</v>
      </c>
      <c r="J203" s="71">
        <v>7</v>
      </c>
      <c r="K203" s="71" t="s">
        <v>3674</v>
      </c>
      <c r="L203" s="71" t="s">
        <v>3955</v>
      </c>
      <c r="M203" s="71" t="s">
        <v>3642</v>
      </c>
      <c r="N203" s="71">
        <v>13924347930</v>
      </c>
      <c r="O203" s="71" t="s">
        <v>245</v>
      </c>
      <c r="P203" s="71" t="s">
        <v>246</v>
      </c>
      <c r="Q203" s="71">
        <v>0</v>
      </c>
      <c r="R203" s="71" t="s">
        <v>648</v>
      </c>
      <c r="S203" s="71" t="s">
        <v>997</v>
      </c>
      <c r="T203" s="71" t="s">
        <v>612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LOJA</v>
      </c>
      <c r="C204" s="72" t="str">
        <f ca="1">IF(D204="Inativo","Inativo",IFERROR(VLOOKUP($G204,Conf!$F$19:$G$39,2,0),VLOOKUP($S204,Conf!$K:$M,3,0)))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217</v>
      </c>
      <c r="G204" s="71" t="s">
        <v>1001</v>
      </c>
      <c r="H204" s="71">
        <v>47</v>
      </c>
      <c r="I204" s="71" t="s">
        <v>222</v>
      </c>
      <c r="J204" s="71">
        <v>1</v>
      </c>
      <c r="K204" s="71" t="s">
        <v>223</v>
      </c>
      <c r="L204" s="71" t="s">
        <v>1002</v>
      </c>
      <c r="M204" s="71" t="s">
        <v>471</v>
      </c>
      <c r="N204" s="71">
        <v>1732954950</v>
      </c>
      <c r="O204" s="71" t="s">
        <v>245</v>
      </c>
      <c r="P204" s="71" t="s">
        <v>246</v>
      </c>
      <c r="Q204" s="71">
        <v>0</v>
      </c>
      <c r="R204" s="71" t="s">
        <v>648</v>
      </c>
      <c r="S204" s="71" t="s">
        <v>997</v>
      </c>
      <c r="T204" s="71" t="s">
        <v>612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LOJA</v>
      </c>
      <c r="C205" s="72" t="str">
        <f ca="1">IF(D205="Inativo","Inativo",IFERROR(VLOOKUP($G205,Conf!$F$19:$G$39,2,0),VLOOKUP($S205,Conf!$K:$M,3,0)))</f>
        <v>REPOSITOR</v>
      </c>
      <c r="D205" s="72" t="str">
        <f ca="1">IFERROR(IF(TODAY()-K205&gt;365,"Inativo",IF(J205=2,"Férias",IF(J205=7,"Demitido","Afastamento"))),VLOOKUP(J205,Conf!$H:$I,2,0))</f>
        <v>Demitido</v>
      </c>
      <c r="E205" s="71">
        <v>2</v>
      </c>
      <c r="F205" s="71">
        <v>191</v>
      </c>
      <c r="G205" s="71" t="s">
        <v>1003</v>
      </c>
      <c r="H205" s="71">
        <v>47</v>
      </c>
      <c r="I205" s="71" t="s">
        <v>222</v>
      </c>
      <c r="J205" s="71">
        <v>7</v>
      </c>
      <c r="K205" s="71" t="s">
        <v>426</v>
      </c>
      <c r="L205" s="71" t="s">
        <v>1004</v>
      </c>
      <c r="M205" s="71" t="s">
        <v>1005</v>
      </c>
      <c r="N205" s="71">
        <v>12338849990</v>
      </c>
      <c r="O205" s="71" t="s">
        <v>245</v>
      </c>
      <c r="P205" s="71" t="s">
        <v>246</v>
      </c>
      <c r="Q205" s="71">
        <v>0</v>
      </c>
      <c r="R205" s="71" t="s">
        <v>648</v>
      </c>
      <c r="S205" s="71" t="s">
        <v>997</v>
      </c>
      <c r="T205" s="71" t="s">
        <v>612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LOJA</v>
      </c>
      <c r="C206" s="72" t="str">
        <f ca="1">IF(D206="Inativo","Inativo",IFERROR(VLOOKUP($G206,Conf!$F$19:$G$39,2,0),VLOOKUP($S206,Conf!$K:$M,3,0)))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154</v>
      </c>
      <c r="G206" s="71" t="s">
        <v>1006</v>
      </c>
      <c r="H206" s="71">
        <v>1079</v>
      </c>
      <c r="I206" s="71" t="s">
        <v>772</v>
      </c>
      <c r="J206" s="71">
        <v>1</v>
      </c>
      <c r="K206" s="71" t="s">
        <v>223</v>
      </c>
      <c r="L206" s="71" t="s">
        <v>1007</v>
      </c>
      <c r="M206" s="71" t="s">
        <v>1008</v>
      </c>
      <c r="N206" s="71">
        <v>71190149435</v>
      </c>
      <c r="Q206" s="71">
        <v>0</v>
      </c>
      <c r="R206" s="71" t="s">
        <v>648</v>
      </c>
      <c r="S206" s="71" t="s">
        <v>997</v>
      </c>
      <c r="T206" s="71" t="s">
        <v>612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LOJA</v>
      </c>
      <c r="C207" s="72" t="str">
        <f ca="1">IF(D207="Inativo","Inativo",IFERROR(VLOOKUP($G207,Conf!$F$19:$G$39,2,0),VLOOKUP($S207,Conf!$K:$M,3,0)))</f>
        <v>REPOSITOR</v>
      </c>
      <c r="D207" s="72" t="str">
        <f ca="1">IFERROR(IF(TODAY()-K207&gt;365,"Inativo",IF(J207=2,"Férias",IF(J207=7,"Demitido","Afastamento"))),VLOOKUP(J207,Conf!$H:$I,2,0))</f>
        <v>Demitido</v>
      </c>
      <c r="E207" s="71">
        <v>2</v>
      </c>
      <c r="F207" s="71">
        <v>204</v>
      </c>
      <c r="G207" s="71" t="s">
        <v>1009</v>
      </c>
      <c r="H207" s="71">
        <v>47</v>
      </c>
      <c r="I207" s="71" t="s">
        <v>222</v>
      </c>
      <c r="J207" s="71">
        <v>7</v>
      </c>
      <c r="K207" s="71" t="s">
        <v>460</v>
      </c>
      <c r="L207" s="71" t="s">
        <v>1010</v>
      </c>
      <c r="M207" s="71" t="s">
        <v>886</v>
      </c>
      <c r="N207" s="71">
        <v>5988805779</v>
      </c>
      <c r="O207" s="71" t="s">
        <v>245</v>
      </c>
      <c r="P207" s="71" t="s">
        <v>246</v>
      </c>
      <c r="Q207" s="71">
        <v>0</v>
      </c>
      <c r="R207" s="71" t="s">
        <v>648</v>
      </c>
      <c r="S207" s="71" t="s">
        <v>997</v>
      </c>
      <c r="T207" s="71" t="s">
        <v>612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LOJA</v>
      </c>
      <c r="C208" s="72" t="str">
        <f ca="1">IF(D208="Inativo","Inativo",IFERROR(VLOOKUP($G208,Conf!$F$19:$G$39,2,0),VLOOKUP($S208,Conf!$K:$M,3,0)))</f>
        <v>REPOSITOR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214</v>
      </c>
      <c r="G208" s="71" t="s">
        <v>1011</v>
      </c>
      <c r="H208" s="71">
        <v>526</v>
      </c>
      <c r="I208" s="71" t="s">
        <v>222</v>
      </c>
      <c r="J208" s="71">
        <v>1</v>
      </c>
      <c r="K208" s="71" t="s">
        <v>223</v>
      </c>
      <c r="L208" s="71" t="s">
        <v>1012</v>
      </c>
      <c r="M208" s="71" t="s">
        <v>301</v>
      </c>
      <c r="N208" s="71">
        <v>11960684965</v>
      </c>
      <c r="O208" s="71" t="s">
        <v>245</v>
      </c>
      <c r="P208" s="71" t="s">
        <v>246</v>
      </c>
      <c r="Q208" s="71">
        <v>0</v>
      </c>
      <c r="R208" s="71" t="s">
        <v>648</v>
      </c>
      <c r="S208" s="71" t="s">
        <v>997</v>
      </c>
      <c r="T208" s="71" t="s">
        <v>612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LOJA</v>
      </c>
      <c r="C209" s="72" t="str">
        <f ca="1">IF(D209="Inativo","Inativo",IFERROR(VLOOKUP($G209,Conf!$F$19:$G$39,2,0),VLOOKUP($S209,Conf!$K:$M,3,0)))</f>
        <v>REPOSITOR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215</v>
      </c>
      <c r="G209" s="71" t="s">
        <v>1013</v>
      </c>
      <c r="H209" s="71">
        <v>1085</v>
      </c>
      <c r="I209" s="71" t="s">
        <v>222</v>
      </c>
      <c r="J209" s="71">
        <v>1</v>
      </c>
      <c r="K209" s="71" t="s">
        <v>223</v>
      </c>
      <c r="L209" s="71" t="s">
        <v>1014</v>
      </c>
      <c r="M209" s="71" t="s">
        <v>320</v>
      </c>
      <c r="N209" s="71">
        <v>14383178910</v>
      </c>
      <c r="O209" s="71" t="s">
        <v>245</v>
      </c>
      <c r="P209" s="71" t="s">
        <v>246</v>
      </c>
      <c r="Q209" s="71">
        <v>0</v>
      </c>
      <c r="R209" s="71" t="s">
        <v>648</v>
      </c>
      <c r="S209" s="71" t="s">
        <v>997</v>
      </c>
      <c r="T209" s="71" t="s">
        <v>612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LOJA</v>
      </c>
      <c r="C210" s="72" t="str">
        <f ca="1">IF(D210="Inativo","Inativo",IFERROR(VLOOKUP($G210,Conf!$F$19:$G$39,2,0),VLOOKUP($S210,Conf!$K:$M,3,0)))</f>
        <v>REPOSITOR</v>
      </c>
      <c r="D210" s="72" t="str">
        <f ca="1">IFERROR(IF(TODAY()-K210&gt;365,"Inativo",IF(J210=2,"Férias",IF(J210=7,"Demitido","Afastamento"))),VLOOKUP(J210,Conf!$H:$I,2,0))</f>
        <v>Demitido</v>
      </c>
      <c r="E210" s="71">
        <v>2</v>
      </c>
      <c r="F210" s="71">
        <v>218</v>
      </c>
      <c r="G210" s="71" t="s">
        <v>1015</v>
      </c>
      <c r="H210" s="71">
        <v>47</v>
      </c>
      <c r="I210" s="71" t="s">
        <v>222</v>
      </c>
      <c r="J210" s="71">
        <v>7</v>
      </c>
      <c r="K210" s="71" t="s">
        <v>3674</v>
      </c>
      <c r="L210" s="71" t="s">
        <v>1016</v>
      </c>
      <c r="M210" s="71" t="s">
        <v>471</v>
      </c>
      <c r="N210" s="71">
        <v>12357056924</v>
      </c>
      <c r="O210" s="71" t="s">
        <v>245</v>
      </c>
      <c r="P210" s="71" t="s">
        <v>246</v>
      </c>
      <c r="Q210" s="71">
        <v>0</v>
      </c>
      <c r="R210" s="71" t="s">
        <v>648</v>
      </c>
      <c r="S210" s="71" t="s">
        <v>997</v>
      </c>
      <c r="T210" s="71" t="s">
        <v>612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AUXILIAR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1354</v>
      </c>
      <c r="G211" s="71" t="s">
        <v>1026</v>
      </c>
      <c r="H211" s="71">
        <v>1076</v>
      </c>
      <c r="I211" s="71" t="s">
        <v>230</v>
      </c>
      <c r="J211" s="71">
        <v>1</v>
      </c>
      <c r="K211" s="71" t="s">
        <v>223</v>
      </c>
      <c r="L211" s="71" t="s">
        <v>1027</v>
      </c>
      <c r="M211" s="71" t="s">
        <v>1028</v>
      </c>
      <c r="N211" s="71">
        <v>11626978905</v>
      </c>
      <c r="Q211" s="71">
        <v>0</v>
      </c>
      <c r="R211" s="71" t="s">
        <v>1029</v>
      </c>
      <c r="S211" s="71" t="s">
        <v>1030</v>
      </c>
      <c r="T211" s="71" t="s">
        <v>1031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ROTISSERIA</v>
      </c>
      <c r="C212" s="72" t="str">
        <f ca="1">IF(D212="Inativo","Inativo",IFERROR(VLOOKUP($G212,Conf!$F$19:$G$39,2,0),VLOOKUP($S212,Conf!$K:$M,3,0)))</f>
        <v>AUXILIAR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1349</v>
      </c>
      <c r="G212" s="71" t="s">
        <v>1032</v>
      </c>
      <c r="H212" s="71">
        <v>1104</v>
      </c>
      <c r="I212" s="71" t="s">
        <v>740</v>
      </c>
      <c r="J212" s="71">
        <v>1</v>
      </c>
      <c r="K212" s="71" t="s">
        <v>223</v>
      </c>
      <c r="L212" s="71" t="s">
        <v>1033</v>
      </c>
      <c r="M212" s="71" t="s">
        <v>1034</v>
      </c>
      <c r="N212" s="71">
        <v>4399093927</v>
      </c>
      <c r="Q212" s="71">
        <v>0</v>
      </c>
      <c r="R212" s="71" t="s">
        <v>1035</v>
      </c>
      <c r="S212" s="71" t="s">
        <v>1036</v>
      </c>
      <c r="T212" s="71" t="s">
        <v>1037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PADARIA</v>
      </c>
      <c r="C213" s="72" t="str">
        <f ca="1">IF(D213="Inativo","Inativo",IFERROR(VLOOKUP($G213,Conf!$F$19:$G$39,2,0),VLOOKUP($S213,Conf!$K:$M,3,0)))</f>
        <v>AUXILIAR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232</v>
      </c>
      <c r="G213" s="71" t="s">
        <v>1038</v>
      </c>
      <c r="H213" s="71">
        <v>1091</v>
      </c>
      <c r="I213" s="71" t="s">
        <v>238</v>
      </c>
      <c r="J213" s="71">
        <v>1</v>
      </c>
      <c r="K213" s="71" t="s">
        <v>223</v>
      </c>
      <c r="L213" s="71" t="s">
        <v>1039</v>
      </c>
      <c r="M213" s="71" t="s">
        <v>1040</v>
      </c>
      <c r="N213" s="71">
        <v>1691280917</v>
      </c>
      <c r="Q213" s="71">
        <v>0</v>
      </c>
      <c r="R213" s="71" t="s">
        <v>573</v>
      </c>
      <c r="S213" s="71" t="s">
        <v>1041</v>
      </c>
      <c r="T213" s="71" t="s">
        <v>1042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PADARIA</v>
      </c>
      <c r="C214" s="72" t="str">
        <f ca="1">IF(D214="Inativo","Inativo",IFERROR(VLOOKUP($G214,Conf!$F$19:$G$39,2,0),VLOOKUP($S214,Conf!$K:$M,3,0)))</f>
        <v>AUXILIAR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213</v>
      </c>
      <c r="G214" s="71" t="s">
        <v>1043</v>
      </c>
      <c r="H214" s="71">
        <v>495</v>
      </c>
      <c r="I214" s="71" t="s">
        <v>550</v>
      </c>
      <c r="J214" s="71">
        <v>1</v>
      </c>
      <c r="K214" s="71" t="s">
        <v>223</v>
      </c>
      <c r="L214" s="71" t="s">
        <v>1044</v>
      </c>
      <c r="M214" s="71" t="s">
        <v>840</v>
      </c>
      <c r="N214" s="71">
        <v>9077806792</v>
      </c>
      <c r="O214" s="71" t="s">
        <v>245</v>
      </c>
      <c r="P214" s="71" t="s">
        <v>246</v>
      </c>
      <c r="Q214" s="71">
        <v>0</v>
      </c>
      <c r="R214" s="71" t="s">
        <v>699</v>
      </c>
      <c r="S214" s="71" t="s">
        <v>1045</v>
      </c>
      <c r="T214" s="71" t="s">
        <v>228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PADARIA</v>
      </c>
      <c r="C215" s="72" t="str">
        <f ca="1">IF(D215="Inativo","Inativo",IFERROR(VLOOKUP($G215,Conf!$F$19:$G$39,2,0),VLOOKUP($S215,Conf!$K:$M,3,0)))</f>
        <v>BALCONISTA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203</v>
      </c>
      <c r="G215" s="71" t="s">
        <v>1046</v>
      </c>
      <c r="H215" s="71">
        <v>47</v>
      </c>
      <c r="I215" s="71" t="s">
        <v>222</v>
      </c>
      <c r="J215" s="71">
        <v>1</v>
      </c>
      <c r="K215" s="71" t="s">
        <v>223</v>
      </c>
      <c r="L215" s="71" t="s">
        <v>1047</v>
      </c>
      <c r="M215" s="71" t="s">
        <v>1048</v>
      </c>
      <c r="N215" s="71">
        <v>1534142002</v>
      </c>
      <c r="O215" s="71" t="s">
        <v>245</v>
      </c>
      <c r="P215" s="71" t="s">
        <v>246</v>
      </c>
      <c r="Q215" s="71">
        <v>0</v>
      </c>
      <c r="R215" s="71" t="s">
        <v>720</v>
      </c>
      <c r="S215" s="71" t="s">
        <v>1049</v>
      </c>
      <c r="T215" s="71" t="s">
        <v>722</v>
      </c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PADARIA</v>
      </c>
      <c r="C216" s="72" t="str">
        <f ca="1">IF(D216="Inativo","Inativo",IFERROR(VLOOKUP($G216,Conf!$F$19:$G$39,2,0),VLOOKUP($S216,Conf!$K:$M,3,0)))</f>
        <v>AUXILIAR</v>
      </c>
      <c r="D216" s="72" t="str">
        <f ca="1">IFERROR(IF(TODAY()-K216&gt;365,"Inativo",IF(J216=2,"Férias",IF(J216=7,"Demitido","Afastamento"))),VLOOKUP(J216,Conf!$H:$I,2,0))</f>
        <v>Demitido</v>
      </c>
      <c r="E216" s="71">
        <v>2</v>
      </c>
      <c r="F216" s="71">
        <v>205</v>
      </c>
      <c r="G216" s="71" t="s">
        <v>1050</v>
      </c>
      <c r="H216" s="71">
        <v>16</v>
      </c>
      <c r="I216" s="71" t="s">
        <v>473</v>
      </c>
      <c r="J216" s="71">
        <v>7</v>
      </c>
      <c r="K216" s="71" t="s">
        <v>320</v>
      </c>
      <c r="L216" s="71" t="s">
        <v>1051</v>
      </c>
      <c r="M216" s="71" t="s">
        <v>322</v>
      </c>
      <c r="N216" s="71">
        <v>10863839908</v>
      </c>
      <c r="O216" s="71" t="s">
        <v>245</v>
      </c>
      <c r="P216" s="71" t="s">
        <v>246</v>
      </c>
      <c r="Q216" s="71">
        <v>0</v>
      </c>
      <c r="R216" s="71" t="s">
        <v>699</v>
      </c>
      <c r="S216" s="71" t="s">
        <v>1045</v>
      </c>
      <c r="T216" s="71" t="s">
        <v>228</v>
      </c>
    </row>
    <row r="217" spans="1:20" x14ac:dyDescent="0.3">
      <c r="A217" s="72">
        <f>IFERROR(VLOOKUP($G217,Conf!$B:$C,2,0),E217)</f>
        <v>2</v>
      </c>
      <c r="B217" s="72" t="str">
        <f ca="1">IF(D217="Inativo","Inativo",VLOOKUP($S217,Conf!$K:$M,2,0))</f>
        <v>PADARIA</v>
      </c>
      <c r="C217" s="72" t="str">
        <f ca="1">IF(D217="Inativo","Inativo",IFERROR(VLOOKUP($G217,Conf!$F$19:$G$39,2,0),VLOOKUP($S217,Conf!$K:$M,3,0)))</f>
        <v>BALCONISTA</v>
      </c>
      <c r="D217" s="72" t="str">
        <f ca="1">IFERROR(IF(TODAY()-K217&gt;365,"Inativo",IF(J217=2,"Férias",IF(J217=7,"Demitido","Afastamento"))),VLOOKUP(J217,Conf!$H:$I,2,0))</f>
        <v>Ativos</v>
      </c>
      <c r="E217" s="71">
        <v>2</v>
      </c>
      <c r="F217" s="71">
        <v>208</v>
      </c>
      <c r="G217" s="71" t="s">
        <v>1052</v>
      </c>
      <c r="H217" s="71">
        <v>529</v>
      </c>
      <c r="I217" s="71" t="s">
        <v>222</v>
      </c>
      <c r="J217" s="71">
        <v>1</v>
      </c>
      <c r="K217" s="71" t="s">
        <v>223</v>
      </c>
      <c r="L217" s="71" t="s">
        <v>1053</v>
      </c>
      <c r="M217" s="71" t="s">
        <v>1054</v>
      </c>
      <c r="N217" s="71">
        <v>1281621986</v>
      </c>
      <c r="O217" s="71" t="s">
        <v>245</v>
      </c>
      <c r="P217" s="71" t="s">
        <v>246</v>
      </c>
      <c r="Q217" s="71">
        <v>0</v>
      </c>
      <c r="R217" s="71" t="s">
        <v>720</v>
      </c>
      <c r="S217" s="71" t="s">
        <v>1049</v>
      </c>
      <c r="T217" s="71" t="s">
        <v>722</v>
      </c>
    </row>
    <row r="218" spans="1:20" x14ac:dyDescent="0.3">
      <c r="A218" s="72">
        <f>IFERROR(VLOOKUP($G218,Conf!$B:$C,2,0),E218)</f>
        <v>2</v>
      </c>
      <c r="B218" s="72" t="str">
        <f ca="1">IF(D218="Inativo","Inativo",VLOOKUP($S218,Conf!$K:$M,2,0))</f>
        <v>PADARIA</v>
      </c>
      <c r="C218" s="72" t="str">
        <f ca="1">IF(D218="Inativo","Inativo",IFERROR(VLOOKUP($G218,Conf!$F$19:$G$39,2,0),VLOOKUP($S218,Conf!$K:$M,3,0)))</f>
        <v>ENCARREGADO</v>
      </c>
      <c r="D218" s="72" t="str">
        <f ca="1">IFERROR(IF(TODAY()-K218&gt;365,"Inativo",IF(J218=2,"Férias",IF(J218=7,"Demitido","Afastamento"))),VLOOKUP(J218,Conf!$H:$I,2,0))</f>
        <v>Ativos</v>
      </c>
      <c r="E218" s="71">
        <v>2</v>
      </c>
      <c r="F218" s="71">
        <v>198</v>
      </c>
      <c r="G218" s="71" t="s">
        <v>1055</v>
      </c>
      <c r="H218" s="71">
        <v>1083</v>
      </c>
      <c r="I218" s="71" t="s">
        <v>772</v>
      </c>
      <c r="J218" s="71">
        <v>1</v>
      </c>
      <c r="K218" s="71" t="s">
        <v>223</v>
      </c>
      <c r="L218" s="71" t="s">
        <v>1056</v>
      </c>
      <c r="M218" s="71" t="s">
        <v>1057</v>
      </c>
      <c r="N218" s="71">
        <v>81518722920</v>
      </c>
      <c r="Q218" s="71">
        <v>0</v>
      </c>
      <c r="R218" s="71" t="s">
        <v>1058</v>
      </c>
      <c r="S218" s="71" t="s">
        <v>1059</v>
      </c>
      <c r="T218" s="71" t="s">
        <v>1060</v>
      </c>
    </row>
    <row r="219" spans="1:20" x14ac:dyDescent="0.3">
      <c r="A219" s="72">
        <f>IFERROR(VLOOKUP($G219,Conf!$B:$C,2,0),E219)</f>
        <v>2</v>
      </c>
      <c r="B219" s="72" t="str">
        <f ca="1">IF(D219="Inativo","Inativo",VLOOKUP($S219,Conf!$K:$M,2,0))</f>
        <v>PADARIA</v>
      </c>
      <c r="C219" s="72" t="str">
        <f ca="1">IF(D219="Inativo","Inativo",IFERROR(VLOOKUP($G219,Conf!$F$19:$G$39,2,0),VLOOKUP($S219,Conf!$K:$M,3,0)))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71">
        <v>2</v>
      </c>
      <c r="F219" s="71">
        <v>170</v>
      </c>
      <c r="G219" s="71" t="s">
        <v>1061</v>
      </c>
      <c r="H219" s="71">
        <v>6</v>
      </c>
      <c r="I219" s="71" t="s">
        <v>230</v>
      </c>
      <c r="J219" s="71">
        <v>1</v>
      </c>
      <c r="K219" s="71" t="s">
        <v>223</v>
      </c>
      <c r="L219" s="71" t="s">
        <v>1062</v>
      </c>
      <c r="M219" s="71" t="s">
        <v>1063</v>
      </c>
      <c r="N219" s="71">
        <v>9118685935</v>
      </c>
      <c r="O219" s="71" t="s">
        <v>245</v>
      </c>
      <c r="P219" s="71" t="s">
        <v>246</v>
      </c>
      <c r="Q219" s="71">
        <v>0</v>
      </c>
      <c r="R219" s="71" t="s">
        <v>1064</v>
      </c>
      <c r="S219" s="71" t="s">
        <v>1065</v>
      </c>
      <c r="T219" s="71" t="s">
        <v>1066</v>
      </c>
    </row>
    <row r="220" spans="1:20" x14ac:dyDescent="0.3">
      <c r="A220" s="72">
        <f>IFERROR(VLOOKUP($G220,Conf!$B:$C,2,0),E220)</f>
        <v>2</v>
      </c>
      <c r="B220" s="72" t="str">
        <f ca="1">IF(D220="Inativo","Inativo",VLOOKUP($S220,Conf!$K:$M,2,0))</f>
        <v>PADARIA</v>
      </c>
      <c r="C220" s="72" t="str">
        <f ca="1">IF(D220="Inativo","Inativo",IFERROR(VLOOKUP($G220,Conf!$F$19:$G$39,2,0),VLOOKUP($S220,Conf!$K:$M,3,0)))</f>
        <v>SALGADEIRO(A)</v>
      </c>
      <c r="D220" s="72" t="str">
        <f ca="1">IFERROR(IF(TODAY()-K220&gt;365,"Inativo",IF(J220=2,"Férias",IF(J220=7,"Demitido","Afastamento"))),VLOOKUP(J220,Conf!$H:$I,2,0))</f>
        <v>Férias</v>
      </c>
      <c r="E220" s="71">
        <v>2</v>
      </c>
      <c r="F220" s="71">
        <v>633</v>
      </c>
      <c r="G220" s="71" t="s">
        <v>1067</v>
      </c>
      <c r="H220" s="71">
        <v>6</v>
      </c>
      <c r="I220" s="71" t="s">
        <v>230</v>
      </c>
      <c r="J220" s="71">
        <v>2</v>
      </c>
      <c r="K220" s="71" t="s">
        <v>471</v>
      </c>
      <c r="L220" s="71" t="s">
        <v>1068</v>
      </c>
      <c r="M220" s="71" t="s">
        <v>1069</v>
      </c>
      <c r="N220" s="71">
        <v>4535607923</v>
      </c>
      <c r="Q220" s="71">
        <v>0</v>
      </c>
      <c r="R220" s="71" t="s">
        <v>1070</v>
      </c>
      <c r="S220" s="71" t="s">
        <v>1071</v>
      </c>
      <c r="T220" s="71" t="s">
        <v>1072</v>
      </c>
    </row>
    <row r="221" spans="1:20" x14ac:dyDescent="0.3">
      <c r="A221" s="72">
        <f>IFERROR(VLOOKUP($G221,Conf!$B:$C,2,0),E221)</f>
        <v>2</v>
      </c>
      <c r="B221" s="72" t="str">
        <f ca="1">IF(D221="Inativo","Inativo",VLOOKUP($S221,Conf!$K:$M,2,0))</f>
        <v>PADARIA</v>
      </c>
      <c r="C221" s="72" t="str">
        <f ca="1">IF(D221="Inativo","Inativo",IFERROR(VLOOKUP($G221,Conf!$F$19:$G$39,2,0),VLOOKUP($S221,Conf!$K:$M,3,0)))</f>
        <v>PADEIRO(A)</v>
      </c>
      <c r="D221" s="72" t="str">
        <f ca="1">IFERROR(IF(TODAY()-K221&gt;365,"Inativo",IF(J221=2,"Férias",IF(J221=7,"Demitido","Afastamento"))),VLOOKUP(J221,Conf!$H:$I,2,0))</f>
        <v>Ativos</v>
      </c>
      <c r="E221" s="71">
        <v>2</v>
      </c>
      <c r="F221" s="71">
        <v>202</v>
      </c>
      <c r="G221" s="71" t="s">
        <v>1073</v>
      </c>
      <c r="H221" s="71">
        <v>189</v>
      </c>
      <c r="I221" s="71" t="s">
        <v>799</v>
      </c>
      <c r="J221" s="71">
        <v>1</v>
      </c>
      <c r="K221" s="71" t="s">
        <v>223</v>
      </c>
      <c r="L221" s="71" t="s">
        <v>1074</v>
      </c>
      <c r="M221" s="71" t="s">
        <v>273</v>
      </c>
      <c r="N221" s="71">
        <v>4296128930</v>
      </c>
      <c r="O221" s="71" t="s">
        <v>245</v>
      </c>
      <c r="P221" s="71" t="s">
        <v>246</v>
      </c>
      <c r="Q221" s="71">
        <v>0</v>
      </c>
      <c r="R221" s="71" t="s">
        <v>759</v>
      </c>
      <c r="S221" s="71" t="s">
        <v>1075</v>
      </c>
      <c r="T221" s="71" t="s">
        <v>717</v>
      </c>
    </row>
    <row r="222" spans="1:20" x14ac:dyDescent="0.3">
      <c r="A222" s="72">
        <f>IFERROR(VLOOKUP($G222,Conf!$B:$C,2,0),E222)</f>
        <v>2</v>
      </c>
      <c r="B222" s="72" t="str">
        <f ca="1">IF(D222="Inativo","Inativo",VLOOKUP($S222,Conf!$K:$M,2,0))</f>
        <v>PADARIA</v>
      </c>
      <c r="C222" s="72" t="str">
        <f ca="1">IF(D222="Inativo","Inativo",IFERROR(VLOOKUP($G222,Conf!$F$19:$G$39,2,0),VLOOKUP($S222,Conf!$K:$M,3,0)))</f>
        <v>PADEIRO(A)</v>
      </c>
      <c r="D222" s="72" t="str">
        <f ca="1">IFERROR(IF(TODAY()-K222&gt;365,"Inativo",IF(J222=2,"Férias",IF(J222=7,"Demitido","Afastamento"))),VLOOKUP(J222,Conf!$H:$I,2,0))</f>
        <v>Ativos</v>
      </c>
      <c r="E222" s="71">
        <v>2</v>
      </c>
      <c r="F222" s="71">
        <v>209</v>
      </c>
      <c r="G222" s="71" t="s">
        <v>1076</v>
      </c>
      <c r="H222" s="71">
        <v>166</v>
      </c>
      <c r="I222" s="71" t="s">
        <v>347</v>
      </c>
      <c r="J222" s="71">
        <v>1</v>
      </c>
      <c r="K222" s="71" t="s">
        <v>223</v>
      </c>
      <c r="L222" s="71" t="s">
        <v>1077</v>
      </c>
      <c r="M222" s="71" t="s">
        <v>231</v>
      </c>
      <c r="N222" s="71">
        <v>8862394942</v>
      </c>
      <c r="O222" s="71" t="s">
        <v>245</v>
      </c>
      <c r="P222" s="71" t="s">
        <v>246</v>
      </c>
      <c r="Q222" s="71">
        <v>0</v>
      </c>
      <c r="R222" s="71" t="s">
        <v>759</v>
      </c>
      <c r="S222" s="71" t="s">
        <v>1075</v>
      </c>
      <c r="T222" s="71" t="s">
        <v>717</v>
      </c>
    </row>
    <row r="223" spans="1:20" x14ac:dyDescent="0.3">
      <c r="A223" s="72">
        <f>IFERROR(VLOOKUP($G223,Conf!$B:$C,2,0),E223)</f>
        <v>2</v>
      </c>
      <c r="B223" s="72" t="str">
        <f ca="1">IF(D223="Inativo","Inativo",VLOOKUP($S223,Conf!$K:$M,2,0))</f>
        <v>PORTARIA</v>
      </c>
      <c r="C223" s="72" t="str">
        <f ca="1">IF(D223="Inativo","Inativo",IFERROR(VLOOKUP($G223,Conf!$F$19:$G$39,2,0),VLOOKUP($S223,Conf!$K:$M,3,0)))</f>
        <v>PORTEIRO</v>
      </c>
      <c r="D223" s="72" t="str">
        <f ca="1">IFERROR(IF(TODAY()-K223&gt;365,"Inativo",IF(J223=2,"Férias",IF(J223=7,"Demitido","Afastamento"))),VLOOKUP(J223,Conf!$H:$I,2,0))</f>
        <v>Ativos</v>
      </c>
      <c r="E223" s="71">
        <v>2</v>
      </c>
      <c r="F223" s="71">
        <v>45</v>
      </c>
      <c r="G223" s="71" t="s">
        <v>1078</v>
      </c>
      <c r="H223" s="71">
        <v>98</v>
      </c>
      <c r="I223" s="71" t="s">
        <v>1079</v>
      </c>
      <c r="J223" s="71">
        <v>1</v>
      </c>
      <c r="K223" s="71" t="s">
        <v>223</v>
      </c>
      <c r="L223" s="71" t="s">
        <v>1080</v>
      </c>
      <c r="M223" s="71" t="s">
        <v>845</v>
      </c>
      <c r="N223" s="71">
        <v>94853606815</v>
      </c>
      <c r="Q223" s="71">
        <v>0</v>
      </c>
      <c r="R223" s="71" t="s">
        <v>764</v>
      </c>
      <c r="S223" s="71" t="s">
        <v>1081</v>
      </c>
      <c r="T223" s="71" t="s">
        <v>693</v>
      </c>
    </row>
    <row r="224" spans="1:20" x14ac:dyDescent="0.3">
      <c r="A224" s="72">
        <f>IFERROR(VLOOKUP($G224,Conf!$B:$C,2,0),E224)</f>
        <v>2</v>
      </c>
      <c r="B224" s="72" t="str">
        <f ca="1">IF(D224="Inativo","Inativo",VLOOKUP($S224,Conf!$K:$M,2,0))</f>
        <v>PREVENÇÃO</v>
      </c>
      <c r="C224" s="72" t="str">
        <f ca="1">IF(D224="Inativo","Inativo",IFERROR(VLOOKUP($G224,Conf!$F$19:$G$39,2,0),VLOOKUP($S224,Conf!$K:$M,3,0)))</f>
        <v>AGENTE</v>
      </c>
      <c r="D224" s="72" t="str">
        <f ca="1">IFERROR(IF(TODAY()-K224&gt;365,"Inativo",IF(J224=2,"Férias",IF(J224=7,"Demitido","Afastamento"))),VLOOKUP(J224,Conf!$H:$I,2,0))</f>
        <v>Ativos</v>
      </c>
      <c r="E224" s="71">
        <v>2</v>
      </c>
      <c r="F224" s="71">
        <v>199</v>
      </c>
      <c r="G224" s="71" t="s">
        <v>1082</v>
      </c>
      <c r="H224" s="71">
        <v>47</v>
      </c>
      <c r="I224" s="71" t="s">
        <v>222</v>
      </c>
      <c r="J224" s="71">
        <v>1</v>
      </c>
      <c r="K224" s="71" t="s">
        <v>223</v>
      </c>
      <c r="L224" s="71" t="s">
        <v>1083</v>
      </c>
      <c r="M224" s="71" t="s">
        <v>1084</v>
      </c>
      <c r="N224" s="71">
        <v>8200098907</v>
      </c>
      <c r="O224" s="71" t="s">
        <v>245</v>
      </c>
      <c r="P224" s="71" t="s">
        <v>246</v>
      </c>
      <c r="Q224" s="71">
        <v>0</v>
      </c>
      <c r="R224" s="71" t="s">
        <v>624</v>
      </c>
      <c r="S224" s="71" t="s">
        <v>1085</v>
      </c>
      <c r="T224" s="71" t="s">
        <v>564</v>
      </c>
    </row>
    <row r="225" spans="1:20" x14ac:dyDescent="0.3">
      <c r="A225" s="72">
        <f>IFERROR(VLOOKUP($G225,Conf!$B:$C,2,0),E225)</f>
        <v>2</v>
      </c>
      <c r="B225" s="72" t="str">
        <f ca="1">IF(D225="Inativo","Inativo",VLOOKUP($S225,Conf!$K:$M,2,0))</f>
        <v>ROTISSERIA</v>
      </c>
      <c r="C225" s="72" t="str">
        <f ca="1">IF(D225="Inativo","Inativo",IFERROR(VLOOKUP($G225,Conf!$F$19:$G$39,2,0),VLOOKUP($S225,Conf!$K:$M,3,0)))</f>
        <v>COZINHEIRO</v>
      </c>
      <c r="D225" s="72" t="str">
        <f ca="1">IFERROR(IF(TODAY()-K225&gt;365,"Inativo",IF(J225=2,"Férias",IF(J225=7,"Demitido","Afastamento"))),VLOOKUP(J225,Conf!$H:$I,2,0))</f>
        <v>Ativos</v>
      </c>
      <c r="E225" s="71">
        <v>2</v>
      </c>
      <c r="F225" s="71">
        <v>1281</v>
      </c>
      <c r="G225" s="71" t="s">
        <v>1086</v>
      </c>
      <c r="H225" s="71">
        <v>292</v>
      </c>
      <c r="I225" s="71" t="s">
        <v>313</v>
      </c>
      <c r="J225" s="71">
        <v>1</v>
      </c>
      <c r="K225" s="71" t="s">
        <v>223</v>
      </c>
      <c r="L225" s="71" t="s">
        <v>1087</v>
      </c>
      <c r="M225" s="71" t="s">
        <v>1088</v>
      </c>
      <c r="N225" s="71">
        <v>91430364904</v>
      </c>
      <c r="Q225" s="71">
        <v>0</v>
      </c>
      <c r="R225" s="71" t="s">
        <v>775</v>
      </c>
      <c r="S225" s="71" t="s">
        <v>776</v>
      </c>
      <c r="T225" s="71" t="s">
        <v>555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AÇOUGUE</v>
      </c>
      <c r="C226" s="72" t="str">
        <f ca="1">IF(D226="Inativo","Inativo",IFERROR(VLOOKUP($G226,Conf!$F$19:$G$39,2,0),VLOOKUP($S226,Conf!$K:$M,3,0)))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679</v>
      </c>
      <c r="G226" s="71" t="s">
        <v>1089</v>
      </c>
      <c r="H226" s="71">
        <v>1098</v>
      </c>
      <c r="I226" s="71" t="s">
        <v>279</v>
      </c>
      <c r="J226" s="71">
        <v>1</v>
      </c>
      <c r="K226" s="71" t="s">
        <v>223</v>
      </c>
      <c r="L226" s="71" t="s">
        <v>1090</v>
      </c>
      <c r="M226" s="71" t="s">
        <v>1091</v>
      </c>
      <c r="N226" s="71">
        <v>13336391989</v>
      </c>
      <c r="Q226" s="71">
        <v>0</v>
      </c>
      <c r="R226" s="71" t="s">
        <v>234</v>
      </c>
      <c r="S226" s="71" t="s">
        <v>784</v>
      </c>
      <c r="T226" s="71" t="s">
        <v>1092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AÇOUGUE</v>
      </c>
      <c r="C227" s="72" t="str">
        <f ca="1">IF(D227="Inativo","Inativo",IFERROR(VLOOKUP($G227,Conf!$F$19:$G$39,2,0),VLOOKUP($S227,Conf!$K:$M,3,0)))</f>
        <v>AÇOUGUEIRO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804</v>
      </c>
      <c r="G227" s="71" t="s">
        <v>1093</v>
      </c>
      <c r="H227" s="71">
        <v>526</v>
      </c>
      <c r="I227" s="71" t="s">
        <v>222</v>
      </c>
      <c r="J227" s="71">
        <v>1</v>
      </c>
      <c r="K227" s="71" t="s">
        <v>223</v>
      </c>
      <c r="L227" s="71" t="s">
        <v>1094</v>
      </c>
      <c r="M227" s="71" t="s">
        <v>1095</v>
      </c>
      <c r="N227" s="71">
        <v>5411473900</v>
      </c>
      <c r="Q227" s="71">
        <v>0</v>
      </c>
      <c r="R227" s="71" t="s">
        <v>234</v>
      </c>
      <c r="S227" s="71" t="s">
        <v>784</v>
      </c>
      <c r="T227" s="71" t="s">
        <v>1092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AÇOUGUE</v>
      </c>
      <c r="C228" s="72" t="str">
        <f ca="1">IF(D228="Inativo","Inativo",IFERROR(VLOOKUP($G228,Conf!$F$19:$G$39,2,0),VLOOKUP($S228,Conf!$K:$M,3,0)))</f>
        <v>BALCONISTA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7</v>
      </c>
      <c r="G228" s="71" t="s">
        <v>1096</v>
      </c>
      <c r="H228" s="71">
        <v>530</v>
      </c>
      <c r="I228" s="71" t="s">
        <v>222</v>
      </c>
      <c r="J228" s="71">
        <v>1</v>
      </c>
      <c r="K228" s="71" t="s">
        <v>223</v>
      </c>
      <c r="L228" s="71" t="s">
        <v>1097</v>
      </c>
      <c r="M228" s="71" t="s">
        <v>1098</v>
      </c>
      <c r="N228" s="71">
        <v>41845925890</v>
      </c>
      <c r="O228" s="71" t="s">
        <v>245</v>
      </c>
      <c r="P228" s="71" t="s">
        <v>246</v>
      </c>
      <c r="Q228" s="71">
        <v>0</v>
      </c>
      <c r="R228" s="71" t="s">
        <v>792</v>
      </c>
      <c r="S228" s="71" t="s">
        <v>1099</v>
      </c>
      <c r="T228" s="71" t="s">
        <v>794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AÇOUGUE</v>
      </c>
      <c r="C229" s="72" t="str">
        <f ca="1">IF(D229="Inativo","Inativo",IFERROR(VLOOKUP($G229,Conf!$F$19:$G$39,2,0),VLOOKUP($S229,Conf!$K:$M,3,0)))</f>
        <v>BALCONISTA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27</v>
      </c>
      <c r="G229" s="71" t="s">
        <v>1100</v>
      </c>
      <c r="H229" s="71">
        <v>1088</v>
      </c>
      <c r="I229" s="71" t="s">
        <v>222</v>
      </c>
      <c r="J229" s="71">
        <v>1</v>
      </c>
      <c r="K229" s="71" t="s">
        <v>223</v>
      </c>
      <c r="L229" s="71" t="s">
        <v>1101</v>
      </c>
      <c r="M229" s="71" t="s">
        <v>513</v>
      </c>
      <c r="N229" s="71">
        <v>16668739423</v>
      </c>
      <c r="Q229" s="71">
        <v>0</v>
      </c>
      <c r="R229" s="71" t="s">
        <v>1102</v>
      </c>
      <c r="S229" s="71" t="s">
        <v>1099</v>
      </c>
      <c r="T229" s="71" t="s">
        <v>1103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AÇOUGUE</v>
      </c>
      <c r="C230" s="72" t="str">
        <f ca="1">IF(D230="Inativo","Inativo",IFERROR(VLOOKUP($G230,Conf!$F$19:$G$39,2,0),VLOOKUP($S230,Conf!$K:$M,3,0)))</f>
        <v>BALCONISTA</v>
      </c>
      <c r="D230" s="72" t="str">
        <f ca="1">IFERROR(IF(TODAY()-K230&gt;365,"Inativo",IF(J230=2,"Férias",IF(J230=7,"Demitido","Afastamento"))),VLOOKUP(J230,Conf!$H:$I,2,0))</f>
        <v>Férias</v>
      </c>
      <c r="E230" s="71">
        <v>3</v>
      </c>
      <c r="F230" s="71">
        <v>729</v>
      </c>
      <c r="G230" s="71" t="s">
        <v>1104</v>
      </c>
      <c r="H230" s="71">
        <v>1086</v>
      </c>
      <c r="I230" s="71" t="s">
        <v>222</v>
      </c>
      <c r="J230" s="71">
        <v>2</v>
      </c>
      <c r="K230" s="71" t="s">
        <v>471</v>
      </c>
      <c r="L230" s="71" t="s">
        <v>1105</v>
      </c>
      <c r="M230" s="71" t="s">
        <v>1106</v>
      </c>
      <c r="N230" s="71">
        <v>80223838993</v>
      </c>
      <c r="Q230" s="71">
        <v>0</v>
      </c>
      <c r="R230" s="71" t="s">
        <v>580</v>
      </c>
      <c r="S230" s="71" t="s">
        <v>581</v>
      </c>
      <c r="T230" s="71" t="s">
        <v>1107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AÇOUGUE</v>
      </c>
      <c r="C231" s="72" t="str">
        <f ca="1">IF(D231="Inativo","Inativo",IFERROR(VLOOKUP($G231,Conf!$F$19:$G$39,2,0),VLOOKUP($S231,Conf!$K:$M,3,0)))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490</v>
      </c>
      <c r="G231" s="71" t="s">
        <v>1108</v>
      </c>
      <c r="H231" s="71">
        <v>237</v>
      </c>
      <c r="I231" s="71" t="s">
        <v>1109</v>
      </c>
      <c r="J231" s="71">
        <v>1</v>
      </c>
      <c r="K231" s="71" t="s">
        <v>223</v>
      </c>
      <c r="L231" s="71" t="s">
        <v>1110</v>
      </c>
      <c r="M231" s="71" t="s">
        <v>1111</v>
      </c>
      <c r="N231" s="71">
        <v>11678005916</v>
      </c>
      <c r="Q231" s="71">
        <v>0</v>
      </c>
      <c r="R231" s="71" t="s">
        <v>268</v>
      </c>
      <c r="S231" s="71" t="s">
        <v>1112</v>
      </c>
      <c r="T231" s="71" t="s">
        <v>1113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AÇOUGUE</v>
      </c>
      <c r="C232" s="72" t="str">
        <f ca="1">IF(D232="Inativo","Inativo",IFERROR(VLOOKUP($G232,Conf!$F$19:$G$39,2,0),VLOOKUP($S232,Conf!$K:$M,3,0)))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10</v>
      </c>
      <c r="G232" s="71" t="s">
        <v>1114</v>
      </c>
      <c r="H232" s="71">
        <v>3</v>
      </c>
      <c r="I232" s="71" t="s">
        <v>1115</v>
      </c>
      <c r="J232" s="71">
        <v>1</v>
      </c>
      <c r="K232" s="71" t="s">
        <v>223</v>
      </c>
      <c r="L232" s="71" t="s">
        <v>1116</v>
      </c>
      <c r="M232" s="71" t="s">
        <v>1117</v>
      </c>
      <c r="N232" s="71">
        <v>75423553920</v>
      </c>
      <c r="O232" s="71" t="s">
        <v>245</v>
      </c>
      <c r="P232" s="71" t="s">
        <v>246</v>
      </c>
      <c r="Q232" s="71">
        <v>0</v>
      </c>
      <c r="R232" s="71" t="s">
        <v>263</v>
      </c>
      <c r="S232" s="71" t="s">
        <v>1118</v>
      </c>
      <c r="T232" s="71" t="s">
        <v>274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AÇOUGUE</v>
      </c>
      <c r="C233" s="72" t="str">
        <f ca="1">IF(D233="Inativo","Inativo",IFERROR(VLOOKUP($G233,Conf!$F$19:$G$39,2,0),VLOOKUP($S233,Conf!$K:$M,3,0)))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174</v>
      </c>
      <c r="G233" s="71" t="s">
        <v>1119</v>
      </c>
      <c r="H233" s="71">
        <v>1092</v>
      </c>
      <c r="I233" s="71" t="s">
        <v>238</v>
      </c>
      <c r="J233" s="71">
        <v>1</v>
      </c>
      <c r="K233" s="71" t="s">
        <v>223</v>
      </c>
      <c r="L233" s="71" t="s">
        <v>1120</v>
      </c>
      <c r="M233" s="71" t="s">
        <v>763</v>
      </c>
      <c r="N233" s="71">
        <v>14566160998</v>
      </c>
      <c r="O233" s="71" t="s">
        <v>245</v>
      </c>
      <c r="P233" s="71" t="s">
        <v>246</v>
      </c>
      <c r="Q233" s="71">
        <v>0</v>
      </c>
      <c r="R233" s="71" t="s">
        <v>1121</v>
      </c>
      <c r="S233" s="71" t="s">
        <v>1118</v>
      </c>
      <c r="T233" s="71" t="s">
        <v>1122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AÇOUGUE</v>
      </c>
      <c r="C234" s="72" t="str">
        <f ca="1">IF(D234="Inativo","Inativo",IFERROR(VLOOKUP($G234,Conf!$F$19:$G$39,2,0),VLOOKUP($S234,Conf!$K:$M,3,0)))</f>
        <v>ENCARREGADO</v>
      </c>
      <c r="D234" s="72" t="str">
        <f ca="1">IFERROR(IF(TODAY()-K234&gt;365,"Inativo",IF(J234=2,"Férias",IF(J234=7,"Demitido","Afastamento"))),VLOOKUP(J234,Conf!$H:$I,2,0))</f>
        <v>Afastamento</v>
      </c>
      <c r="E234" s="71">
        <v>3</v>
      </c>
      <c r="F234" s="71">
        <v>171</v>
      </c>
      <c r="G234" s="71" t="s">
        <v>1123</v>
      </c>
      <c r="H234" s="71">
        <v>494</v>
      </c>
      <c r="I234" s="71" t="s">
        <v>550</v>
      </c>
      <c r="J234" s="71">
        <v>3</v>
      </c>
      <c r="K234" s="71" t="s">
        <v>3674</v>
      </c>
      <c r="L234" s="71" t="s">
        <v>1124</v>
      </c>
      <c r="M234" s="71" t="s">
        <v>462</v>
      </c>
      <c r="N234" s="71">
        <v>1022894927</v>
      </c>
      <c r="O234" s="71" t="s">
        <v>245</v>
      </c>
      <c r="P234" s="71" t="s">
        <v>246</v>
      </c>
      <c r="Q234" s="71">
        <v>0</v>
      </c>
      <c r="R234" s="71" t="s">
        <v>1125</v>
      </c>
      <c r="S234" s="71" t="s">
        <v>1126</v>
      </c>
      <c r="T234" s="71" t="s">
        <v>1127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ADMINISTRATIVO</v>
      </c>
      <c r="C235" s="72" t="str">
        <f ca="1">IF(D235="Inativo","Inativo",IFERROR(VLOOKUP($G235,Conf!$F$19:$G$39,2,0),VLOOKUP($S235,Conf!$K:$M,3,0)))</f>
        <v>GERENTE</v>
      </c>
      <c r="D235" s="72" t="str">
        <f ca="1">IFERROR(IF(TODAY()-K235&gt;365,"Inativo",IF(J235=2,"Férias",IF(J235=7,"Demitido","Afastamento"))),VLOOKUP(J235,Conf!$H:$I,2,0))</f>
        <v>Demitido</v>
      </c>
      <c r="E235" s="71">
        <v>6</v>
      </c>
      <c r="F235" s="71">
        <v>2074</v>
      </c>
      <c r="G235" s="71" t="s">
        <v>1285</v>
      </c>
      <c r="H235" s="71">
        <v>12</v>
      </c>
      <c r="I235" s="71" t="s">
        <v>639</v>
      </c>
      <c r="J235" s="71">
        <v>7</v>
      </c>
      <c r="K235" s="71" t="s">
        <v>3648</v>
      </c>
      <c r="L235" s="71" t="s">
        <v>1286</v>
      </c>
      <c r="M235" s="71" t="s">
        <v>1287</v>
      </c>
      <c r="N235" s="71">
        <v>6350877900</v>
      </c>
      <c r="Q235" s="71">
        <v>0</v>
      </c>
      <c r="R235" s="71" t="s">
        <v>993</v>
      </c>
      <c r="S235" s="71" t="s">
        <v>643</v>
      </c>
      <c r="T235" s="71" t="s">
        <v>994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ADMINISTRATIVO</v>
      </c>
      <c r="C236" s="72" t="str">
        <f ca="1">IF(D236="Inativo","Inativo",IFERROR(VLOOKUP($G236,Conf!$F$19:$G$39,2,0),VLOOKUP($S236,Conf!$K:$M,3,0)))</f>
        <v>SUBGERENTE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157</v>
      </c>
      <c r="G236" s="71" t="s">
        <v>1307</v>
      </c>
      <c r="H236" s="71">
        <v>12</v>
      </c>
      <c r="I236" s="71" t="s">
        <v>639</v>
      </c>
      <c r="J236" s="71">
        <v>1</v>
      </c>
      <c r="K236" s="71" t="s">
        <v>223</v>
      </c>
      <c r="L236" s="71" t="s">
        <v>1308</v>
      </c>
      <c r="M236" s="71" t="s">
        <v>277</v>
      </c>
      <c r="N236" s="71">
        <v>40034926844</v>
      </c>
      <c r="Q236" s="71">
        <v>0</v>
      </c>
      <c r="R236" s="71" t="s">
        <v>1309</v>
      </c>
      <c r="S236" s="71" t="s">
        <v>1310</v>
      </c>
      <c r="T236" s="71" t="s">
        <v>1311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CONFEITARIA</v>
      </c>
      <c r="C237" s="72" t="str">
        <f ca="1">IF(D237="Inativo","Inativo",IFERROR(VLOOKUP($G237,Conf!$F$19:$G$39,2,0),VLOOKUP($S237,Conf!$K:$M,3,0)))</f>
        <v>ENCARREGADO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135</v>
      </c>
      <c r="G237" s="71" t="s">
        <v>1128</v>
      </c>
      <c r="H237" s="71">
        <v>85</v>
      </c>
      <c r="I237" s="71" t="s">
        <v>1129</v>
      </c>
      <c r="J237" s="71">
        <v>1</v>
      </c>
      <c r="K237" s="71" t="s">
        <v>223</v>
      </c>
      <c r="L237" s="71" t="s">
        <v>1130</v>
      </c>
      <c r="M237" s="71" t="s">
        <v>1131</v>
      </c>
      <c r="N237" s="71">
        <v>4342511940</v>
      </c>
      <c r="Q237" s="71">
        <v>0</v>
      </c>
      <c r="R237" s="71" t="s">
        <v>1132</v>
      </c>
      <c r="S237" s="71" t="s">
        <v>1133</v>
      </c>
      <c r="T237" s="71" t="s">
        <v>1134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DEPOSITO</v>
      </c>
      <c r="C238" s="72" t="str">
        <f ca="1">IF(D238="Inativo","Inativo",IFERROR(VLOOKUP($G238,Conf!$F$19:$G$39,2,0),VLOOKUP($S238,Conf!$K:$M,3,0)))</f>
        <v>RECEBEDOR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799</v>
      </c>
      <c r="G238" s="71" t="s">
        <v>1135</v>
      </c>
      <c r="H238" s="71">
        <v>90</v>
      </c>
      <c r="I238" s="71" t="s">
        <v>1136</v>
      </c>
      <c r="J238" s="71">
        <v>1</v>
      </c>
      <c r="K238" s="71" t="s">
        <v>223</v>
      </c>
      <c r="L238" s="71" t="s">
        <v>1137</v>
      </c>
      <c r="M238" s="71" t="s">
        <v>1138</v>
      </c>
      <c r="N238" s="71">
        <v>58213520963</v>
      </c>
      <c r="Q238" s="71">
        <v>0</v>
      </c>
      <c r="R238" s="71" t="s">
        <v>1139</v>
      </c>
      <c r="S238" s="71" t="s">
        <v>1140</v>
      </c>
      <c r="T238" s="71" t="s">
        <v>1141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DEPOSITO</v>
      </c>
      <c r="C239" s="72" t="str">
        <f ca="1">IF(D239="Inativo","Inativo",IFERROR(VLOOKUP($G239,Conf!$F$19:$G$39,2,0),VLOOKUP($S239,Conf!$K:$M,3,0)))</f>
        <v>CONFERENTE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3</v>
      </c>
      <c r="G239" s="71" t="s">
        <v>1142</v>
      </c>
      <c r="H239" s="71">
        <v>9</v>
      </c>
      <c r="I239" s="71" t="s">
        <v>945</v>
      </c>
      <c r="J239" s="71">
        <v>1</v>
      </c>
      <c r="K239" s="71" t="s">
        <v>223</v>
      </c>
      <c r="L239" s="71" t="s">
        <v>1143</v>
      </c>
      <c r="M239" s="71" t="s">
        <v>1144</v>
      </c>
      <c r="N239" s="71">
        <v>60977922987</v>
      </c>
      <c r="Q239" s="71">
        <v>0</v>
      </c>
      <c r="R239" s="71" t="s">
        <v>329</v>
      </c>
      <c r="S239" s="71" t="s">
        <v>330</v>
      </c>
      <c r="T239" s="71" t="s">
        <v>331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DEPOSITO</v>
      </c>
      <c r="C240" s="72" t="str">
        <f ca="1">IF(D240="Inativo","Inativo",IFERROR(VLOOKUP($G240,Conf!$F$19:$G$39,2,0),VLOOKUP($S240,Conf!$K:$M,3,0)))</f>
        <v>CONTROLADORIA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837</v>
      </c>
      <c r="G240" s="71" t="s">
        <v>1145</v>
      </c>
      <c r="H240" s="71">
        <v>47</v>
      </c>
      <c r="I240" s="71" t="s">
        <v>222</v>
      </c>
      <c r="J240" s="71">
        <v>1</v>
      </c>
      <c r="K240" s="71" t="s">
        <v>223</v>
      </c>
      <c r="L240" s="71" t="s">
        <v>1146</v>
      </c>
      <c r="M240" s="71" t="s">
        <v>1147</v>
      </c>
      <c r="N240" s="71">
        <v>11991721978</v>
      </c>
      <c r="Q240" s="71">
        <v>0</v>
      </c>
      <c r="R240" s="71" t="s">
        <v>343</v>
      </c>
      <c r="S240" s="71" t="s">
        <v>344</v>
      </c>
      <c r="T240" s="71" t="s">
        <v>345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DEPOSITO</v>
      </c>
      <c r="C241" s="72" t="str">
        <f ca="1">IF(D241="Inativo","Inativo",IFERROR(VLOOKUP($G241,Conf!$F$19:$G$39,2,0),VLOOKUP($S241,Conf!$K:$M,3,0)))</f>
        <v>GERENTE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130</v>
      </c>
      <c r="G241" s="71" t="s">
        <v>1148</v>
      </c>
      <c r="H241" s="71">
        <v>5</v>
      </c>
      <c r="I241" s="71" t="s">
        <v>822</v>
      </c>
      <c r="J241" s="71">
        <v>1</v>
      </c>
      <c r="K241" s="71" t="s">
        <v>223</v>
      </c>
      <c r="L241" s="71" t="s">
        <v>1149</v>
      </c>
      <c r="M241" s="71" t="s">
        <v>1150</v>
      </c>
      <c r="N241" s="71">
        <v>10937602906</v>
      </c>
      <c r="Q241" s="71">
        <v>0</v>
      </c>
      <c r="R241" s="71" t="s">
        <v>1151</v>
      </c>
      <c r="S241" s="71" t="s">
        <v>1152</v>
      </c>
      <c r="T241" s="71" t="s">
        <v>1153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ENTREGA</v>
      </c>
      <c r="C242" s="72" t="str">
        <f ca="1">IF(D242="Inativo","Inativo",IFERROR(VLOOKUP($G242,Conf!$F$19:$G$39,2,0),VLOOKUP($S242,Conf!$K:$M,3,0)))</f>
        <v>MOTORISTA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403</v>
      </c>
      <c r="G242" s="71" t="s">
        <v>1154</v>
      </c>
      <c r="H242" s="71">
        <v>1</v>
      </c>
      <c r="I242" s="71" t="s">
        <v>1155</v>
      </c>
      <c r="J242" s="71">
        <v>1</v>
      </c>
      <c r="K242" s="71" t="s">
        <v>223</v>
      </c>
      <c r="L242" s="71" t="s">
        <v>1156</v>
      </c>
      <c r="M242" s="71" t="s">
        <v>1157</v>
      </c>
      <c r="N242" s="71">
        <v>2312046989</v>
      </c>
      <c r="Q242" s="71">
        <v>0</v>
      </c>
      <c r="R242" s="71" t="s">
        <v>835</v>
      </c>
      <c r="S242" s="71" t="s">
        <v>836</v>
      </c>
      <c r="T242" s="71" t="s">
        <v>1158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ENCARREGADO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664</v>
      </c>
      <c r="G243" s="71" t="s">
        <v>1159</v>
      </c>
      <c r="H243" s="71">
        <v>530</v>
      </c>
      <c r="I243" s="71" t="s">
        <v>222</v>
      </c>
      <c r="J243" s="71">
        <v>1</v>
      </c>
      <c r="K243" s="71" t="s">
        <v>223</v>
      </c>
      <c r="L243" s="71" t="s">
        <v>1160</v>
      </c>
      <c r="M243" s="71" t="s">
        <v>1161</v>
      </c>
      <c r="N243" s="71">
        <v>894816900</v>
      </c>
      <c r="Q243" s="71">
        <v>0</v>
      </c>
      <c r="R243" s="71" t="s">
        <v>393</v>
      </c>
      <c r="S243" s="71" t="s">
        <v>394</v>
      </c>
      <c r="T243" s="71" t="s">
        <v>1162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FISCAL DE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858</v>
      </c>
      <c r="G244" s="71" t="s">
        <v>1163</v>
      </c>
      <c r="H244" s="71">
        <v>625</v>
      </c>
      <c r="I244" s="71" t="s">
        <v>850</v>
      </c>
      <c r="J244" s="71">
        <v>1</v>
      </c>
      <c r="K244" s="71" t="s">
        <v>223</v>
      </c>
      <c r="L244" s="71" t="s">
        <v>1164</v>
      </c>
      <c r="M244" s="71" t="s">
        <v>686</v>
      </c>
      <c r="N244" s="71">
        <v>11852406917</v>
      </c>
      <c r="O244" s="71" t="s">
        <v>245</v>
      </c>
      <c r="P244" s="71" t="s">
        <v>246</v>
      </c>
      <c r="Q244" s="71">
        <v>0</v>
      </c>
      <c r="R244" s="71" t="s">
        <v>403</v>
      </c>
      <c r="S244" s="71" t="s">
        <v>404</v>
      </c>
      <c r="T244" s="71" t="s">
        <v>1165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FISCAL DE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797</v>
      </c>
      <c r="G245" s="71" t="s">
        <v>1166</v>
      </c>
      <c r="H245" s="71">
        <v>528</v>
      </c>
      <c r="I245" s="71" t="s">
        <v>222</v>
      </c>
      <c r="J245" s="71">
        <v>1</v>
      </c>
      <c r="K245" s="71" t="s">
        <v>223</v>
      </c>
      <c r="L245" s="71" t="s">
        <v>1167</v>
      </c>
      <c r="M245" s="71" t="s">
        <v>1168</v>
      </c>
      <c r="N245" s="71">
        <v>45447621895</v>
      </c>
      <c r="Q245" s="71">
        <v>0</v>
      </c>
      <c r="R245" s="71" t="s">
        <v>403</v>
      </c>
      <c r="S245" s="71" t="s">
        <v>404</v>
      </c>
      <c r="T245" s="71" t="s">
        <v>1165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FISCAL DE CAIXA</v>
      </c>
      <c r="D246" s="72" t="str">
        <f ca="1">IFERROR(IF(TODAY()-K246&gt;365,"Inativo",IF(J246=2,"Férias",IF(J246=7,"Demitido","Afastamento"))),VLOOKUP(J246,Conf!$H:$I,2,0))</f>
        <v>Demitido</v>
      </c>
      <c r="E246" s="71">
        <v>3</v>
      </c>
      <c r="F246" s="71">
        <v>608</v>
      </c>
      <c r="G246" s="71" t="s">
        <v>1169</v>
      </c>
      <c r="H246" s="71">
        <v>1113</v>
      </c>
      <c r="I246" s="71" t="s">
        <v>383</v>
      </c>
      <c r="J246" s="71">
        <v>7</v>
      </c>
      <c r="K246" s="71" t="s">
        <v>1170</v>
      </c>
      <c r="L246" s="71" t="s">
        <v>1171</v>
      </c>
      <c r="M246" s="71" t="s">
        <v>1172</v>
      </c>
      <c r="N246" s="71">
        <v>14996507446</v>
      </c>
      <c r="Q246" s="71">
        <v>0</v>
      </c>
      <c r="R246" s="71" t="s">
        <v>403</v>
      </c>
      <c r="S246" s="71" t="s">
        <v>404</v>
      </c>
      <c r="T246" s="71" t="s">
        <v>1165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FISCAL DE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862</v>
      </c>
      <c r="G247" s="71" t="s">
        <v>1173</v>
      </c>
      <c r="H247" s="71">
        <v>526</v>
      </c>
      <c r="I247" s="71" t="s">
        <v>222</v>
      </c>
      <c r="J247" s="71">
        <v>1</v>
      </c>
      <c r="K247" s="71" t="s">
        <v>223</v>
      </c>
      <c r="L247" s="71" t="s">
        <v>1174</v>
      </c>
      <c r="M247" s="71" t="s">
        <v>434</v>
      </c>
      <c r="N247" s="71">
        <v>4649356954</v>
      </c>
      <c r="O247" s="71" t="s">
        <v>245</v>
      </c>
      <c r="P247" s="71" t="s">
        <v>246</v>
      </c>
      <c r="Q247" s="71">
        <v>0</v>
      </c>
      <c r="R247" s="71" t="s">
        <v>403</v>
      </c>
      <c r="S247" s="71" t="s">
        <v>404</v>
      </c>
      <c r="T247" s="71" t="s">
        <v>1165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Férias</v>
      </c>
      <c r="E248" s="71">
        <v>3</v>
      </c>
      <c r="F248" s="71">
        <v>833</v>
      </c>
      <c r="G248" s="71" t="s">
        <v>1175</v>
      </c>
      <c r="H248" s="71">
        <v>1085</v>
      </c>
      <c r="I248" s="71" t="s">
        <v>222</v>
      </c>
      <c r="J248" s="71">
        <v>2</v>
      </c>
      <c r="K248" s="71" t="s">
        <v>471</v>
      </c>
      <c r="L248" s="71" t="s">
        <v>1176</v>
      </c>
      <c r="M248" s="71" t="s">
        <v>489</v>
      </c>
      <c r="N248" s="71">
        <v>12232228967</v>
      </c>
      <c r="Q248" s="71">
        <v>0</v>
      </c>
      <c r="R248" s="71" t="s">
        <v>412</v>
      </c>
      <c r="S248" s="71" t="s">
        <v>413</v>
      </c>
      <c r="T248" s="71" t="s">
        <v>1177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Demitido</v>
      </c>
      <c r="E249" s="71">
        <v>3</v>
      </c>
      <c r="F249" s="71">
        <v>851</v>
      </c>
      <c r="G249" s="71" t="s">
        <v>1178</v>
      </c>
      <c r="H249" s="71">
        <v>1077</v>
      </c>
      <c r="I249" s="71" t="s">
        <v>230</v>
      </c>
      <c r="J249" s="71">
        <v>7</v>
      </c>
      <c r="K249" s="71" t="s">
        <v>840</v>
      </c>
      <c r="L249" s="71" t="s">
        <v>1179</v>
      </c>
      <c r="M249" s="71" t="s">
        <v>1180</v>
      </c>
      <c r="N249" s="71">
        <v>12442805936</v>
      </c>
      <c r="Q249" s="71">
        <v>0</v>
      </c>
      <c r="R249" s="71" t="s">
        <v>412</v>
      </c>
      <c r="S249" s="71" t="s">
        <v>413</v>
      </c>
      <c r="T249" s="71" t="s">
        <v>1177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866</v>
      </c>
      <c r="G250" s="71" t="s">
        <v>1181</v>
      </c>
      <c r="H250" s="71">
        <v>524</v>
      </c>
      <c r="I250" s="71" t="s">
        <v>222</v>
      </c>
      <c r="J250" s="71">
        <v>1</v>
      </c>
      <c r="K250" s="71" t="s">
        <v>223</v>
      </c>
      <c r="L250" s="71" t="s">
        <v>1182</v>
      </c>
      <c r="M250" s="71" t="s">
        <v>231</v>
      </c>
      <c r="N250" s="71">
        <v>15499737975</v>
      </c>
      <c r="O250" s="71" t="s">
        <v>245</v>
      </c>
      <c r="P250" s="71" t="s">
        <v>246</v>
      </c>
      <c r="Q250" s="71">
        <v>0</v>
      </c>
      <c r="R250" s="71" t="s">
        <v>412</v>
      </c>
      <c r="S250" s="71" t="s">
        <v>413</v>
      </c>
      <c r="T250" s="71" t="s">
        <v>1177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869</v>
      </c>
      <c r="G251" s="71" t="s">
        <v>3943</v>
      </c>
      <c r="H251" s="71">
        <v>527</v>
      </c>
      <c r="I251" s="71" t="s">
        <v>222</v>
      </c>
      <c r="J251" s="71">
        <v>1</v>
      </c>
      <c r="K251" s="71" t="s">
        <v>223</v>
      </c>
      <c r="L251" s="71" t="s">
        <v>3944</v>
      </c>
      <c r="M251" s="71" t="s">
        <v>3636</v>
      </c>
      <c r="N251" s="71">
        <v>11937283984</v>
      </c>
      <c r="O251" s="71" t="s">
        <v>245</v>
      </c>
      <c r="P251" s="71" t="s">
        <v>246</v>
      </c>
      <c r="Q251" s="71">
        <v>0</v>
      </c>
      <c r="R251" s="71" t="s">
        <v>412</v>
      </c>
      <c r="S251" s="71" t="s">
        <v>413</v>
      </c>
      <c r="T251" s="71" t="s">
        <v>1177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817</v>
      </c>
      <c r="G252" s="71" t="s">
        <v>1183</v>
      </c>
      <c r="H252" s="71">
        <v>1085</v>
      </c>
      <c r="I252" s="71" t="s">
        <v>222</v>
      </c>
      <c r="J252" s="71">
        <v>1</v>
      </c>
      <c r="K252" s="71" t="s">
        <v>223</v>
      </c>
      <c r="L252" s="71" t="s">
        <v>1184</v>
      </c>
      <c r="M252" s="71" t="s">
        <v>1185</v>
      </c>
      <c r="N252" s="71">
        <v>55517944825</v>
      </c>
      <c r="Q252" s="71">
        <v>0</v>
      </c>
      <c r="R252" s="71" t="s">
        <v>412</v>
      </c>
      <c r="S252" s="71" t="s">
        <v>413</v>
      </c>
      <c r="T252" s="71" t="s">
        <v>1177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IF(D253="Inativo","Inativo",IFERROR(VLOOKUP($G253,Conf!$F$19:$G$39,2,0),VLOOKUP($S253,Conf!$K:$M,3,0)))</f>
        <v>OPERADOR</v>
      </c>
      <c r="D253" s="72" t="str">
        <f ca="1">IFERROR(IF(TODAY()-K253&gt;365,"Inativo",IF(J253=2,"Férias",IF(J253=7,"Demitido","Afastamento"))),VLOOKUP(J253,Conf!$H:$I,2,0))</f>
        <v>Demitido</v>
      </c>
      <c r="E253" s="71">
        <v>3</v>
      </c>
      <c r="F253" s="71">
        <v>861</v>
      </c>
      <c r="G253" s="71" t="s">
        <v>1186</v>
      </c>
      <c r="H253" s="71">
        <v>47</v>
      </c>
      <c r="I253" s="71" t="s">
        <v>222</v>
      </c>
      <c r="J253" s="71">
        <v>7</v>
      </c>
      <c r="K253" s="71" t="s">
        <v>1170</v>
      </c>
      <c r="L253" s="71" t="s">
        <v>1187</v>
      </c>
      <c r="M253" s="71" t="s">
        <v>655</v>
      </c>
      <c r="N253" s="71">
        <v>12267974908</v>
      </c>
      <c r="O253" s="71" t="s">
        <v>245</v>
      </c>
      <c r="P253" s="71" t="s">
        <v>246</v>
      </c>
      <c r="Q253" s="71">
        <v>0</v>
      </c>
      <c r="R253" s="71" t="s">
        <v>412</v>
      </c>
      <c r="S253" s="71" t="s">
        <v>413</v>
      </c>
      <c r="T253" s="71" t="s">
        <v>1177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IF(D254="Inativo","Inativo",IFERROR(VLOOKUP($G254,Conf!$F$19:$G$39,2,0),VLOOKUP($S254,Conf!$K:$M,3,0)))</f>
        <v>OPERADOR</v>
      </c>
      <c r="D254" s="72" t="str">
        <f ca="1">IFERROR(IF(TODAY()-K254&gt;365,"Inativo",IF(J254=2,"Férias",IF(J254=7,"Demitido","Afastamento"))),VLOOKUP(J254,Conf!$H:$I,2,0))</f>
        <v>Afastamento</v>
      </c>
      <c r="E254" s="71">
        <v>3</v>
      </c>
      <c r="F254" s="71">
        <v>854</v>
      </c>
      <c r="G254" s="71" t="s">
        <v>1188</v>
      </c>
      <c r="H254" s="71">
        <v>520</v>
      </c>
      <c r="I254" s="71" t="s">
        <v>222</v>
      </c>
      <c r="J254" s="71">
        <v>14</v>
      </c>
      <c r="K254" s="71" t="s">
        <v>3632</v>
      </c>
      <c r="L254" s="71" t="s">
        <v>1189</v>
      </c>
      <c r="M254" s="71" t="s">
        <v>295</v>
      </c>
      <c r="N254" s="71">
        <v>11737958988</v>
      </c>
      <c r="O254" s="71" t="s">
        <v>245</v>
      </c>
      <c r="P254" s="71" t="s">
        <v>246</v>
      </c>
      <c r="Q254" s="71">
        <v>0</v>
      </c>
      <c r="R254" s="71" t="s">
        <v>412</v>
      </c>
      <c r="S254" s="71" t="s">
        <v>413</v>
      </c>
      <c r="T254" s="71" t="s">
        <v>1177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FRENTE DE CAIXA</v>
      </c>
      <c r="C255" s="72" t="str">
        <f ca="1">IF(D255="Inativo","Inativo",IFERROR(VLOOKUP($G255,Conf!$F$19:$G$39,2,0),VLOOKUP($S255,Conf!$K:$M,3,0)))</f>
        <v>OPERADOR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848</v>
      </c>
      <c r="G255" s="71" t="s">
        <v>1190</v>
      </c>
      <c r="H255" s="71">
        <v>1088</v>
      </c>
      <c r="I255" s="71" t="s">
        <v>222</v>
      </c>
      <c r="J255" s="71">
        <v>1</v>
      </c>
      <c r="K255" s="71" t="s">
        <v>223</v>
      </c>
      <c r="L255" s="71" t="s">
        <v>1191</v>
      </c>
      <c r="M255" s="71" t="s">
        <v>889</v>
      </c>
      <c r="N255" s="71">
        <v>2320354905</v>
      </c>
      <c r="Q255" s="71">
        <v>0</v>
      </c>
      <c r="R255" s="71" t="s">
        <v>412</v>
      </c>
      <c r="S255" s="71" t="s">
        <v>413</v>
      </c>
      <c r="T255" s="71" t="s">
        <v>1177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FRENTE DE CAIXA</v>
      </c>
      <c r="C256" s="72" t="str">
        <f ca="1">IF(D256="Inativo","Inativo",IFERROR(VLOOKUP($G256,Conf!$F$19:$G$39,2,0),VLOOKUP($S256,Conf!$K:$M,3,0)))</f>
        <v>OPERADOR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849</v>
      </c>
      <c r="G256" s="71" t="s">
        <v>1192</v>
      </c>
      <c r="H256" s="71">
        <v>1085</v>
      </c>
      <c r="I256" s="71" t="s">
        <v>222</v>
      </c>
      <c r="J256" s="71">
        <v>1</v>
      </c>
      <c r="K256" s="71" t="s">
        <v>223</v>
      </c>
      <c r="L256" s="71" t="s">
        <v>1193</v>
      </c>
      <c r="M256" s="71" t="s">
        <v>889</v>
      </c>
      <c r="N256" s="71">
        <v>36533599968</v>
      </c>
      <c r="Q256" s="71">
        <v>0</v>
      </c>
      <c r="R256" s="71" t="s">
        <v>412</v>
      </c>
      <c r="S256" s="71" t="s">
        <v>413</v>
      </c>
      <c r="T256" s="71" t="s">
        <v>1177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FRENTE DE CAIXA</v>
      </c>
      <c r="C257" s="72" t="str">
        <f ca="1">IF(D257="Inativo","Inativo",IFERROR(VLOOKUP($G257,Conf!$F$19:$G$39,2,0),VLOOKUP($S257,Conf!$K:$M,3,0)))</f>
        <v>OPERADOR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868</v>
      </c>
      <c r="G257" s="71" t="s">
        <v>1194</v>
      </c>
      <c r="H257" s="71">
        <v>47</v>
      </c>
      <c r="I257" s="71" t="s">
        <v>222</v>
      </c>
      <c r="J257" s="71">
        <v>1</v>
      </c>
      <c r="K257" s="71" t="s">
        <v>223</v>
      </c>
      <c r="L257" s="71" t="s">
        <v>1195</v>
      </c>
      <c r="M257" s="71" t="s">
        <v>1117</v>
      </c>
      <c r="N257" s="71">
        <v>37646319880</v>
      </c>
      <c r="O257" s="71" t="s">
        <v>245</v>
      </c>
      <c r="P257" s="71" t="s">
        <v>246</v>
      </c>
      <c r="Q257" s="71">
        <v>0</v>
      </c>
      <c r="R257" s="71" t="s">
        <v>412</v>
      </c>
      <c r="S257" s="71" t="s">
        <v>413</v>
      </c>
      <c r="T257" s="71" t="s">
        <v>1177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FRENTE DE CAIXA</v>
      </c>
      <c r="C258" s="72" t="str">
        <f ca="1">IF(D258="Inativo","Inativo",IFERROR(VLOOKUP($G258,Conf!$F$19:$G$39,2,0),VLOOKUP($S258,Conf!$K:$M,3,0)))</f>
        <v>OPERADOR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857</v>
      </c>
      <c r="G258" s="71" t="s">
        <v>1196</v>
      </c>
      <c r="H258" s="71">
        <v>530</v>
      </c>
      <c r="I258" s="71" t="s">
        <v>222</v>
      </c>
      <c r="J258" s="71">
        <v>1</v>
      </c>
      <c r="K258" s="71" t="s">
        <v>223</v>
      </c>
      <c r="L258" s="71" t="s">
        <v>1197</v>
      </c>
      <c r="M258" s="71" t="s">
        <v>446</v>
      </c>
      <c r="N258" s="71">
        <v>13096975906</v>
      </c>
      <c r="O258" s="71" t="s">
        <v>245</v>
      </c>
      <c r="P258" s="71" t="s">
        <v>246</v>
      </c>
      <c r="Q258" s="71">
        <v>0</v>
      </c>
      <c r="R258" s="71" t="s">
        <v>412</v>
      </c>
      <c r="S258" s="71" t="s">
        <v>413</v>
      </c>
      <c r="T258" s="71" t="s">
        <v>1177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FRENTE DE CAIXA</v>
      </c>
      <c r="C259" s="72" t="str">
        <f ca="1">IF(D259="Inativo","Inativo",IFERROR(VLOOKUP($G259,Conf!$F$19:$G$39,2,0),VLOOKUP($S259,Conf!$K:$M,3,0)))</f>
        <v>OPERADOR</v>
      </c>
      <c r="D259" s="72" t="str">
        <f ca="1">IFERROR(IF(TODAY()-K259&gt;365,"Inativo",IF(J259=2,"Férias",IF(J259=7,"Demitido","Afastamento"))),VLOOKUP(J259,Conf!$H:$I,2,0))</f>
        <v>Demitido</v>
      </c>
      <c r="E259" s="71">
        <v>3</v>
      </c>
      <c r="F259" s="71">
        <v>864</v>
      </c>
      <c r="G259" s="71" t="s">
        <v>1198</v>
      </c>
      <c r="H259" s="71">
        <v>522</v>
      </c>
      <c r="I259" s="71" t="s">
        <v>222</v>
      </c>
      <c r="J259" s="71">
        <v>7</v>
      </c>
      <c r="K259" s="71" t="s">
        <v>460</v>
      </c>
      <c r="L259" s="71" t="s">
        <v>1199</v>
      </c>
      <c r="M259" s="71" t="s">
        <v>886</v>
      </c>
      <c r="N259" s="71">
        <v>1381786901</v>
      </c>
      <c r="O259" s="71" t="s">
        <v>245</v>
      </c>
      <c r="P259" s="71" t="s">
        <v>246</v>
      </c>
      <c r="Q259" s="71">
        <v>0</v>
      </c>
      <c r="R259" s="71" t="s">
        <v>412</v>
      </c>
      <c r="S259" s="71" t="s">
        <v>413</v>
      </c>
      <c r="T259" s="71" t="s">
        <v>1177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FRENTE DE CAIXA</v>
      </c>
      <c r="C260" s="72" t="str">
        <f ca="1">IF(D260="Inativo","Inativo",IFERROR(VLOOKUP($G260,Conf!$F$19:$G$39,2,0),VLOOKUP($S260,Conf!$K:$M,3,0)))</f>
        <v>OPERADOR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835</v>
      </c>
      <c r="G260" s="71" t="s">
        <v>1200</v>
      </c>
      <c r="H260" s="71">
        <v>1070</v>
      </c>
      <c r="I260" s="71" t="s">
        <v>657</v>
      </c>
      <c r="J260" s="71">
        <v>1</v>
      </c>
      <c r="K260" s="71" t="s">
        <v>223</v>
      </c>
      <c r="L260" s="71" t="s">
        <v>1201</v>
      </c>
      <c r="M260" s="71" t="s">
        <v>1202</v>
      </c>
      <c r="N260" s="71">
        <v>11816550990</v>
      </c>
      <c r="Q260" s="71">
        <v>0</v>
      </c>
      <c r="R260" s="71" t="s">
        <v>412</v>
      </c>
      <c r="S260" s="71" t="s">
        <v>413</v>
      </c>
      <c r="T260" s="71" t="s">
        <v>1177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FRENTE DE CAIXA</v>
      </c>
      <c r="C261" s="72" t="str">
        <f ca="1">IF(D261="Inativo","Inativo",IFERROR(VLOOKUP($G261,Conf!$F$19:$G$39,2,0),VLOOKUP($S261,Conf!$K:$M,3,0)))</f>
        <v>OPERADOR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850</v>
      </c>
      <c r="G261" s="71" t="s">
        <v>1203</v>
      </c>
      <c r="H261" s="71">
        <v>522</v>
      </c>
      <c r="I261" s="71" t="s">
        <v>222</v>
      </c>
      <c r="J261" s="71">
        <v>1</v>
      </c>
      <c r="K261" s="71" t="s">
        <v>223</v>
      </c>
      <c r="L261" s="71" t="s">
        <v>1204</v>
      </c>
      <c r="M261" s="71" t="s">
        <v>1180</v>
      </c>
      <c r="N261" s="71">
        <v>11706293933</v>
      </c>
      <c r="Q261" s="71">
        <v>0</v>
      </c>
      <c r="R261" s="71" t="s">
        <v>412</v>
      </c>
      <c r="S261" s="71" t="s">
        <v>413</v>
      </c>
      <c r="T261" s="71" t="s">
        <v>1177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FRENTE DE CAIXA</v>
      </c>
      <c r="C262" s="72" t="str">
        <f ca="1">IF(D262="Inativo","Inativo",IFERROR(VLOOKUP($G262,Conf!$F$19:$G$39,2,0),VLOOKUP($S262,Conf!$K:$M,3,0)))</f>
        <v>OPERADOR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853</v>
      </c>
      <c r="G262" s="71" t="s">
        <v>1205</v>
      </c>
      <c r="H262" s="71">
        <v>523</v>
      </c>
      <c r="I262" s="71" t="s">
        <v>222</v>
      </c>
      <c r="J262" s="71">
        <v>1</v>
      </c>
      <c r="K262" s="71" t="s">
        <v>223</v>
      </c>
      <c r="L262" s="71" t="s">
        <v>1206</v>
      </c>
      <c r="M262" s="71" t="s">
        <v>1207</v>
      </c>
      <c r="N262" s="71">
        <v>58414746934</v>
      </c>
      <c r="O262" s="71" t="s">
        <v>245</v>
      </c>
      <c r="P262" s="71" t="s">
        <v>246</v>
      </c>
      <c r="Q262" s="71">
        <v>0</v>
      </c>
      <c r="R262" s="71" t="s">
        <v>412</v>
      </c>
      <c r="S262" s="71" t="s">
        <v>413</v>
      </c>
      <c r="T262" s="71" t="s">
        <v>1177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FRENTE DE CAIXA</v>
      </c>
      <c r="C263" s="72" t="str">
        <f ca="1">IF(D263="Inativo","Inativo",IFERROR(VLOOKUP($G263,Conf!$F$19:$G$39,2,0),VLOOKUP($S263,Conf!$K:$M,3,0)))</f>
        <v>OPERADOR</v>
      </c>
      <c r="D263" s="72" t="str">
        <f ca="1">IFERROR(IF(TODAY()-K263&gt;365,"Inativo",IF(J263=2,"Férias",IF(J263=7,"Demitido","Afastamento"))),VLOOKUP(J263,Conf!$H:$I,2,0))</f>
        <v>Afastamento</v>
      </c>
      <c r="E263" s="71">
        <v>3</v>
      </c>
      <c r="F263" s="71">
        <v>843</v>
      </c>
      <c r="G263" s="71" t="s">
        <v>1208</v>
      </c>
      <c r="H263" s="71">
        <v>1088</v>
      </c>
      <c r="I263" s="71" t="s">
        <v>222</v>
      </c>
      <c r="J263" s="71">
        <v>3</v>
      </c>
      <c r="K263" s="71" t="s">
        <v>933</v>
      </c>
      <c r="L263" s="71" t="s">
        <v>1209</v>
      </c>
      <c r="M263" s="71" t="s">
        <v>1210</v>
      </c>
      <c r="N263" s="71">
        <v>11448928990</v>
      </c>
      <c r="Q263" s="71">
        <v>0</v>
      </c>
      <c r="R263" s="71" t="s">
        <v>412</v>
      </c>
      <c r="S263" s="71" t="s">
        <v>413</v>
      </c>
      <c r="T263" s="71" t="s">
        <v>1177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FRENTE DE CAIXA</v>
      </c>
      <c r="C264" s="72" t="str">
        <f ca="1">IF(D264="Inativo","Inativo",IFERROR(VLOOKUP($G264,Conf!$F$19:$G$39,2,0),VLOOKUP($S264,Conf!$K:$M,3,0)))</f>
        <v>OPERADOR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867</v>
      </c>
      <c r="G264" s="71" t="s">
        <v>1211</v>
      </c>
      <c r="H264" s="71">
        <v>922</v>
      </c>
      <c r="I264" s="71" t="s">
        <v>222</v>
      </c>
      <c r="J264" s="71">
        <v>1</v>
      </c>
      <c r="K264" s="71" t="s">
        <v>223</v>
      </c>
      <c r="L264" s="71" t="s">
        <v>1212</v>
      </c>
      <c r="M264" s="71" t="s">
        <v>933</v>
      </c>
      <c r="N264" s="71">
        <v>16196266918</v>
      </c>
      <c r="O264" s="71" t="s">
        <v>245</v>
      </c>
      <c r="P264" s="71" t="s">
        <v>246</v>
      </c>
      <c r="Q264" s="71">
        <v>0</v>
      </c>
      <c r="R264" s="71" t="s">
        <v>412</v>
      </c>
      <c r="S264" s="71" t="s">
        <v>413</v>
      </c>
      <c r="T264" s="71" t="s">
        <v>1177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FRENTE DE CAIXA</v>
      </c>
      <c r="C265" s="72" t="str">
        <f ca="1">IF(D265="Inativo","Inativo",IFERROR(VLOOKUP($G265,Conf!$F$19:$G$39,2,0),VLOOKUP($S265,Conf!$K:$M,3,0)))</f>
        <v>OPERADOR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830</v>
      </c>
      <c r="G265" s="71" t="s">
        <v>1213</v>
      </c>
      <c r="H265" s="71">
        <v>1089</v>
      </c>
      <c r="I265" s="71" t="s">
        <v>222</v>
      </c>
      <c r="J265" s="71">
        <v>1</v>
      </c>
      <c r="K265" s="71" t="s">
        <v>223</v>
      </c>
      <c r="L265" s="71" t="s">
        <v>1214</v>
      </c>
      <c r="M265" s="71" t="s">
        <v>1215</v>
      </c>
      <c r="N265" s="71">
        <v>17716387456</v>
      </c>
      <c r="Q265" s="71">
        <v>0</v>
      </c>
      <c r="R265" s="71" t="s">
        <v>412</v>
      </c>
      <c r="S265" s="71" t="s">
        <v>413</v>
      </c>
      <c r="T265" s="71" t="s">
        <v>1177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FRIOS</v>
      </c>
      <c r="C266" s="72" t="str">
        <f ca="1">IF(D266="Inativo","Inativo",IFERROR(VLOOKUP($G266,Conf!$F$19:$G$39,2,0),VLOOKUP($S266,Conf!$K:$M,3,0)))</f>
        <v>BALCONISTA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709</v>
      </c>
      <c r="G266" s="71" t="s">
        <v>1216</v>
      </c>
      <c r="H266" s="71">
        <v>520</v>
      </c>
      <c r="I266" s="71" t="s">
        <v>222</v>
      </c>
      <c r="J266" s="71">
        <v>1</v>
      </c>
      <c r="K266" s="71" t="s">
        <v>223</v>
      </c>
      <c r="L266" s="71" t="s">
        <v>1217</v>
      </c>
      <c r="M266" s="71" t="s">
        <v>1218</v>
      </c>
      <c r="N266" s="71">
        <v>6306256970</v>
      </c>
      <c r="Q266" s="71">
        <v>0</v>
      </c>
      <c r="R266" s="71" t="s">
        <v>504</v>
      </c>
      <c r="S266" s="71" t="s">
        <v>505</v>
      </c>
      <c r="T266" s="71" t="s">
        <v>1219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FRIOS</v>
      </c>
      <c r="C267" s="72" t="str">
        <f ca="1">IF(D267="Inativo","Inativo",IFERROR(VLOOKUP($G267,Conf!$F$19:$G$39,2,0),VLOOKUP($S267,Conf!$K:$M,3,0)))</f>
        <v>ENCARREGADO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9</v>
      </c>
      <c r="G267" s="71" t="s">
        <v>1220</v>
      </c>
      <c r="H267" s="71">
        <v>44</v>
      </c>
      <c r="I267" s="71" t="s">
        <v>550</v>
      </c>
      <c r="J267" s="71">
        <v>1</v>
      </c>
      <c r="K267" s="71" t="s">
        <v>223</v>
      </c>
      <c r="L267" s="71" t="s">
        <v>1221</v>
      </c>
      <c r="M267" s="71" t="s">
        <v>688</v>
      </c>
      <c r="N267" s="71">
        <v>3886062902</v>
      </c>
      <c r="O267" s="71" t="s">
        <v>245</v>
      </c>
      <c r="P267" s="71" t="s">
        <v>246</v>
      </c>
      <c r="Q267" s="71">
        <v>0</v>
      </c>
      <c r="R267" s="71" t="s">
        <v>1222</v>
      </c>
      <c r="S267" s="71" t="s">
        <v>1223</v>
      </c>
      <c r="T267" s="71" t="s">
        <v>1224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FRIOS</v>
      </c>
      <c r="C268" s="72" t="str">
        <f ca="1">IF(D268="Inativo","Inativo",IFERROR(VLOOKUP($G268,Conf!$F$19:$G$39,2,0),VLOOKUP($S268,Conf!$K:$M,3,0)))</f>
        <v>REPOSITOR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14</v>
      </c>
      <c r="G268" s="71" t="s">
        <v>3935</v>
      </c>
      <c r="H268" s="71">
        <v>47</v>
      </c>
      <c r="I268" s="71" t="s">
        <v>222</v>
      </c>
      <c r="J268" s="71">
        <v>1</v>
      </c>
      <c r="K268" s="71" t="s">
        <v>223</v>
      </c>
      <c r="L268" s="71" t="s">
        <v>3936</v>
      </c>
      <c r="M268" s="71" t="s">
        <v>3632</v>
      </c>
      <c r="N268" s="71">
        <v>14392426904</v>
      </c>
      <c r="O268" s="71" t="s">
        <v>245</v>
      </c>
      <c r="P268" s="71" t="s">
        <v>246</v>
      </c>
      <c r="Q268" s="71">
        <v>0</v>
      </c>
      <c r="R268" s="71" t="s">
        <v>518</v>
      </c>
      <c r="S268" s="71" t="s">
        <v>3937</v>
      </c>
      <c r="T268" s="71" t="s">
        <v>520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FRIOS</v>
      </c>
      <c r="C269" s="72" t="str">
        <f ca="1">IF(D269="Inativo","Inativo",IFERROR(VLOOKUP($G269,Conf!$F$19:$G$39,2,0),VLOOKUP($S269,Conf!$K:$M,3,0)))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15</v>
      </c>
      <c r="G269" s="71" t="s">
        <v>3938</v>
      </c>
      <c r="H269" s="71">
        <v>47</v>
      </c>
      <c r="I269" s="71" t="s">
        <v>222</v>
      </c>
      <c r="J269" s="71">
        <v>1</v>
      </c>
      <c r="K269" s="71" t="s">
        <v>223</v>
      </c>
      <c r="L269" s="71" t="s">
        <v>3074</v>
      </c>
      <c r="M269" s="71" t="s">
        <v>3674</v>
      </c>
      <c r="N269" s="71">
        <v>11318346908</v>
      </c>
      <c r="O269" s="71" t="s">
        <v>245</v>
      </c>
      <c r="P269" s="71" t="s">
        <v>246</v>
      </c>
      <c r="Q269" s="71">
        <v>0</v>
      </c>
      <c r="R269" s="71" t="s">
        <v>518</v>
      </c>
      <c r="S269" s="71" t="s">
        <v>3937</v>
      </c>
      <c r="T269" s="71" t="s">
        <v>520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FRIOS</v>
      </c>
      <c r="C270" s="72" t="str">
        <f ca="1">IF(D270="Inativo","Inativo",IFERROR(VLOOKUP($G270,Conf!$F$19:$G$39,2,0),VLOOKUP($S270,Conf!$K:$M,3,0)))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705</v>
      </c>
      <c r="G270" s="71" t="s">
        <v>1225</v>
      </c>
      <c r="H270" s="71">
        <v>1088</v>
      </c>
      <c r="I270" s="71" t="s">
        <v>222</v>
      </c>
      <c r="J270" s="71">
        <v>1</v>
      </c>
      <c r="K270" s="71" t="s">
        <v>223</v>
      </c>
      <c r="L270" s="71" t="s">
        <v>1226</v>
      </c>
      <c r="M270" s="71" t="s">
        <v>1227</v>
      </c>
      <c r="N270" s="71">
        <v>70999627953</v>
      </c>
      <c r="Q270" s="71">
        <v>0</v>
      </c>
      <c r="R270" s="71" t="s">
        <v>1228</v>
      </c>
      <c r="S270" s="71" t="s">
        <v>1229</v>
      </c>
      <c r="T270" s="71" t="s">
        <v>1230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HORTIFRUTI</v>
      </c>
      <c r="C271" s="72" t="str">
        <f ca="1">IF(D271="Inativo","Inativo",IFERROR(VLOOKUP($G271,Conf!$F$19:$G$39,2,0),VLOOKUP($S271,Conf!$K:$M,3,0)))</f>
        <v>GERENTE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46</v>
      </c>
      <c r="G271" s="71" t="s">
        <v>1231</v>
      </c>
      <c r="H271" s="71">
        <v>971</v>
      </c>
      <c r="I271" s="71" t="s">
        <v>230</v>
      </c>
      <c r="J271" s="71">
        <v>1</v>
      </c>
      <c r="K271" s="71" t="s">
        <v>223</v>
      </c>
      <c r="L271" s="71" t="s">
        <v>1232</v>
      </c>
      <c r="M271" s="71" t="s">
        <v>1233</v>
      </c>
      <c r="N271" s="71">
        <v>9325399989</v>
      </c>
      <c r="Q271" s="71">
        <v>0</v>
      </c>
      <c r="R271" s="71" t="s">
        <v>1234</v>
      </c>
      <c r="S271" s="71" t="s">
        <v>1235</v>
      </c>
      <c r="T271" s="71" t="s">
        <v>1236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HORTIFRUTI</v>
      </c>
      <c r="C272" s="72" t="str">
        <f ca="1">IF(D272="Inativo","Inativo",IFERROR(VLOOKUP($G272,Conf!$F$19:$G$39,2,0),VLOOKUP($S272,Conf!$K:$M,3,0)))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185</v>
      </c>
      <c r="G272" s="71" t="s">
        <v>1237</v>
      </c>
      <c r="H272" s="71">
        <v>528</v>
      </c>
      <c r="I272" s="71" t="s">
        <v>222</v>
      </c>
      <c r="J272" s="71">
        <v>1</v>
      </c>
      <c r="K272" s="71" t="s">
        <v>223</v>
      </c>
      <c r="L272" s="71" t="s">
        <v>1238</v>
      </c>
      <c r="M272" s="71" t="s">
        <v>1239</v>
      </c>
      <c r="N272" s="71">
        <v>45790531920</v>
      </c>
      <c r="O272" s="71" t="s">
        <v>245</v>
      </c>
      <c r="P272" s="71" t="s">
        <v>246</v>
      </c>
      <c r="Q272" s="71">
        <v>0</v>
      </c>
      <c r="R272" s="71" t="s">
        <v>1240</v>
      </c>
      <c r="S272" s="71" t="s">
        <v>1241</v>
      </c>
      <c r="T272" s="71" t="s">
        <v>1242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HORTIFRUTI</v>
      </c>
      <c r="C273" s="72" t="str">
        <f ca="1">IF(D273="Inativo","Inativo",IFERROR(VLOOKUP($G273,Conf!$F$19:$G$39,2,0),VLOOKUP($S273,Conf!$K:$M,3,0)))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196</v>
      </c>
      <c r="G273" s="71" t="s">
        <v>1243</v>
      </c>
      <c r="H273" s="71">
        <v>529</v>
      </c>
      <c r="I273" s="71" t="s">
        <v>222</v>
      </c>
      <c r="J273" s="71">
        <v>1</v>
      </c>
      <c r="K273" s="71" t="s">
        <v>223</v>
      </c>
      <c r="L273" s="71" t="s">
        <v>1244</v>
      </c>
      <c r="M273" s="71" t="s">
        <v>604</v>
      </c>
      <c r="N273" s="71">
        <v>15077584990</v>
      </c>
      <c r="O273" s="71" t="s">
        <v>245</v>
      </c>
      <c r="P273" s="71" t="s">
        <v>246</v>
      </c>
      <c r="Q273" s="71">
        <v>0</v>
      </c>
      <c r="R273" s="71" t="s">
        <v>1240</v>
      </c>
      <c r="S273" s="71" t="s">
        <v>1241</v>
      </c>
      <c r="T273" s="71" t="s">
        <v>1242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HORTIFRUTI</v>
      </c>
      <c r="C274" s="72" t="str">
        <f ca="1">IF(D274="Inativo","Inativo",IFERROR(VLOOKUP($G274,Conf!$F$19:$G$39,2,0),VLOOKUP($S274,Conf!$K:$M,3,0)))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112</v>
      </c>
      <c r="G274" s="71" t="s">
        <v>1245</v>
      </c>
      <c r="H274" s="71">
        <v>379</v>
      </c>
      <c r="I274" s="71" t="s">
        <v>473</v>
      </c>
      <c r="J274" s="71">
        <v>1</v>
      </c>
      <c r="K274" s="71" t="s">
        <v>223</v>
      </c>
      <c r="L274" s="71" t="s">
        <v>1246</v>
      </c>
      <c r="M274" s="71" t="s">
        <v>671</v>
      </c>
      <c r="N274" s="71">
        <v>12320312919</v>
      </c>
      <c r="Q274" s="71">
        <v>0</v>
      </c>
      <c r="R274" s="71" t="s">
        <v>1240</v>
      </c>
      <c r="S274" s="71" t="s">
        <v>1241</v>
      </c>
      <c r="T274" s="71" t="s">
        <v>1242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HORTIFRUTI</v>
      </c>
      <c r="C275" s="72" t="str">
        <f ca="1">IF(D275="Inativo","Inativo",IFERROR(VLOOKUP($G275,Conf!$F$19:$G$39,2,0),VLOOKUP($S275,Conf!$K:$M,3,0)))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96</v>
      </c>
      <c r="G275" s="71" t="s">
        <v>1247</v>
      </c>
      <c r="H275" s="71">
        <v>1088</v>
      </c>
      <c r="I275" s="71" t="s">
        <v>222</v>
      </c>
      <c r="J275" s="71">
        <v>1</v>
      </c>
      <c r="K275" s="71" t="s">
        <v>223</v>
      </c>
      <c r="L275" s="71" t="s">
        <v>1248</v>
      </c>
      <c r="M275" s="71" t="s">
        <v>1249</v>
      </c>
      <c r="N275" s="71">
        <v>8237480902</v>
      </c>
      <c r="Q275" s="71">
        <v>0</v>
      </c>
      <c r="R275" s="71" t="s">
        <v>1240</v>
      </c>
      <c r="S275" s="71" t="s">
        <v>1241</v>
      </c>
      <c r="T275" s="71" t="s">
        <v>1242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Inativo</v>
      </c>
      <c r="C276" s="72" t="str">
        <f ca="1">IF(D276="Inativo","Inativo",IFERROR(VLOOKUP($G276,Conf!$F$19:$G$39,2,0),VLOOKUP($S276,Conf!$K:$M,3,0)))</f>
        <v>Inativo</v>
      </c>
      <c r="D276" s="72" t="str">
        <f ca="1">IFERROR(IF(TODAY()-K276&gt;365,"Inativo",IF(J276=2,"Férias",IF(J276=7,"Demitido","Afastamento"))),VLOOKUP(J276,Conf!$H:$I,2,0))</f>
        <v>Inativo</v>
      </c>
      <c r="E276" s="71">
        <v>3</v>
      </c>
      <c r="F276" s="71">
        <v>88</v>
      </c>
      <c r="G276" s="71" t="s">
        <v>1250</v>
      </c>
      <c r="H276" s="71">
        <v>40</v>
      </c>
      <c r="I276" s="71" t="s">
        <v>1251</v>
      </c>
      <c r="J276" s="71">
        <v>22</v>
      </c>
      <c r="K276" s="71" t="s">
        <v>1252</v>
      </c>
      <c r="L276" s="71" t="s">
        <v>1253</v>
      </c>
      <c r="M276" s="71" t="s">
        <v>1254</v>
      </c>
      <c r="N276" s="71">
        <v>31716321875</v>
      </c>
      <c r="Q276" s="71">
        <v>0</v>
      </c>
      <c r="R276" s="71" t="s">
        <v>587</v>
      </c>
      <c r="S276" s="71" t="s">
        <v>588</v>
      </c>
      <c r="T276" s="71" t="s">
        <v>589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LIMPEZA</v>
      </c>
      <c r="C277" s="72" t="str">
        <f ca="1">IF(D277="Inativo","Inativo",IFERROR(VLOOKUP($G277,Conf!$F$19:$G$39,2,0),VLOOKUP($S277,Conf!$K:$M,3,0)))</f>
        <v>ZELADOR(A)</v>
      </c>
      <c r="D277" s="72" t="str">
        <f ca="1">IFERROR(IF(TODAY()-K277&gt;365,"Inativo",IF(J277=2,"Férias",IF(J277=7,"Demitido","Afastamento"))),VLOOKUP(J277,Conf!$H:$I,2,0))</f>
        <v>Férias</v>
      </c>
      <c r="E277" s="71">
        <v>3</v>
      </c>
      <c r="F277" s="71">
        <v>74</v>
      </c>
      <c r="G277" s="71" t="s">
        <v>1255</v>
      </c>
      <c r="H277" s="71">
        <v>1088</v>
      </c>
      <c r="I277" s="71" t="s">
        <v>222</v>
      </c>
      <c r="J277" s="71">
        <v>2</v>
      </c>
      <c r="K277" s="71" t="s">
        <v>527</v>
      </c>
      <c r="L277" s="71" t="s">
        <v>1256</v>
      </c>
      <c r="M277" s="71" t="s">
        <v>1257</v>
      </c>
      <c r="N277" s="71">
        <v>7152320454</v>
      </c>
      <c r="Q277" s="71">
        <v>0</v>
      </c>
      <c r="R277" s="71" t="s">
        <v>1258</v>
      </c>
      <c r="S277" s="71" t="s">
        <v>1259</v>
      </c>
      <c r="T277" s="71" t="s">
        <v>1260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LIMPEZA</v>
      </c>
      <c r="C278" s="72" t="str">
        <f ca="1">IF(D278="Inativo","Inativo",IFERROR(VLOOKUP($G278,Conf!$F$19:$G$39,2,0),VLOOKUP($S278,Conf!$K:$M,3,0)))</f>
        <v>ZELADOR(A)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17</v>
      </c>
      <c r="G278" s="71" t="s">
        <v>3941</v>
      </c>
      <c r="H278" s="71">
        <v>528</v>
      </c>
      <c r="I278" s="71" t="s">
        <v>222</v>
      </c>
      <c r="J278" s="71">
        <v>1</v>
      </c>
      <c r="K278" s="71" t="s">
        <v>223</v>
      </c>
      <c r="L278" s="71" t="s">
        <v>3942</v>
      </c>
      <c r="M278" s="71" t="s">
        <v>3636</v>
      </c>
      <c r="N278" s="71">
        <v>1995506974</v>
      </c>
      <c r="O278" s="71" t="s">
        <v>245</v>
      </c>
      <c r="P278" s="71" t="s">
        <v>246</v>
      </c>
      <c r="Q278" s="71">
        <v>0</v>
      </c>
      <c r="R278" s="71" t="s">
        <v>3930</v>
      </c>
      <c r="S278" s="71" t="s">
        <v>3931</v>
      </c>
      <c r="T278" s="71" t="s">
        <v>3932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LIMPEZA</v>
      </c>
      <c r="C279" s="72" t="str">
        <f ca="1">IF(D279="Inativo","Inativo",IFERROR(VLOOKUP($G279,Conf!$F$19:$G$39,2,0),VLOOKUP($S279,Conf!$K:$M,3,0)))</f>
        <v>ZELADOR(A)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12</v>
      </c>
      <c r="G279" s="71" t="s">
        <v>3928</v>
      </c>
      <c r="H279" s="71">
        <v>971</v>
      </c>
      <c r="I279" s="71" t="s">
        <v>230</v>
      </c>
      <c r="J279" s="71">
        <v>1</v>
      </c>
      <c r="K279" s="71" t="s">
        <v>223</v>
      </c>
      <c r="L279" s="71" t="s">
        <v>3929</v>
      </c>
      <c r="M279" s="71" t="s">
        <v>3632</v>
      </c>
      <c r="N279" s="71">
        <v>32508827800</v>
      </c>
      <c r="O279" s="71" t="s">
        <v>245</v>
      </c>
      <c r="P279" s="71" t="s">
        <v>246</v>
      </c>
      <c r="Q279" s="71">
        <v>0</v>
      </c>
      <c r="R279" s="71" t="s">
        <v>3930</v>
      </c>
      <c r="S279" s="71" t="s">
        <v>3931</v>
      </c>
      <c r="T279" s="71" t="s">
        <v>3932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LOJA</v>
      </c>
      <c r="C280" s="72" t="str">
        <f ca="1">IF(D280="Inativo","Inativo",IFERROR(VLOOKUP($G280,Conf!$F$19:$G$39,2,0),VLOOKUP($S280,Conf!$K:$M,3,0)))</f>
        <v>APRENDIZ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860</v>
      </c>
      <c r="G280" s="71" t="s">
        <v>1261</v>
      </c>
      <c r="H280" s="71">
        <v>205</v>
      </c>
      <c r="I280" s="71" t="s">
        <v>602</v>
      </c>
      <c r="J280" s="71">
        <v>1</v>
      </c>
      <c r="K280" s="71" t="s">
        <v>223</v>
      </c>
      <c r="L280" s="71" t="s">
        <v>1262</v>
      </c>
      <c r="M280" s="71" t="s">
        <v>604</v>
      </c>
      <c r="N280" s="71">
        <v>11945185910</v>
      </c>
      <c r="O280" s="71" t="s">
        <v>245</v>
      </c>
      <c r="P280" s="71" t="s">
        <v>246</v>
      </c>
      <c r="Q280" s="71">
        <v>0</v>
      </c>
      <c r="R280" s="71" t="s">
        <v>605</v>
      </c>
      <c r="S280" s="71" t="s">
        <v>606</v>
      </c>
      <c r="T280" s="71" t="s">
        <v>1263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LOJA</v>
      </c>
      <c r="C281" s="72" t="str">
        <f ca="1">IF(D281="Inativo","Inativo",IFERROR(VLOOKUP($G281,Conf!$F$19:$G$39,2,0),VLOOKUP($S281,Conf!$K:$M,3,0)))</f>
        <v>APRENDIZ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194</v>
      </c>
      <c r="G281" s="71" t="s">
        <v>1264</v>
      </c>
      <c r="H281" s="71">
        <v>205</v>
      </c>
      <c r="I281" s="71" t="s">
        <v>602</v>
      </c>
      <c r="J281" s="71">
        <v>1</v>
      </c>
      <c r="K281" s="71" t="s">
        <v>223</v>
      </c>
      <c r="L281" s="71" t="s">
        <v>1265</v>
      </c>
      <c r="M281" s="71" t="s">
        <v>604</v>
      </c>
      <c r="N281" s="71">
        <v>15661004966</v>
      </c>
      <c r="O281" s="71" t="s">
        <v>245</v>
      </c>
      <c r="P281" s="71" t="s">
        <v>246</v>
      </c>
      <c r="Q281" s="71">
        <v>0</v>
      </c>
      <c r="R281" s="71" t="s">
        <v>1266</v>
      </c>
      <c r="S281" s="71" t="s">
        <v>1267</v>
      </c>
      <c r="T281" s="71" t="s">
        <v>1268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LOJA</v>
      </c>
      <c r="C282" s="72" t="str">
        <f ca="1">IF(D282="Inativo","Inativo",IFERROR(VLOOKUP($G282,Conf!$F$19:$G$39,2,0),VLOOKUP($S282,Conf!$K:$M,3,0)))</f>
        <v>APRENDIZ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859</v>
      </c>
      <c r="G282" s="71" t="s">
        <v>1269</v>
      </c>
      <c r="H282" s="71">
        <v>205</v>
      </c>
      <c r="I282" s="71" t="s">
        <v>602</v>
      </c>
      <c r="J282" s="71">
        <v>1</v>
      </c>
      <c r="K282" s="71" t="s">
        <v>223</v>
      </c>
      <c r="L282" s="71" t="s">
        <v>1270</v>
      </c>
      <c r="M282" s="71" t="s">
        <v>604</v>
      </c>
      <c r="N282" s="71">
        <v>11945164913</v>
      </c>
      <c r="O282" s="71" t="s">
        <v>245</v>
      </c>
      <c r="P282" s="71" t="s">
        <v>246</v>
      </c>
      <c r="Q282" s="71">
        <v>0</v>
      </c>
      <c r="R282" s="71" t="s">
        <v>605</v>
      </c>
      <c r="S282" s="71" t="s">
        <v>606</v>
      </c>
      <c r="T282" s="71" t="s">
        <v>1263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LOJA</v>
      </c>
      <c r="C283" s="72" t="str">
        <f ca="1">IF(D283="Inativo","Inativo",IFERROR(VLOOKUP($G283,Conf!$F$19:$G$39,2,0),VLOOKUP($S283,Conf!$K:$M,3,0)))</f>
        <v>APRENDIZ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195</v>
      </c>
      <c r="G283" s="71" t="s">
        <v>1271</v>
      </c>
      <c r="H283" s="71">
        <v>205</v>
      </c>
      <c r="I283" s="71" t="s">
        <v>602</v>
      </c>
      <c r="J283" s="71">
        <v>1</v>
      </c>
      <c r="K283" s="71" t="s">
        <v>223</v>
      </c>
      <c r="L283" s="71" t="s">
        <v>1272</v>
      </c>
      <c r="M283" s="71" t="s">
        <v>604</v>
      </c>
      <c r="N283" s="71">
        <v>11601571976</v>
      </c>
      <c r="O283" s="71" t="s">
        <v>245</v>
      </c>
      <c r="P283" s="71" t="s">
        <v>246</v>
      </c>
      <c r="Q283" s="71">
        <v>0</v>
      </c>
      <c r="R283" s="71" t="s">
        <v>1266</v>
      </c>
      <c r="S283" s="71" t="s">
        <v>1267</v>
      </c>
      <c r="T283" s="71" t="s">
        <v>1268</v>
      </c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LOJA</v>
      </c>
      <c r="C284" s="72" t="str">
        <f ca="1">IF(D284="Inativo","Inativo",IFERROR(VLOOKUP($G284,Conf!$F$19:$G$39,2,0),VLOOKUP($S284,Conf!$K:$M,3,0)))</f>
        <v>CARTAZISTA</v>
      </c>
      <c r="D284" s="72" t="str">
        <f ca="1">IFERROR(IF(TODAY()-K284&gt;365,"Inativo",IF(J284=2,"Férias",IF(J284=7,"Demitido","Afastamento"))),VLOOKUP(J284,Conf!$H:$I,2,0))</f>
        <v>Ativos</v>
      </c>
      <c r="E284" s="71">
        <v>3</v>
      </c>
      <c r="F284" s="71">
        <v>672</v>
      </c>
      <c r="G284" s="71" t="s">
        <v>1273</v>
      </c>
      <c r="H284" s="71">
        <v>44</v>
      </c>
      <c r="I284" s="71" t="s">
        <v>550</v>
      </c>
      <c r="J284" s="71">
        <v>1</v>
      </c>
      <c r="K284" s="71" t="s">
        <v>223</v>
      </c>
      <c r="L284" s="71" t="s">
        <v>1274</v>
      </c>
      <c r="M284" s="71" t="s">
        <v>1275</v>
      </c>
      <c r="N284" s="71">
        <v>2693656990</v>
      </c>
      <c r="Q284" s="71">
        <v>0</v>
      </c>
      <c r="R284" s="71" t="s">
        <v>629</v>
      </c>
      <c r="S284" s="71" t="s">
        <v>630</v>
      </c>
      <c r="T284" s="71" t="s">
        <v>631</v>
      </c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VENDAS</v>
      </c>
      <c r="C285" s="72" t="str">
        <f ca="1">IF(D285="Inativo","Inativo",IFERROR(VLOOKUP($G285,Conf!$F$19:$G$39,2,0),VLOOKUP($S285,Conf!$K:$M,3,0)))</f>
        <v>E-COMMERCE</v>
      </c>
      <c r="D285" s="72" t="str">
        <f ca="1">IFERROR(IF(TODAY()-K285&gt;365,"Inativo",IF(J285=2,"Férias",IF(J285=7,"Demitido","Afastamento"))),VLOOKUP(J285,Conf!$H:$I,2,0))</f>
        <v>Ativos</v>
      </c>
      <c r="E285" s="71">
        <v>3</v>
      </c>
      <c r="F285" s="71">
        <v>458</v>
      </c>
      <c r="G285" s="71" t="s">
        <v>1276</v>
      </c>
      <c r="H285" s="71">
        <v>3</v>
      </c>
      <c r="I285" s="71" t="s">
        <v>1115</v>
      </c>
      <c r="J285" s="71">
        <v>1</v>
      </c>
      <c r="K285" s="71" t="s">
        <v>223</v>
      </c>
      <c r="L285" s="71" t="s">
        <v>1277</v>
      </c>
      <c r="M285" s="71" t="s">
        <v>1278</v>
      </c>
      <c r="N285" s="71">
        <v>59332280959</v>
      </c>
      <c r="Q285" s="71">
        <v>0</v>
      </c>
      <c r="R285" s="71" t="s">
        <v>1279</v>
      </c>
      <c r="S285" s="71" t="s">
        <v>1280</v>
      </c>
      <c r="T285" s="71" t="s">
        <v>1281</v>
      </c>
    </row>
    <row r="286" spans="1:20" x14ac:dyDescent="0.3">
      <c r="A286" s="72">
        <f>IFERROR(VLOOKUP($G286,Conf!$B:$C,2,0),E286)</f>
        <v>3</v>
      </c>
      <c r="B286" s="72" t="str">
        <f ca="1">IF(D286="Inativo","Inativo",VLOOKUP($S286,Conf!$K:$M,2,0))</f>
        <v>LOJA</v>
      </c>
      <c r="C286" s="72" t="str">
        <f ca="1">IF(D286="Inativo","Inativo",IFERROR(VLOOKUP($G286,Conf!$F$19:$G$39,2,0),VLOOKUP($S286,Conf!$K:$M,3,0)))</f>
        <v>GERENTE</v>
      </c>
      <c r="D286" s="72" t="str">
        <f ca="1">IFERROR(IF(TODAY()-K286&gt;365,"Inativo",IF(J286=2,"Férias",IF(J286=7,"Demitido","Afastamento"))),VLOOKUP(J286,Conf!$H:$I,2,0))</f>
        <v>Ativos</v>
      </c>
      <c r="E286" s="71">
        <v>3</v>
      </c>
      <c r="F286" s="71">
        <v>11</v>
      </c>
      <c r="G286" s="71" t="s">
        <v>3926</v>
      </c>
      <c r="H286" s="71">
        <v>47</v>
      </c>
      <c r="I286" s="71" t="s">
        <v>222</v>
      </c>
      <c r="J286" s="71">
        <v>1</v>
      </c>
      <c r="K286" s="71" t="s">
        <v>223</v>
      </c>
      <c r="L286" s="71" t="s">
        <v>1871</v>
      </c>
      <c r="M286" s="71" t="s">
        <v>3642</v>
      </c>
      <c r="N286" s="71">
        <v>1988150930</v>
      </c>
      <c r="O286" s="71" t="s">
        <v>245</v>
      </c>
      <c r="P286" s="71" t="s">
        <v>246</v>
      </c>
      <c r="Q286" s="71">
        <v>0</v>
      </c>
      <c r="R286" s="71" t="s">
        <v>987</v>
      </c>
      <c r="S286" s="71" t="s">
        <v>3927</v>
      </c>
      <c r="T286" s="71" t="s">
        <v>989</v>
      </c>
    </row>
    <row r="287" spans="1:20" x14ac:dyDescent="0.3">
      <c r="A287" s="72">
        <f>IFERROR(VLOOKUP($G287,Conf!$B:$C,2,0),E287)</f>
        <v>3</v>
      </c>
      <c r="B287" s="72" t="str">
        <f ca="1">IF(D287="Inativo","Inativo",VLOOKUP($S287,Conf!$K:$M,2,0))</f>
        <v>LOJA</v>
      </c>
      <c r="C287" s="72" t="str">
        <f ca="1">IF(D287="Inativo","Inativo",IFERROR(VLOOKUP($G287,Conf!$F$19:$G$39,2,0),VLOOKUP($S287,Conf!$K:$M,3,0)))</f>
        <v>ENCARREGADO</v>
      </c>
      <c r="D287" s="72" t="str">
        <f ca="1">IFERROR(IF(TODAY()-K287&gt;365,"Inativo",IF(J287=2,"Férias",IF(J287=7,"Demitido","Afastamento"))),VLOOKUP(J287,Conf!$H:$I,2,0))</f>
        <v>Ativos</v>
      </c>
      <c r="E287" s="71">
        <v>3</v>
      </c>
      <c r="F287" s="71">
        <v>737</v>
      </c>
      <c r="G287" s="71" t="s">
        <v>1282</v>
      </c>
      <c r="H287" s="71">
        <v>1087</v>
      </c>
      <c r="I287" s="71" t="s">
        <v>222</v>
      </c>
      <c r="J287" s="71">
        <v>1</v>
      </c>
      <c r="K287" s="71" t="s">
        <v>223</v>
      </c>
      <c r="L287" s="71" t="s">
        <v>1283</v>
      </c>
      <c r="M287" s="71" t="s">
        <v>1284</v>
      </c>
      <c r="N287" s="71">
        <v>11515373908</v>
      </c>
      <c r="Q287" s="71">
        <v>0</v>
      </c>
      <c r="R287" s="71" t="s">
        <v>635</v>
      </c>
      <c r="S287" s="71" t="s">
        <v>636</v>
      </c>
      <c r="T287" s="71" t="s">
        <v>637</v>
      </c>
    </row>
    <row r="288" spans="1:20" x14ac:dyDescent="0.3">
      <c r="A288" s="72">
        <f>IFERROR(VLOOKUP($G288,Conf!$B:$C,2,0),E288)</f>
        <v>3</v>
      </c>
      <c r="B288" s="72" t="str">
        <f ca="1">IF(D288="Inativo","Inativo",VLOOKUP($S288,Conf!$K:$M,2,0))</f>
        <v>LOJA</v>
      </c>
      <c r="C288" s="72" t="str">
        <f ca="1">IF(D288="Inativo","Inativo",IFERROR(VLOOKUP($G288,Conf!$F$19:$G$39,2,0),VLOOKUP($S288,Conf!$K:$M,3,0)))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71">
        <v>3</v>
      </c>
      <c r="F288" s="71">
        <v>142</v>
      </c>
      <c r="G288" s="71" t="s">
        <v>1288</v>
      </c>
      <c r="H288" s="71">
        <v>1067</v>
      </c>
      <c r="I288" s="71" t="s">
        <v>657</v>
      </c>
      <c r="J288" s="71">
        <v>1</v>
      </c>
      <c r="K288" s="71" t="s">
        <v>223</v>
      </c>
      <c r="L288" s="71" t="s">
        <v>1289</v>
      </c>
      <c r="M288" s="71" t="s">
        <v>791</v>
      </c>
      <c r="N288" s="71">
        <v>12252058919</v>
      </c>
      <c r="Q288" s="71">
        <v>0</v>
      </c>
      <c r="R288" s="71" t="s">
        <v>1290</v>
      </c>
      <c r="S288" s="71" t="s">
        <v>1291</v>
      </c>
      <c r="T288" s="71" t="s">
        <v>1292</v>
      </c>
    </row>
    <row r="289" spans="1:20" x14ac:dyDescent="0.3">
      <c r="A289" s="72">
        <f>IFERROR(VLOOKUP($G289,Conf!$B:$C,2,0),E289)</f>
        <v>3</v>
      </c>
      <c r="B289" s="72" t="str">
        <f ca="1">IF(D289="Inativo","Inativo",VLOOKUP($S289,Conf!$K:$M,2,0))</f>
        <v>LOJA</v>
      </c>
      <c r="C289" s="72" t="str">
        <f ca="1">IF(D289="Inativo","Inativo",IFERROR(VLOOKUP($G289,Conf!$F$19:$G$39,2,0),VLOOKUP($S289,Conf!$K:$M,3,0)))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71">
        <v>3</v>
      </c>
      <c r="F289" s="71">
        <v>187</v>
      </c>
      <c r="G289" s="71" t="s">
        <v>1293</v>
      </c>
      <c r="H289" s="71">
        <v>523</v>
      </c>
      <c r="I289" s="71" t="s">
        <v>222</v>
      </c>
      <c r="J289" s="71">
        <v>1</v>
      </c>
      <c r="K289" s="71" t="s">
        <v>223</v>
      </c>
      <c r="L289" s="71" t="s">
        <v>1294</v>
      </c>
      <c r="M289" s="71" t="s">
        <v>623</v>
      </c>
      <c r="N289" s="71">
        <v>11484483901</v>
      </c>
      <c r="O289" s="71" t="s">
        <v>245</v>
      </c>
      <c r="P289" s="71" t="s">
        <v>246</v>
      </c>
      <c r="Q289" s="71">
        <v>0</v>
      </c>
      <c r="R289" s="71" t="s">
        <v>1290</v>
      </c>
      <c r="S289" s="71" t="s">
        <v>1291</v>
      </c>
      <c r="T289" s="71" t="s">
        <v>1292</v>
      </c>
    </row>
    <row r="290" spans="1:20" x14ac:dyDescent="0.3">
      <c r="A290" s="72">
        <f>IFERROR(VLOOKUP($G290,Conf!$B:$C,2,0),E290)</f>
        <v>3</v>
      </c>
      <c r="B290" s="72" t="str">
        <f ca="1">IF(D290="Inativo","Inativo",VLOOKUP($S290,Conf!$K:$M,2,0))</f>
        <v>LOJA</v>
      </c>
      <c r="C290" s="72" t="str">
        <f ca="1">IF(D290="Inativo","Inativo",IFERROR(VLOOKUP($G290,Conf!$F$19:$G$39,2,0),VLOOKUP($S290,Conf!$K:$M,3,0)))</f>
        <v>REPOSITOR</v>
      </c>
      <c r="D290" s="72" t="str">
        <f ca="1">IFERROR(IF(TODAY()-K290&gt;365,"Inativo",IF(J290=2,"Férias",IF(J290=7,"Demitido","Afastamento"))),VLOOKUP(J290,Conf!$H:$I,2,0))</f>
        <v>Ativos</v>
      </c>
      <c r="E290" s="71">
        <v>3</v>
      </c>
      <c r="F290" s="71">
        <v>3</v>
      </c>
      <c r="G290" s="71" t="s">
        <v>1295</v>
      </c>
      <c r="H290" s="71">
        <v>47</v>
      </c>
      <c r="I290" s="71" t="s">
        <v>222</v>
      </c>
      <c r="J290" s="71">
        <v>1</v>
      </c>
      <c r="K290" s="71" t="s">
        <v>223</v>
      </c>
      <c r="L290" s="71" t="s">
        <v>1296</v>
      </c>
      <c r="M290" s="71" t="s">
        <v>741</v>
      </c>
      <c r="N290" s="71">
        <v>12797041950</v>
      </c>
      <c r="O290" s="71" t="s">
        <v>245</v>
      </c>
      <c r="P290" s="71" t="s">
        <v>246</v>
      </c>
      <c r="Q290" s="71">
        <v>0</v>
      </c>
      <c r="R290" s="71" t="s">
        <v>648</v>
      </c>
      <c r="S290" s="71" t="s">
        <v>1297</v>
      </c>
      <c r="T290" s="71" t="s">
        <v>612</v>
      </c>
    </row>
    <row r="291" spans="1:20" x14ac:dyDescent="0.3">
      <c r="A291" s="72">
        <f>IFERROR(VLOOKUP($G291,Conf!$B:$C,2,0),E291)</f>
        <v>3</v>
      </c>
      <c r="B291" s="72" t="str">
        <f ca="1">IF(D291="Inativo","Inativo",VLOOKUP($S291,Conf!$K:$M,2,0))</f>
        <v>LOJA</v>
      </c>
      <c r="C291" s="72" t="str">
        <f ca="1">IF(D291="Inativo","Inativo",IFERROR(VLOOKUP($G291,Conf!$F$19:$G$39,2,0),VLOOKUP($S291,Conf!$K:$M,3,0)))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71">
        <v>3</v>
      </c>
      <c r="F291" s="71">
        <v>16</v>
      </c>
      <c r="G291" s="71" t="s">
        <v>3939</v>
      </c>
      <c r="H291" s="71">
        <v>47</v>
      </c>
      <c r="I291" s="71" t="s">
        <v>222</v>
      </c>
      <c r="J291" s="71">
        <v>1</v>
      </c>
      <c r="K291" s="71" t="s">
        <v>223</v>
      </c>
      <c r="L291" s="71" t="s">
        <v>3940</v>
      </c>
      <c r="M291" s="71" t="s">
        <v>3639</v>
      </c>
      <c r="N291" s="71">
        <v>11951426924</v>
      </c>
      <c r="O291" s="71" t="s">
        <v>245</v>
      </c>
      <c r="P291" s="71" t="s">
        <v>246</v>
      </c>
      <c r="Q291" s="71">
        <v>0</v>
      </c>
      <c r="R291" s="71" t="s">
        <v>648</v>
      </c>
      <c r="S291" s="71" t="s">
        <v>1297</v>
      </c>
      <c r="T291" s="71" t="s">
        <v>612</v>
      </c>
    </row>
    <row r="292" spans="1:20" x14ac:dyDescent="0.3">
      <c r="A292" s="72">
        <f>IFERROR(VLOOKUP($G292,Conf!$B:$C,2,0),E292)</f>
        <v>3</v>
      </c>
      <c r="B292" s="72" t="str">
        <f ca="1">IF(D292="Inativo","Inativo",VLOOKUP($S292,Conf!$K:$M,2,0))</f>
        <v>LOJA</v>
      </c>
      <c r="C292" s="72" t="str">
        <f ca="1">IF(D292="Inativo","Inativo",IFERROR(VLOOKUP($G292,Conf!$F$19:$G$39,2,0),VLOOKUP($S292,Conf!$K:$M,3,0)))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71">
        <v>3</v>
      </c>
      <c r="F292" s="71">
        <v>780</v>
      </c>
      <c r="G292" s="71" t="s">
        <v>1298</v>
      </c>
      <c r="H292" s="71">
        <v>1085</v>
      </c>
      <c r="I292" s="71" t="s">
        <v>222</v>
      </c>
      <c r="J292" s="71">
        <v>1</v>
      </c>
      <c r="K292" s="71" t="s">
        <v>223</v>
      </c>
      <c r="L292" s="71" t="s">
        <v>1299</v>
      </c>
      <c r="M292" s="71" t="s">
        <v>1300</v>
      </c>
      <c r="N292" s="71">
        <v>12914581904</v>
      </c>
      <c r="Q292" s="71">
        <v>0</v>
      </c>
      <c r="R292" s="71" t="s">
        <v>660</v>
      </c>
      <c r="S292" s="71" t="s">
        <v>1301</v>
      </c>
      <c r="T292" s="71" t="s">
        <v>662</v>
      </c>
    </row>
    <row r="293" spans="1:20" x14ac:dyDescent="0.3">
      <c r="A293" s="72">
        <f>IFERROR(VLOOKUP($G293,Conf!$B:$C,2,0),E293)</f>
        <v>3</v>
      </c>
      <c r="B293" s="72" t="str">
        <f ca="1">IF(D293="Inativo","Inativo",VLOOKUP($S293,Conf!$K:$M,2,0))</f>
        <v>LOJA</v>
      </c>
      <c r="C293" s="72" t="str">
        <f ca="1">IF(D293="Inativo","Inativo",IFERROR(VLOOKUP($G293,Conf!$F$19:$G$39,2,0),VLOOKUP($S293,Conf!$K:$M,3,0)))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71">
        <v>3</v>
      </c>
      <c r="F293" s="71">
        <v>102</v>
      </c>
      <c r="G293" s="71" t="s">
        <v>1302</v>
      </c>
      <c r="H293" s="71">
        <v>1086</v>
      </c>
      <c r="I293" s="71" t="s">
        <v>222</v>
      </c>
      <c r="J293" s="71">
        <v>1</v>
      </c>
      <c r="K293" s="71" t="s">
        <v>223</v>
      </c>
      <c r="L293" s="71" t="s">
        <v>1303</v>
      </c>
      <c r="M293" s="71" t="s">
        <v>1304</v>
      </c>
      <c r="N293" s="71">
        <v>11790047951</v>
      </c>
      <c r="Q293" s="71">
        <v>0</v>
      </c>
      <c r="R293" s="71" t="s">
        <v>1290</v>
      </c>
      <c r="S293" s="71" t="s">
        <v>1291</v>
      </c>
      <c r="T293" s="71" t="s">
        <v>1292</v>
      </c>
    </row>
    <row r="294" spans="1:20" x14ac:dyDescent="0.3">
      <c r="A294" s="72">
        <f>IFERROR(VLOOKUP($G294,Conf!$B:$C,2,0),E294)</f>
        <v>3</v>
      </c>
      <c r="B294" s="72" t="str">
        <f ca="1">IF(D294="Inativo","Inativo",VLOOKUP($S294,Conf!$K:$M,2,0))</f>
        <v>LOJA</v>
      </c>
      <c r="C294" s="72" t="str">
        <f ca="1">IF(D294="Inativo","Inativo",IFERROR(VLOOKUP($G294,Conf!$F$19:$G$39,2,0),VLOOKUP($S294,Conf!$K:$M,3,0)))</f>
        <v>REPOSITOR</v>
      </c>
      <c r="D294" s="72" t="str">
        <f ca="1">IFERROR(IF(TODAY()-K294&gt;365,"Inativo",IF(J294=2,"Férias",IF(J294=7,"Demitido","Afastamento"))),VLOOKUP(J294,Conf!$H:$I,2,0))</f>
        <v>Ativos</v>
      </c>
      <c r="E294" s="71">
        <v>3</v>
      </c>
      <c r="F294" s="71">
        <v>8</v>
      </c>
      <c r="G294" s="71" t="s">
        <v>1305</v>
      </c>
      <c r="H294" s="71">
        <v>47</v>
      </c>
      <c r="I294" s="71" t="s">
        <v>222</v>
      </c>
      <c r="J294" s="71">
        <v>1</v>
      </c>
      <c r="K294" s="71" t="s">
        <v>223</v>
      </c>
      <c r="L294" s="71" t="s">
        <v>1306</v>
      </c>
      <c r="M294" s="71" t="s">
        <v>337</v>
      </c>
      <c r="N294" s="71">
        <v>7053179940</v>
      </c>
      <c r="O294" s="71" t="s">
        <v>245</v>
      </c>
      <c r="P294" s="71" t="s">
        <v>246</v>
      </c>
      <c r="Q294" s="71">
        <v>0</v>
      </c>
      <c r="R294" s="71" t="s">
        <v>648</v>
      </c>
      <c r="S294" s="71" t="s">
        <v>1297</v>
      </c>
      <c r="T294" s="71" t="s">
        <v>612</v>
      </c>
    </row>
    <row r="295" spans="1:20" x14ac:dyDescent="0.3">
      <c r="A295" s="72">
        <f>IFERROR(VLOOKUP($G295,Conf!$B:$C,2,0),E295)</f>
        <v>3</v>
      </c>
      <c r="B295" s="72" t="str">
        <f ca="1">IF(D295="Inativo","Inativo",VLOOKUP($S295,Conf!$K:$M,2,0))</f>
        <v>PADARIA</v>
      </c>
      <c r="C295" s="72" t="str">
        <f ca="1">IF(D295="Inativo","Inativo",IFERROR(VLOOKUP($G295,Conf!$F$19:$G$39,2,0),VLOOKUP($S295,Conf!$K:$M,3,0)))</f>
        <v>BALCONISTA</v>
      </c>
      <c r="D295" s="72" t="str">
        <f ca="1">IFERROR(IF(TODAY()-K295&gt;365,"Inativo",IF(J295=2,"Férias",IF(J295=7,"Demitido","Afastamento"))),VLOOKUP(J295,Conf!$H:$I,2,0))</f>
        <v>Ativos</v>
      </c>
      <c r="E295" s="71">
        <v>3</v>
      </c>
      <c r="F295" s="71">
        <v>13</v>
      </c>
      <c r="G295" s="71" t="s">
        <v>3933</v>
      </c>
      <c r="H295" s="71">
        <v>47</v>
      </c>
      <c r="I295" s="71" t="s">
        <v>222</v>
      </c>
      <c r="J295" s="71">
        <v>1</v>
      </c>
      <c r="K295" s="71" t="s">
        <v>223</v>
      </c>
      <c r="L295" s="71" t="s">
        <v>3934</v>
      </c>
      <c r="M295" s="71" t="s">
        <v>3632</v>
      </c>
      <c r="N295" s="71">
        <v>12625952903</v>
      </c>
      <c r="O295" s="71" t="s">
        <v>245</v>
      </c>
      <c r="P295" s="71" t="s">
        <v>246</v>
      </c>
      <c r="Q295" s="71">
        <v>0</v>
      </c>
      <c r="R295" s="71" t="s">
        <v>720</v>
      </c>
      <c r="S295" s="71" t="s">
        <v>1315</v>
      </c>
      <c r="T295" s="71" t="s">
        <v>722</v>
      </c>
    </row>
    <row r="296" spans="1:20" x14ac:dyDescent="0.3">
      <c r="A296" s="72">
        <f>IFERROR(VLOOKUP($G296,Conf!$B:$C,2,0),E296)</f>
        <v>3</v>
      </c>
      <c r="B296" s="72" t="str">
        <f ca="1">IF(D296="Inativo","Inativo",VLOOKUP($S296,Conf!$K:$M,2,0))</f>
        <v>PADARIA</v>
      </c>
      <c r="C296" s="72" t="str">
        <f ca="1">IF(D296="Inativo","Inativo",IFERROR(VLOOKUP($G296,Conf!$F$19:$G$39,2,0),VLOOKUP($S296,Conf!$K:$M,3,0)))</f>
        <v>BALCONISTA</v>
      </c>
      <c r="D296" s="72" t="str">
        <f ca="1">IFERROR(IF(TODAY()-K296&gt;365,"Inativo",IF(J296=2,"Férias",IF(J296=7,"Demitido","Afastamento"))),VLOOKUP(J296,Conf!$H:$I,2,0))</f>
        <v>Ativos</v>
      </c>
      <c r="E296" s="71">
        <v>3</v>
      </c>
      <c r="F296" s="71">
        <v>4</v>
      </c>
      <c r="G296" s="71" t="s">
        <v>1312</v>
      </c>
      <c r="H296" s="71">
        <v>520</v>
      </c>
      <c r="I296" s="71" t="s">
        <v>222</v>
      </c>
      <c r="J296" s="71">
        <v>1</v>
      </c>
      <c r="K296" s="71" t="s">
        <v>223</v>
      </c>
      <c r="L296" s="71" t="s">
        <v>1313</v>
      </c>
      <c r="M296" s="71" t="s">
        <v>1314</v>
      </c>
      <c r="N296" s="71">
        <v>8942500943</v>
      </c>
      <c r="O296" s="71" t="s">
        <v>245</v>
      </c>
      <c r="P296" s="71" t="s">
        <v>246</v>
      </c>
      <c r="Q296" s="71">
        <v>0</v>
      </c>
      <c r="R296" s="71" t="s">
        <v>720</v>
      </c>
      <c r="S296" s="71" t="s">
        <v>1315</v>
      </c>
      <c r="T296" s="71" t="s">
        <v>722</v>
      </c>
    </row>
    <row r="297" spans="1:20" x14ac:dyDescent="0.3">
      <c r="A297" s="72">
        <f>IFERROR(VLOOKUP($G297,Conf!$B:$C,2,0),E297)</f>
        <v>3</v>
      </c>
      <c r="B297" s="72" t="str">
        <f ca="1">IF(D297="Inativo","Inativo",VLOOKUP($S297,Conf!$K:$M,2,0))</f>
        <v>PADARIA</v>
      </c>
      <c r="C297" s="72" t="str">
        <f ca="1">IF(D297="Inativo","Inativo",IFERROR(VLOOKUP($G297,Conf!$F$19:$G$39,2,0),VLOOKUP($S297,Conf!$K:$M,3,0)))</f>
        <v>AUXILIAR</v>
      </c>
      <c r="D297" s="72" t="str">
        <f ca="1">IFERROR(IF(TODAY()-K297&gt;365,"Inativo",IF(J297=2,"Férias",IF(J297=7,"Demitido","Afastamento"))),VLOOKUP(J297,Conf!$H:$I,2,0))</f>
        <v>Afastamento</v>
      </c>
      <c r="E297" s="71">
        <v>3</v>
      </c>
      <c r="F297" s="71">
        <v>273</v>
      </c>
      <c r="G297" s="71" t="s">
        <v>1316</v>
      </c>
      <c r="H297" s="71">
        <v>1089</v>
      </c>
      <c r="I297" s="71" t="s">
        <v>222</v>
      </c>
      <c r="J297" s="71">
        <v>3</v>
      </c>
      <c r="K297" s="71" t="s">
        <v>1317</v>
      </c>
      <c r="L297" s="71" t="s">
        <v>1318</v>
      </c>
      <c r="M297" s="71" t="s">
        <v>1319</v>
      </c>
      <c r="N297" s="71">
        <v>2632792940</v>
      </c>
      <c r="Q297" s="71">
        <v>0</v>
      </c>
      <c r="R297" s="71" t="s">
        <v>573</v>
      </c>
      <c r="S297" s="71" t="s">
        <v>1041</v>
      </c>
      <c r="T297" s="71" t="s">
        <v>575</v>
      </c>
    </row>
    <row r="298" spans="1:20" x14ac:dyDescent="0.3">
      <c r="A298" s="72">
        <f>IFERROR(VLOOKUP($G298,Conf!$B:$C,2,0),E298)</f>
        <v>3</v>
      </c>
      <c r="B298" s="72" t="str">
        <f ca="1">IF(D298="Inativo","Inativo",VLOOKUP($S298,Conf!$K:$M,2,0))</f>
        <v>PADARIA</v>
      </c>
      <c r="C298" s="72" t="str">
        <f ca="1">IF(D298="Inativo","Inativo",IFERROR(VLOOKUP($G298,Conf!$F$19:$G$39,2,0),VLOOKUP($S298,Conf!$K:$M,3,0)))</f>
        <v>BALCONISTA</v>
      </c>
      <c r="D298" s="72" t="str">
        <f ca="1">IFERROR(IF(TODAY()-K298&gt;365,"Inativo",IF(J298=2,"Férias",IF(J298=7,"Demitido","Afastamento"))),VLOOKUP(J298,Conf!$H:$I,2,0))</f>
        <v>Ativos</v>
      </c>
      <c r="E298" s="71">
        <v>3</v>
      </c>
      <c r="F298" s="71">
        <v>178</v>
      </c>
      <c r="G298" s="71" t="s">
        <v>1320</v>
      </c>
      <c r="H298" s="71">
        <v>527</v>
      </c>
      <c r="I298" s="71" t="s">
        <v>222</v>
      </c>
      <c r="J298" s="71">
        <v>1</v>
      </c>
      <c r="K298" s="71" t="s">
        <v>223</v>
      </c>
      <c r="L298" s="71" t="s">
        <v>1321</v>
      </c>
      <c r="M298" s="71" t="s">
        <v>878</v>
      </c>
      <c r="N298" s="71">
        <v>11793687978</v>
      </c>
      <c r="O298" s="71" t="s">
        <v>245</v>
      </c>
      <c r="P298" s="71" t="s">
        <v>246</v>
      </c>
      <c r="Q298" s="71">
        <v>0</v>
      </c>
      <c r="R298" s="71" t="s">
        <v>1322</v>
      </c>
      <c r="S298" s="71" t="s">
        <v>1315</v>
      </c>
      <c r="T298" s="71" t="s">
        <v>1323</v>
      </c>
    </row>
    <row r="299" spans="1:20" x14ac:dyDescent="0.3">
      <c r="A299" s="72">
        <f>IFERROR(VLOOKUP($G299,Conf!$B:$C,2,0),E299)</f>
        <v>3</v>
      </c>
      <c r="B299" s="72" t="str">
        <f ca="1">IF(D299="Inativo","Inativo",VLOOKUP($S299,Conf!$K:$M,2,0))</f>
        <v>PADARIA</v>
      </c>
      <c r="C299" s="72" t="str">
        <f ca="1">IF(D299="Inativo","Inativo",IFERROR(VLOOKUP($G299,Conf!$F$19:$G$39,2,0),VLOOKUP($S299,Conf!$K:$M,3,0)))</f>
        <v>GERENTE</v>
      </c>
      <c r="D299" s="72" t="str">
        <f ca="1">IFERROR(IF(TODAY()-K299&gt;365,"Inativo",IF(J299=2,"Férias",IF(J299=7,"Demitido","Afastamento"))),VLOOKUP(J299,Conf!$H:$I,2,0))</f>
        <v>Ativos</v>
      </c>
      <c r="E299" s="71">
        <v>3</v>
      </c>
      <c r="F299" s="71">
        <v>38</v>
      </c>
      <c r="G299" s="71" t="s">
        <v>1324</v>
      </c>
      <c r="H299" s="71">
        <v>47</v>
      </c>
      <c r="I299" s="71" t="s">
        <v>222</v>
      </c>
      <c r="J299" s="71">
        <v>1</v>
      </c>
      <c r="K299" s="71" t="s">
        <v>223</v>
      </c>
      <c r="L299" s="71" t="s">
        <v>1325</v>
      </c>
      <c r="M299" s="71" t="s">
        <v>1326</v>
      </c>
      <c r="N299" s="71">
        <v>8354368963</v>
      </c>
      <c r="Q299" s="71">
        <v>0</v>
      </c>
      <c r="R299" s="71" t="s">
        <v>1327</v>
      </c>
      <c r="S299" s="71" t="s">
        <v>1328</v>
      </c>
      <c r="T299" s="71" t="s">
        <v>1329</v>
      </c>
    </row>
    <row r="300" spans="1:20" x14ac:dyDescent="0.3">
      <c r="A300" s="72">
        <f>IFERROR(VLOOKUP($G300,Conf!$B:$C,2,0),E300)</f>
        <v>3</v>
      </c>
      <c r="B300" s="72" t="str">
        <f ca="1">IF(D300="Inativo","Inativo",VLOOKUP($S300,Conf!$K:$M,2,0))</f>
        <v>PADARIA</v>
      </c>
      <c r="C300" s="72" t="str">
        <f ca="1">IF(D300="Inativo","Inativo",IFERROR(VLOOKUP($G300,Conf!$F$19:$G$39,2,0),VLOOKUP($S300,Conf!$K:$M,3,0)))</f>
        <v>FORNEIRO</v>
      </c>
      <c r="D300" s="72" t="str">
        <f ca="1">IFERROR(IF(TODAY()-K300&gt;365,"Inativo",IF(J300=2,"Férias",IF(J300=7,"Demitido","Afastamento"))),VLOOKUP(J300,Conf!$H:$I,2,0))</f>
        <v>Ativos</v>
      </c>
      <c r="E300" s="71">
        <v>3</v>
      </c>
      <c r="F300" s="71">
        <v>53</v>
      </c>
      <c r="G300" s="71" t="s">
        <v>1330</v>
      </c>
      <c r="H300" s="71">
        <v>1087</v>
      </c>
      <c r="I300" s="71" t="s">
        <v>222</v>
      </c>
      <c r="J300" s="71">
        <v>1</v>
      </c>
      <c r="K300" s="71" t="s">
        <v>223</v>
      </c>
      <c r="L300" s="71" t="s">
        <v>1331</v>
      </c>
      <c r="M300" s="71" t="s">
        <v>1332</v>
      </c>
      <c r="N300" s="71">
        <v>82732787949</v>
      </c>
      <c r="Q300" s="71">
        <v>0</v>
      </c>
      <c r="R300" s="71" t="s">
        <v>1333</v>
      </c>
      <c r="S300" s="71" t="s">
        <v>1334</v>
      </c>
      <c r="T300" s="71" t="s">
        <v>1335</v>
      </c>
    </row>
    <row r="301" spans="1:20" x14ac:dyDescent="0.3">
      <c r="A301" s="72">
        <f>IFERROR(VLOOKUP($G301,Conf!$B:$C,2,0),E301)</f>
        <v>3</v>
      </c>
      <c r="B301" s="72" t="str">
        <f ca="1">IF(D301="Inativo","Inativo",VLOOKUP($S301,Conf!$K:$M,2,0))</f>
        <v>PADARIA</v>
      </c>
      <c r="C301" s="72" t="str">
        <f ca="1">IF(D301="Inativo","Inativo",IFERROR(VLOOKUP($G301,Conf!$F$19:$G$39,2,0),VLOOKUP($S301,Conf!$K:$M,3,0)))</f>
        <v>PADEIRO(A)</v>
      </c>
      <c r="D301" s="72" t="str">
        <f ca="1">IFERROR(IF(TODAY()-K301&gt;365,"Inativo",IF(J301=2,"Férias",IF(J301=7,"Demitido","Afastamento"))),VLOOKUP(J301,Conf!$H:$I,2,0))</f>
        <v>Ativos</v>
      </c>
      <c r="E301" s="71">
        <v>3</v>
      </c>
      <c r="F301" s="71">
        <v>765</v>
      </c>
      <c r="G301" s="71" t="s">
        <v>1336</v>
      </c>
      <c r="H301" s="71">
        <v>492</v>
      </c>
      <c r="I301" s="71" t="s">
        <v>550</v>
      </c>
      <c r="J301" s="71">
        <v>1</v>
      </c>
      <c r="K301" s="71" t="s">
        <v>223</v>
      </c>
      <c r="L301" s="71" t="s">
        <v>1337</v>
      </c>
      <c r="M301" s="71" t="s">
        <v>1338</v>
      </c>
      <c r="N301" s="71">
        <v>16185529963</v>
      </c>
      <c r="Q301" s="71">
        <v>0</v>
      </c>
      <c r="R301" s="71" t="s">
        <v>751</v>
      </c>
      <c r="S301" s="71" t="s">
        <v>752</v>
      </c>
      <c r="T301" s="71" t="s">
        <v>753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AÇOUGUE</v>
      </c>
      <c r="C302" s="72" t="str">
        <f ca="1">IF(D302="Inativo","Inativo",IFERROR(VLOOKUP($G302,Conf!$F$19:$G$39,2,0),VLOOKUP($S302,Conf!$K:$M,3,0)))</f>
        <v>AÇOUGUEIRO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178</v>
      </c>
      <c r="G302" s="71" t="s">
        <v>1339</v>
      </c>
      <c r="H302" s="71">
        <v>523</v>
      </c>
      <c r="I302" s="71" t="s">
        <v>222</v>
      </c>
      <c r="J302" s="71">
        <v>1</v>
      </c>
      <c r="K302" s="71" t="s">
        <v>223</v>
      </c>
      <c r="L302" s="71" t="s">
        <v>1340</v>
      </c>
      <c r="M302" s="71" t="s">
        <v>1341</v>
      </c>
      <c r="N302" s="71">
        <v>1528657993</v>
      </c>
      <c r="Q302" s="71">
        <v>0</v>
      </c>
      <c r="R302" s="71" t="s">
        <v>1342</v>
      </c>
      <c r="S302" s="71" t="s">
        <v>1343</v>
      </c>
      <c r="T302" s="71" t="s">
        <v>1344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AÇOUGUE</v>
      </c>
      <c r="C303" s="72" t="str">
        <f ca="1">IF(D303="Inativo","Inativo",IFERROR(VLOOKUP($G303,Conf!$F$19:$G$39,2,0),VLOOKUP($S303,Conf!$K:$M,3,0)))</f>
        <v>AÇOUGUEIRO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386</v>
      </c>
      <c r="G303" s="71" t="s">
        <v>1345</v>
      </c>
      <c r="H303" s="71">
        <v>328</v>
      </c>
      <c r="I303" s="71" t="s">
        <v>963</v>
      </c>
      <c r="J303" s="71">
        <v>1</v>
      </c>
      <c r="K303" s="71" t="s">
        <v>223</v>
      </c>
      <c r="L303" s="71" t="s">
        <v>1346</v>
      </c>
      <c r="M303" s="71" t="s">
        <v>1347</v>
      </c>
      <c r="N303" s="71">
        <v>3075513938</v>
      </c>
      <c r="Q303" s="71">
        <v>0</v>
      </c>
      <c r="R303" s="71" t="s">
        <v>234</v>
      </c>
      <c r="S303" s="71" t="s">
        <v>235</v>
      </c>
      <c r="T303" s="71" t="s">
        <v>236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AÇOUGUE</v>
      </c>
      <c r="C304" s="72" t="str">
        <f ca="1">IF(D304="Inativo","Inativo",IFERROR(VLOOKUP($G304,Conf!$F$19:$G$39,2,0),VLOOKUP($S304,Conf!$K:$M,3,0)))</f>
        <v>AÇOUGUEIRO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44</v>
      </c>
      <c r="G304" s="71" t="s">
        <v>1348</v>
      </c>
      <c r="H304" s="71">
        <v>520</v>
      </c>
      <c r="I304" s="71" t="s">
        <v>222</v>
      </c>
      <c r="J304" s="71">
        <v>1</v>
      </c>
      <c r="K304" s="71" t="s">
        <v>223</v>
      </c>
      <c r="L304" s="71" t="s">
        <v>1349</v>
      </c>
      <c r="M304" s="71" t="s">
        <v>1350</v>
      </c>
      <c r="N304" s="71">
        <v>9564472954</v>
      </c>
      <c r="Q304" s="71">
        <v>0</v>
      </c>
      <c r="R304" s="71" t="s">
        <v>1342</v>
      </c>
      <c r="S304" s="71" t="s">
        <v>1343</v>
      </c>
      <c r="T304" s="71" t="s">
        <v>1344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AÇOUGUE</v>
      </c>
      <c r="C305" s="72" t="str">
        <f ca="1">IF(D305="Inativo","Inativo",IFERROR(VLOOKUP($G305,Conf!$F$19:$G$39,2,0),VLOOKUP($S305,Conf!$K:$M,3,0)))</f>
        <v>AÇOUGUEIRO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205</v>
      </c>
      <c r="G305" s="71" t="s">
        <v>1351</v>
      </c>
      <c r="H305" s="71">
        <v>1080</v>
      </c>
      <c r="I305" s="71" t="s">
        <v>772</v>
      </c>
      <c r="J305" s="71">
        <v>1</v>
      </c>
      <c r="K305" s="71" t="s">
        <v>223</v>
      </c>
      <c r="L305" s="71" t="s">
        <v>1352</v>
      </c>
      <c r="M305" s="71" t="s">
        <v>489</v>
      </c>
      <c r="N305" s="71">
        <v>35821387809</v>
      </c>
      <c r="Q305" s="71">
        <v>0</v>
      </c>
      <c r="R305" s="71" t="s">
        <v>1342</v>
      </c>
      <c r="S305" s="71" t="s">
        <v>1343</v>
      </c>
      <c r="T305" s="71" t="s">
        <v>1344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AÇOUGUE</v>
      </c>
      <c r="C306" s="72" t="str">
        <f ca="1">IF(D306="Inativo","Inativo",IFERROR(VLOOKUP($G306,Conf!$F$19:$G$39,2,0),VLOOKUP($S306,Conf!$K:$M,3,0)))</f>
        <v>DESOSSADOR</v>
      </c>
      <c r="D306" s="72" t="str">
        <f ca="1">IFERROR(IF(TODAY()-K306&gt;365,"Inativo",IF(J306=2,"Férias",IF(J306=7,"Demitido","Afastamento"))),VLOOKUP(J306,Conf!$H:$I,2,0))</f>
        <v>Férias</v>
      </c>
      <c r="E306" s="71">
        <v>4</v>
      </c>
      <c r="F306" s="71">
        <v>196</v>
      </c>
      <c r="G306" s="71" t="s">
        <v>1353</v>
      </c>
      <c r="H306" s="71">
        <v>529</v>
      </c>
      <c r="I306" s="71" t="s">
        <v>222</v>
      </c>
      <c r="J306" s="71">
        <v>2</v>
      </c>
      <c r="K306" s="71" t="s">
        <v>471</v>
      </c>
      <c r="L306" s="71" t="s">
        <v>1354</v>
      </c>
      <c r="M306" s="71" t="s">
        <v>1355</v>
      </c>
      <c r="N306" s="71">
        <v>1172843198</v>
      </c>
      <c r="Q306" s="71">
        <v>0</v>
      </c>
      <c r="R306" s="71" t="s">
        <v>1121</v>
      </c>
      <c r="S306" s="71" t="s">
        <v>1356</v>
      </c>
      <c r="T306" s="71" t="s">
        <v>1122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AÇOUGUE</v>
      </c>
      <c r="C307" s="72" t="str">
        <f ca="1">IF(D307="Inativo","Inativo",IFERROR(VLOOKUP($G307,Conf!$F$19:$G$39,2,0),VLOOKUP($S307,Conf!$K:$M,3,0)))</f>
        <v>DESOSSADOR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274</v>
      </c>
      <c r="G307" s="71" t="s">
        <v>1357</v>
      </c>
      <c r="H307" s="71">
        <v>491</v>
      </c>
      <c r="I307" s="71" t="s">
        <v>550</v>
      </c>
      <c r="J307" s="71">
        <v>1</v>
      </c>
      <c r="K307" s="71" t="s">
        <v>223</v>
      </c>
      <c r="L307" s="71" t="s">
        <v>1358</v>
      </c>
      <c r="M307" s="71" t="s">
        <v>295</v>
      </c>
      <c r="N307" s="71">
        <v>10173411924</v>
      </c>
      <c r="O307" s="71" t="s">
        <v>245</v>
      </c>
      <c r="P307" s="71" t="s">
        <v>246</v>
      </c>
      <c r="Q307" s="71">
        <v>0</v>
      </c>
      <c r="R307" s="71" t="s">
        <v>1121</v>
      </c>
      <c r="S307" s="71" t="s">
        <v>1356</v>
      </c>
      <c r="T307" s="71" t="s">
        <v>1122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ADMINISTRATIVO</v>
      </c>
      <c r="C308" s="72" t="str">
        <f ca="1">IF(D308="Inativo","Inativo",IFERROR(VLOOKUP($G308,Conf!$F$19:$G$39,2,0),VLOOKUP($S308,Conf!$K:$M,3,0)))</f>
        <v>GERENTE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448</v>
      </c>
      <c r="G308" s="71" t="s">
        <v>1467</v>
      </c>
      <c r="H308" s="71">
        <v>12</v>
      </c>
      <c r="I308" s="71" t="s">
        <v>639</v>
      </c>
      <c r="J308" s="71">
        <v>1</v>
      </c>
      <c r="K308" s="71" t="s">
        <v>223</v>
      </c>
      <c r="L308" s="71" t="s">
        <v>1468</v>
      </c>
      <c r="M308" s="71" t="s">
        <v>1469</v>
      </c>
      <c r="N308" s="71">
        <v>8168401999</v>
      </c>
      <c r="Q308" s="71">
        <v>0</v>
      </c>
      <c r="R308" s="71" t="s">
        <v>642</v>
      </c>
      <c r="S308" s="71" t="s">
        <v>643</v>
      </c>
      <c r="T308" s="71" t="s">
        <v>644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ADMINISTRATIVO</v>
      </c>
      <c r="C309" s="72" t="str">
        <f ca="1">IF(D309="Inativo","Inativo",IFERROR(VLOOKUP($G309,Conf!$F$19:$G$39,2,0),VLOOKUP($S309,Conf!$K:$M,3,0)))</f>
        <v>SUBGERENTE</v>
      </c>
      <c r="D309" s="72" t="str">
        <f ca="1">IFERROR(IF(TODAY()-K309&gt;365,"Inativo",IF(J309=2,"Férias",IF(J309=7,"Demitido","Afastamento"))),VLOOKUP(J309,Conf!$H:$I,2,0))</f>
        <v>Ativos</v>
      </c>
      <c r="E309" s="71">
        <v>2</v>
      </c>
      <c r="F309" s="71">
        <v>83</v>
      </c>
      <c r="G309" s="71" t="s">
        <v>1481</v>
      </c>
      <c r="H309" s="71">
        <v>12</v>
      </c>
      <c r="I309" s="71" t="s">
        <v>639</v>
      </c>
      <c r="J309" s="71">
        <v>1</v>
      </c>
      <c r="K309" s="71" t="s">
        <v>223</v>
      </c>
      <c r="L309" s="71" t="s">
        <v>1482</v>
      </c>
      <c r="M309" s="71" t="s">
        <v>1483</v>
      </c>
      <c r="N309" s="71">
        <v>5813535950</v>
      </c>
      <c r="Q309" s="71">
        <v>0</v>
      </c>
      <c r="R309" s="71" t="s">
        <v>691</v>
      </c>
      <c r="S309" s="71" t="s">
        <v>1484</v>
      </c>
      <c r="T309" s="71" t="s">
        <v>381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CONFEITARIA</v>
      </c>
      <c r="C310" s="72" t="str">
        <f ca="1">IF(D310="Inativo","Inativo",IFERROR(VLOOKUP($G310,Conf!$F$19:$G$39,2,0),VLOOKUP($S310,Conf!$K:$M,3,0)))</f>
        <v>CONFEITEIRO(A)</v>
      </c>
      <c r="D310" s="72" t="str">
        <f ca="1">IFERROR(IF(TODAY()-K310&gt;365,"Inativo",IF(J310=2,"Férias",IF(J310=7,"Demitido","Afastamento"))),VLOOKUP(J310,Conf!$H:$I,2,0))</f>
        <v>Férias</v>
      </c>
      <c r="E310" s="71">
        <v>4</v>
      </c>
      <c r="F310" s="71">
        <v>88</v>
      </c>
      <c r="G310" s="71" t="s">
        <v>1360</v>
      </c>
      <c r="H310" s="71">
        <v>16</v>
      </c>
      <c r="I310" s="71" t="s">
        <v>473</v>
      </c>
      <c r="J310" s="71">
        <v>2</v>
      </c>
      <c r="K310" s="71" t="s">
        <v>3647</v>
      </c>
      <c r="L310" s="71" t="s">
        <v>1361</v>
      </c>
      <c r="M310" s="71" t="s">
        <v>1362</v>
      </c>
      <c r="N310" s="71">
        <v>10644398965</v>
      </c>
      <c r="Q310" s="71">
        <v>0</v>
      </c>
      <c r="R310" s="71" t="s">
        <v>1363</v>
      </c>
      <c r="S310" s="71" t="s">
        <v>1364</v>
      </c>
      <c r="T310" s="71" t="s">
        <v>1365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DEPOSITO</v>
      </c>
      <c r="C311" s="72" t="str">
        <f ca="1">IF(D311="Inativo","Inativo",IFERROR(VLOOKUP($G311,Conf!$F$19:$G$39,2,0),VLOOKUP($S311,Conf!$K:$M,3,0)))</f>
        <v>CONFERENTE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486</v>
      </c>
      <c r="G311" s="71" t="s">
        <v>1366</v>
      </c>
      <c r="H311" s="71">
        <v>7</v>
      </c>
      <c r="I311" s="71" t="s">
        <v>313</v>
      </c>
      <c r="J311" s="71">
        <v>1</v>
      </c>
      <c r="K311" s="71" t="s">
        <v>223</v>
      </c>
      <c r="L311" s="71" t="s">
        <v>1367</v>
      </c>
      <c r="M311" s="71" t="s">
        <v>277</v>
      </c>
      <c r="N311" s="71">
        <v>9894746900</v>
      </c>
      <c r="Q311" s="71">
        <v>0</v>
      </c>
      <c r="R311" s="71" t="s">
        <v>329</v>
      </c>
      <c r="S311" s="71" t="s">
        <v>330</v>
      </c>
      <c r="T311" s="71" t="s">
        <v>331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DEPOSITO</v>
      </c>
      <c r="C312" s="72" t="str">
        <f ca="1">IF(D312="Inativo","Inativo",IFERROR(VLOOKUP($G312,Conf!$F$19:$G$39,2,0),VLOOKUP($S312,Conf!$K:$M,3,0)))</f>
        <v>ESTOQUISTA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184</v>
      </c>
      <c r="G312" s="71" t="s">
        <v>1368</v>
      </c>
      <c r="H312" s="71">
        <v>47</v>
      </c>
      <c r="I312" s="71" t="s">
        <v>222</v>
      </c>
      <c r="J312" s="71">
        <v>1</v>
      </c>
      <c r="K312" s="71" t="s">
        <v>223</v>
      </c>
      <c r="L312" s="71" t="s">
        <v>1369</v>
      </c>
      <c r="M312" s="71" t="s">
        <v>1370</v>
      </c>
      <c r="N312" s="71">
        <v>52791740848</v>
      </c>
      <c r="Q312" s="71">
        <v>0</v>
      </c>
      <c r="R312" s="71" t="s">
        <v>1371</v>
      </c>
      <c r="S312" s="71" t="s">
        <v>1372</v>
      </c>
      <c r="T312" s="71" t="s">
        <v>1373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DEPOSITO</v>
      </c>
      <c r="C313" s="72" t="str">
        <f ca="1">IF(D313="Inativo","Inativo",IFERROR(VLOOKUP($G313,Conf!$F$19:$G$39,2,0),VLOOKUP($S313,Conf!$K:$M,3,0)))</f>
        <v>ESTOQUISTA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261</v>
      </c>
      <c r="G313" s="71" t="s">
        <v>1374</v>
      </c>
      <c r="H313" s="71">
        <v>16</v>
      </c>
      <c r="I313" s="71" t="s">
        <v>473</v>
      </c>
      <c r="J313" s="71">
        <v>1</v>
      </c>
      <c r="K313" s="71" t="s">
        <v>223</v>
      </c>
      <c r="L313" s="71" t="s">
        <v>1375</v>
      </c>
      <c r="M313" s="71" t="s">
        <v>1376</v>
      </c>
      <c r="N313" s="71">
        <v>12316473962</v>
      </c>
      <c r="O313" s="71" t="s">
        <v>245</v>
      </c>
      <c r="P313" s="71" t="s">
        <v>246</v>
      </c>
      <c r="Q313" s="71">
        <v>0</v>
      </c>
      <c r="R313" s="71" t="s">
        <v>1371</v>
      </c>
      <c r="S313" s="71" t="s">
        <v>1372</v>
      </c>
      <c r="T313" s="71" t="s">
        <v>1373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DEPOSITO</v>
      </c>
      <c r="C314" s="72" t="str">
        <f ca="1">IF(D314="Inativo","Inativo",IFERROR(VLOOKUP($G314,Conf!$F$19:$G$39,2,0),VLOOKUP($S314,Conf!$K:$M,3,0)))</f>
        <v>CONTROLADORIA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429</v>
      </c>
      <c r="G314" s="71" t="s">
        <v>1377</v>
      </c>
      <c r="H314" s="71">
        <v>189</v>
      </c>
      <c r="I314" s="71" t="s">
        <v>799</v>
      </c>
      <c r="J314" s="71">
        <v>1</v>
      </c>
      <c r="K314" s="71" t="s">
        <v>223</v>
      </c>
      <c r="L314" s="71" t="s">
        <v>1378</v>
      </c>
      <c r="M314" s="71" t="s">
        <v>1379</v>
      </c>
      <c r="N314" s="71">
        <v>9578294930</v>
      </c>
      <c r="Q314" s="71">
        <v>0</v>
      </c>
      <c r="R314" s="71" t="s">
        <v>343</v>
      </c>
      <c r="S314" s="71" t="s">
        <v>344</v>
      </c>
      <c r="T314" s="71" t="s">
        <v>345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ENTREGA</v>
      </c>
      <c r="C315" s="72" t="str">
        <f ca="1">IF(D315="Inativo","Inativo",IFERROR(VLOOKUP($G315,Conf!$F$19:$G$39,2,0),VLOOKUP($S315,Conf!$K:$M,3,0)))</f>
        <v>MOTORISTA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451</v>
      </c>
      <c r="G315" s="71" t="s">
        <v>1380</v>
      </c>
      <c r="H315" s="71">
        <v>121</v>
      </c>
      <c r="I315" s="71" t="s">
        <v>839</v>
      </c>
      <c r="J315" s="71">
        <v>1</v>
      </c>
      <c r="K315" s="71" t="s">
        <v>223</v>
      </c>
      <c r="L315" s="71" t="s">
        <v>1381</v>
      </c>
      <c r="M315" s="71" t="s">
        <v>1382</v>
      </c>
      <c r="N315" s="71">
        <v>8015769892</v>
      </c>
      <c r="Q315" s="71">
        <v>0</v>
      </c>
      <c r="R315" s="71" t="s">
        <v>835</v>
      </c>
      <c r="S315" s="71" t="s">
        <v>836</v>
      </c>
      <c r="T315" s="71" t="s">
        <v>1158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IF(D316="Inativo","Inativo",IFERROR(VLOOKUP($G316,Conf!$F$19:$G$39,2,0),VLOOKUP($S316,Conf!$K:$M,3,0)))</f>
        <v>FISCAL DE CAIXA</v>
      </c>
      <c r="D316" s="72" t="str">
        <f ca="1">IFERROR(IF(TODAY()-K316&gt;365,"Inativo",IF(J316=2,"Férias",IF(J316=7,"Demitido","Afastamento"))),VLOOKUP(J316,Conf!$H:$I,2,0))</f>
        <v>Férias</v>
      </c>
      <c r="E316" s="71">
        <v>4</v>
      </c>
      <c r="F316" s="71">
        <v>457</v>
      </c>
      <c r="G316" s="71" t="s">
        <v>1383</v>
      </c>
      <c r="H316" s="71">
        <v>1089</v>
      </c>
      <c r="I316" s="71" t="s">
        <v>222</v>
      </c>
      <c r="J316" s="71">
        <v>2</v>
      </c>
      <c r="K316" s="71" t="s">
        <v>471</v>
      </c>
      <c r="L316" s="71" t="s">
        <v>1384</v>
      </c>
      <c r="M316" s="71" t="s">
        <v>1385</v>
      </c>
      <c r="N316" s="71">
        <v>11825585938</v>
      </c>
      <c r="Q316" s="71">
        <v>0</v>
      </c>
      <c r="R316" s="71" t="s">
        <v>403</v>
      </c>
      <c r="S316" s="71" t="s">
        <v>404</v>
      </c>
      <c r="T316" s="71" t="s">
        <v>405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IF(D317="Inativo","Inativo",IFERROR(VLOOKUP($G317,Conf!$F$19:$G$39,2,0),VLOOKUP($S317,Conf!$K:$M,3,0)))</f>
        <v>OPERADOR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504</v>
      </c>
      <c r="G317" s="71" t="s">
        <v>1386</v>
      </c>
      <c r="H317" s="71">
        <v>520</v>
      </c>
      <c r="I317" s="71" t="s">
        <v>222</v>
      </c>
      <c r="J317" s="71">
        <v>1</v>
      </c>
      <c r="K317" s="71" t="s">
        <v>223</v>
      </c>
      <c r="L317" s="71" t="s">
        <v>1387</v>
      </c>
      <c r="M317" s="71" t="s">
        <v>417</v>
      </c>
      <c r="N317" s="71">
        <v>12355002924</v>
      </c>
      <c r="O317" s="71" t="s">
        <v>245</v>
      </c>
      <c r="P317" s="71" t="s">
        <v>246</v>
      </c>
      <c r="Q317" s="71">
        <v>0</v>
      </c>
      <c r="R317" s="71" t="s">
        <v>412</v>
      </c>
      <c r="S317" s="71" t="s">
        <v>413</v>
      </c>
      <c r="T317" s="71" t="s">
        <v>414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IF(D318="Inativo","Inativo",IFERROR(VLOOKUP($G318,Conf!$F$19:$G$39,2,0),VLOOKUP($S318,Conf!$K:$M,3,0)))</f>
        <v>OPERADOR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507</v>
      </c>
      <c r="G318" s="71" t="s">
        <v>1388</v>
      </c>
      <c r="H318" s="71">
        <v>925</v>
      </c>
      <c r="I318" s="71" t="s">
        <v>222</v>
      </c>
      <c r="J318" s="71">
        <v>1</v>
      </c>
      <c r="K318" s="71" t="s">
        <v>223</v>
      </c>
      <c r="L318" s="71" t="s">
        <v>1389</v>
      </c>
      <c r="M318" s="71" t="s">
        <v>231</v>
      </c>
      <c r="N318" s="71">
        <v>87839245900</v>
      </c>
      <c r="O318" s="71" t="s">
        <v>245</v>
      </c>
      <c r="P318" s="71" t="s">
        <v>246</v>
      </c>
      <c r="Q318" s="71">
        <v>0</v>
      </c>
      <c r="R318" s="71" t="s">
        <v>412</v>
      </c>
      <c r="S318" s="71" t="s">
        <v>413</v>
      </c>
      <c r="T318" s="71" t="s">
        <v>414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IF(D319="Inativo","Inativo",IFERROR(VLOOKUP($G319,Conf!$F$19:$G$39,2,0),VLOOKUP($S319,Conf!$K:$M,3,0)))</f>
        <v>OPERADOR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466</v>
      </c>
      <c r="G319" s="71" t="s">
        <v>1390</v>
      </c>
      <c r="H319" s="71">
        <v>1085</v>
      </c>
      <c r="I319" s="71" t="s">
        <v>222</v>
      </c>
      <c r="J319" s="71">
        <v>1</v>
      </c>
      <c r="K319" s="71" t="s">
        <v>223</v>
      </c>
      <c r="L319" s="71" t="s">
        <v>1391</v>
      </c>
      <c r="M319" s="71" t="s">
        <v>600</v>
      </c>
      <c r="N319" s="71">
        <v>10975811959</v>
      </c>
      <c r="Q319" s="71">
        <v>0</v>
      </c>
      <c r="R319" s="71" t="s">
        <v>412</v>
      </c>
      <c r="S319" s="71" t="s">
        <v>413</v>
      </c>
      <c r="T319" s="71" t="s">
        <v>414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IF(D320="Inativo","Inativo",IFERROR(VLOOKUP($G320,Conf!$F$19:$G$39,2,0),VLOOKUP($S320,Conf!$K:$M,3,0)))</f>
        <v>OPERADOR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508</v>
      </c>
      <c r="G320" s="71" t="s">
        <v>1392</v>
      </c>
      <c r="H320" s="71">
        <v>924</v>
      </c>
      <c r="I320" s="71" t="s">
        <v>222</v>
      </c>
      <c r="J320" s="71">
        <v>1</v>
      </c>
      <c r="K320" s="71" t="s">
        <v>223</v>
      </c>
      <c r="L320" s="71" t="s">
        <v>1393</v>
      </c>
      <c r="M320" s="71" t="s">
        <v>320</v>
      </c>
      <c r="N320" s="71">
        <v>11738816974</v>
      </c>
      <c r="O320" s="71" t="s">
        <v>245</v>
      </c>
      <c r="P320" s="71" t="s">
        <v>246</v>
      </c>
      <c r="Q320" s="71">
        <v>0</v>
      </c>
      <c r="R320" s="71" t="s">
        <v>412</v>
      </c>
      <c r="S320" s="71" t="s">
        <v>413</v>
      </c>
      <c r="T320" s="71" t="s">
        <v>414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IF(D321="Inativo","Inativo",IFERROR(VLOOKUP($G321,Conf!$F$19:$G$39,2,0),VLOOKUP($S321,Conf!$K:$M,3,0)))</f>
        <v>OPERADOR</v>
      </c>
      <c r="D321" s="72" t="str">
        <f ca="1">IFERROR(IF(TODAY()-K321&gt;365,"Inativo",IF(J321=2,"Férias",IF(J321=7,"Demitido","Afastamento"))),VLOOKUP(J321,Conf!$H:$I,2,0))</f>
        <v>Afastamento</v>
      </c>
      <c r="E321" s="71">
        <v>4</v>
      </c>
      <c r="F321" s="71">
        <v>471</v>
      </c>
      <c r="G321" s="71" t="s">
        <v>1394</v>
      </c>
      <c r="H321" s="71">
        <v>1087</v>
      </c>
      <c r="I321" s="71" t="s">
        <v>222</v>
      </c>
      <c r="J321" s="71">
        <v>3</v>
      </c>
      <c r="K321" s="71" t="s">
        <v>426</v>
      </c>
      <c r="L321" s="71" t="s">
        <v>1395</v>
      </c>
      <c r="M321" s="71" t="s">
        <v>1396</v>
      </c>
      <c r="N321" s="71">
        <v>516027921</v>
      </c>
      <c r="Q321" s="71">
        <v>0</v>
      </c>
      <c r="R321" s="71" t="s">
        <v>412</v>
      </c>
      <c r="S321" s="71" t="s">
        <v>413</v>
      </c>
      <c r="T321" s="71" t="s">
        <v>414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FRENTE DE CAIXA</v>
      </c>
      <c r="C322" s="72" t="str">
        <f ca="1">IF(D322="Inativo","Inativo",IFERROR(VLOOKUP($G322,Conf!$F$19:$G$39,2,0),VLOOKUP($S322,Conf!$K:$M,3,0)))</f>
        <v>OPERADOR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446</v>
      </c>
      <c r="G322" s="71" t="s">
        <v>1397</v>
      </c>
      <c r="H322" s="71">
        <v>1094</v>
      </c>
      <c r="I322" s="71" t="s">
        <v>238</v>
      </c>
      <c r="J322" s="71">
        <v>1</v>
      </c>
      <c r="K322" s="71" t="s">
        <v>223</v>
      </c>
      <c r="L322" s="71" t="s">
        <v>1398</v>
      </c>
      <c r="M322" s="71" t="s">
        <v>1399</v>
      </c>
      <c r="N322" s="71">
        <v>1362027804</v>
      </c>
      <c r="Q322" s="71">
        <v>0</v>
      </c>
      <c r="R322" s="71" t="s">
        <v>412</v>
      </c>
      <c r="S322" s="71" t="s">
        <v>413</v>
      </c>
      <c r="T322" s="71" t="s">
        <v>414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IF(D323="Inativo","Inativo",IFERROR(VLOOKUP($G323,Conf!$F$19:$G$39,2,0),VLOOKUP($S323,Conf!$K:$M,3,0)))</f>
        <v>OPERADOR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489</v>
      </c>
      <c r="G323" s="71" t="s">
        <v>1400</v>
      </c>
      <c r="H323" s="71">
        <v>523</v>
      </c>
      <c r="I323" s="71" t="s">
        <v>222</v>
      </c>
      <c r="J323" s="71">
        <v>1</v>
      </c>
      <c r="K323" s="71" t="s">
        <v>223</v>
      </c>
      <c r="L323" s="71" t="s">
        <v>1401</v>
      </c>
      <c r="M323" s="71" t="s">
        <v>1402</v>
      </c>
      <c r="N323" s="71">
        <v>12000731937</v>
      </c>
      <c r="O323" s="71" t="s">
        <v>245</v>
      </c>
      <c r="P323" s="71" t="s">
        <v>246</v>
      </c>
      <c r="Q323" s="71">
        <v>0</v>
      </c>
      <c r="R323" s="71" t="s">
        <v>412</v>
      </c>
      <c r="S323" s="71" t="s">
        <v>413</v>
      </c>
      <c r="T323" s="71" t="s">
        <v>414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FRENTE DE CAIXA</v>
      </c>
      <c r="C324" s="72" t="str">
        <f ca="1">IF(D324="Inativo","Inativo",IFERROR(VLOOKUP($G324,Conf!$F$19:$G$39,2,0),VLOOKUP($S324,Conf!$K:$M,3,0)))</f>
        <v>OPERADOR</v>
      </c>
      <c r="D324" s="72" t="str">
        <f ca="1">IFERROR(IF(TODAY()-K324&gt;365,"Inativo",IF(J324=2,"Férias",IF(J324=7,"Demitido","Afastamento"))),VLOOKUP(J324,Conf!$H:$I,2,0))</f>
        <v>Demitido</v>
      </c>
      <c r="E324" s="71">
        <v>4</v>
      </c>
      <c r="F324" s="71">
        <v>502</v>
      </c>
      <c r="G324" s="71" t="s">
        <v>1403</v>
      </c>
      <c r="H324" s="71">
        <v>526</v>
      </c>
      <c r="I324" s="71" t="s">
        <v>222</v>
      </c>
      <c r="J324" s="71">
        <v>7</v>
      </c>
      <c r="K324" s="71" t="s">
        <v>426</v>
      </c>
      <c r="L324" s="71" t="s">
        <v>1404</v>
      </c>
      <c r="M324" s="71" t="s">
        <v>423</v>
      </c>
      <c r="N324" s="71">
        <v>10511602944</v>
      </c>
      <c r="O324" s="71" t="s">
        <v>245</v>
      </c>
      <c r="P324" s="71" t="s">
        <v>246</v>
      </c>
      <c r="Q324" s="71">
        <v>0</v>
      </c>
      <c r="R324" s="71" t="s">
        <v>412</v>
      </c>
      <c r="S324" s="71" t="s">
        <v>413</v>
      </c>
      <c r="T324" s="71" t="s">
        <v>414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FRENTE DE CAIXA</v>
      </c>
      <c r="C325" s="72" t="str">
        <f ca="1">IF(D325="Inativo","Inativo",IFERROR(VLOOKUP($G325,Conf!$F$19:$G$39,2,0),VLOOKUP($S325,Conf!$K:$M,3,0)))</f>
        <v>OPERADOR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501</v>
      </c>
      <c r="G325" s="71" t="s">
        <v>1405</v>
      </c>
      <c r="H325" s="71">
        <v>525</v>
      </c>
      <c r="I325" s="71" t="s">
        <v>222</v>
      </c>
      <c r="J325" s="71">
        <v>1</v>
      </c>
      <c r="K325" s="71" t="s">
        <v>223</v>
      </c>
      <c r="L325" s="71" t="s">
        <v>1406</v>
      </c>
      <c r="M325" s="71" t="s">
        <v>819</v>
      </c>
      <c r="N325" s="71">
        <v>9585373130</v>
      </c>
      <c r="O325" s="71" t="s">
        <v>245</v>
      </c>
      <c r="P325" s="71" t="s">
        <v>246</v>
      </c>
      <c r="Q325" s="71">
        <v>0</v>
      </c>
      <c r="R325" s="71" t="s">
        <v>412</v>
      </c>
      <c r="S325" s="71" t="s">
        <v>413</v>
      </c>
      <c r="T325" s="71" t="s">
        <v>414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FRENTE DE CAIXA</v>
      </c>
      <c r="C326" s="72" t="str">
        <f ca="1">IF(D326="Inativo","Inativo",IFERROR(VLOOKUP($G326,Conf!$F$19:$G$39,2,0),VLOOKUP($S326,Conf!$K:$M,3,0)))</f>
        <v>OPERADOR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492</v>
      </c>
      <c r="G326" s="71" t="s">
        <v>1407</v>
      </c>
      <c r="H326" s="71">
        <v>1093</v>
      </c>
      <c r="I326" s="71" t="s">
        <v>238</v>
      </c>
      <c r="J326" s="71">
        <v>1</v>
      </c>
      <c r="K326" s="71" t="s">
        <v>223</v>
      </c>
      <c r="L326" s="71" t="s">
        <v>1408</v>
      </c>
      <c r="M326" s="71" t="s">
        <v>1239</v>
      </c>
      <c r="N326" s="71">
        <v>11579989926</v>
      </c>
      <c r="O326" s="71" t="s">
        <v>245</v>
      </c>
      <c r="P326" s="71" t="s">
        <v>246</v>
      </c>
      <c r="Q326" s="71">
        <v>0</v>
      </c>
      <c r="R326" s="71" t="s">
        <v>412</v>
      </c>
      <c r="S326" s="71" t="s">
        <v>413</v>
      </c>
      <c r="T326" s="71" t="s">
        <v>414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FRENTE DE CAIXA</v>
      </c>
      <c r="C327" s="72" t="str">
        <f ca="1">IF(D327="Inativo","Inativo",IFERROR(VLOOKUP($G327,Conf!$F$19:$G$39,2,0),VLOOKUP($S327,Conf!$K:$M,3,0)))</f>
        <v>OPERADOR</v>
      </c>
      <c r="D327" s="72" t="str">
        <f ca="1">IFERROR(IF(TODAY()-K327&gt;365,"Inativo",IF(J327=2,"Férias",IF(J327=7,"Demitido","Afastamento"))),VLOOKUP(J327,Conf!$H:$I,2,0))</f>
        <v>Afastamento</v>
      </c>
      <c r="E327" s="71">
        <v>4</v>
      </c>
      <c r="F327" s="71">
        <v>445</v>
      </c>
      <c r="G327" s="71" t="s">
        <v>1409</v>
      </c>
      <c r="H327" s="71">
        <v>1100</v>
      </c>
      <c r="I327" s="71" t="s">
        <v>279</v>
      </c>
      <c r="J327" s="71">
        <v>5</v>
      </c>
      <c r="K327" s="71" t="s">
        <v>1410</v>
      </c>
      <c r="L327" s="71" t="s">
        <v>1411</v>
      </c>
      <c r="M327" s="71" t="s">
        <v>1399</v>
      </c>
      <c r="N327" s="71">
        <v>13812429950</v>
      </c>
      <c r="Q327" s="71">
        <v>0</v>
      </c>
      <c r="R327" s="71" t="s">
        <v>412</v>
      </c>
      <c r="S327" s="71" t="s">
        <v>413</v>
      </c>
      <c r="T327" s="71" t="s">
        <v>414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FRENTE DE CAIXA</v>
      </c>
      <c r="C328" s="72" t="str">
        <f ca="1">IF(D328="Inativo","Inativo",IFERROR(VLOOKUP($G328,Conf!$F$19:$G$39,2,0),VLOOKUP($S328,Conf!$K:$M,3,0)))</f>
        <v>OPERADOR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491</v>
      </c>
      <c r="G328" s="71" t="s">
        <v>1412</v>
      </c>
      <c r="H328" s="71">
        <v>1085</v>
      </c>
      <c r="I328" s="71" t="s">
        <v>222</v>
      </c>
      <c r="J328" s="71">
        <v>1</v>
      </c>
      <c r="K328" s="71" t="s">
        <v>223</v>
      </c>
      <c r="L328" s="71" t="s">
        <v>1413</v>
      </c>
      <c r="M328" s="71" t="s">
        <v>1414</v>
      </c>
      <c r="N328" s="71">
        <v>11583422927</v>
      </c>
      <c r="O328" s="71" t="s">
        <v>245</v>
      </c>
      <c r="P328" s="71" t="s">
        <v>246</v>
      </c>
      <c r="Q328" s="71">
        <v>0</v>
      </c>
      <c r="R328" s="71" t="s">
        <v>412</v>
      </c>
      <c r="S328" s="71" t="s">
        <v>413</v>
      </c>
      <c r="T328" s="71" t="s">
        <v>414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FRENTE DE CAIXA</v>
      </c>
      <c r="C329" s="72" t="str">
        <f ca="1">IF(D329="Inativo","Inativo",IFERROR(VLOOKUP($G329,Conf!$F$19:$G$39,2,0),VLOOKUP($S329,Conf!$K:$M,3,0)))</f>
        <v>OPERADOR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509</v>
      </c>
      <c r="G329" s="71" t="s">
        <v>3643</v>
      </c>
      <c r="H329" s="71">
        <v>528</v>
      </c>
      <c r="I329" s="71" t="s">
        <v>222</v>
      </c>
      <c r="J329" s="71">
        <v>1</v>
      </c>
      <c r="K329" s="71" t="s">
        <v>223</v>
      </c>
      <c r="L329" s="71" t="s">
        <v>3644</v>
      </c>
      <c r="M329" s="71" t="s">
        <v>3639</v>
      </c>
      <c r="N329" s="71">
        <v>14301528423</v>
      </c>
      <c r="O329" s="71" t="s">
        <v>245</v>
      </c>
      <c r="P329" s="71" t="s">
        <v>246</v>
      </c>
      <c r="Q329" s="71">
        <v>0</v>
      </c>
      <c r="R329" s="71" t="s">
        <v>412</v>
      </c>
      <c r="S329" s="71" t="s">
        <v>413</v>
      </c>
      <c r="T329" s="71" t="s">
        <v>414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FRENTE DE CAIXA</v>
      </c>
      <c r="C330" s="72" t="str">
        <f ca="1">IF(D330="Inativo","Inativo",IFERROR(VLOOKUP($G330,Conf!$F$19:$G$39,2,0),VLOOKUP($S330,Conf!$K:$M,3,0)))</f>
        <v>OPERADOR</v>
      </c>
      <c r="D330" s="72" t="str">
        <f ca="1">IFERROR(IF(TODAY()-K330&gt;365,"Inativo",IF(J330=2,"Férias",IF(J330=7,"Demitido","Afastamento"))),VLOOKUP(J330,Conf!$H:$I,2,0))</f>
        <v>Demitido</v>
      </c>
      <c r="E330" s="71">
        <v>4</v>
      </c>
      <c r="F330" s="71">
        <v>500</v>
      </c>
      <c r="G330" s="71" t="s">
        <v>1415</v>
      </c>
      <c r="H330" s="71">
        <v>520</v>
      </c>
      <c r="I330" s="71" t="s">
        <v>222</v>
      </c>
      <c r="J330" s="71">
        <v>7</v>
      </c>
      <c r="K330" s="71" t="s">
        <v>1170</v>
      </c>
      <c r="L330" s="71" t="s">
        <v>1416</v>
      </c>
      <c r="M330" s="71" t="s">
        <v>655</v>
      </c>
      <c r="N330" s="71">
        <v>12371060950</v>
      </c>
      <c r="O330" s="71" t="s">
        <v>245</v>
      </c>
      <c r="P330" s="71" t="s">
        <v>246</v>
      </c>
      <c r="Q330" s="71">
        <v>0</v>
      </c>
      <c r="R330" s="71" t="s">
        <v>412</v>
      </c>
      <c r="S330" s="71" t="s">
        <v>413</v>
      </c>
      <c r="T330" s="71" t="s">
        <v>414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FRENTE DE CAIXA</v>
      </c>
      <c r="C331" s="72" t="str">
        <f ca="1">IF(D331="Inativo","Inativo",IFERROR(VLOOKUP($G331,Conf!$F$19:$G$39,2,0),VLOOKUP($S331,Conf!$K:$M,3,0)))</f>
        <v>OPERADOR</v>
      </c>
      <c r="D331" s="72" t="str">
        <f ca="1">IFERROR(IF(TODAY()-K331&gt;365,"Inativo",IF(J331=2,"Férias",IF(J331=7,"Demitido","Afastamento"))),VLOOKUP(J331,Conf!$H:$I,2,0))</f>
        <v>Afastamento</v>
      </c>
      <c r="E331" s="71">
        <v>4</v>
      </c>
      <c r="F331" s="71">
        <v>456</v>
      </c>
      <c r="G331" s="71" t="s">
        <v>1417</v>
      </c>
      <c r="H331" s="71">
        <v>468</v>
      </c>
      <c r="I331" s="71" t="s">
        <v>903</v>
      </c>
      <c r="J331" s="71">
        <v>3</v>
      </c>
      <c r="K331" s="71" t="s">
        <v>1418</v>
      </c>
      <c r="L331" s="71" t="s">
        <v>1419</v>
      </c>
      <c r="M331" s="71" t="s">
        <v>905</v>
      </c>
      <c r="N331" s="71">
        <v>4473921905</v>
      </c>
      <c r="Q331" s="71">
        <v>0</v>
      </c>
      <c r="R331" s="71" t="s">
        <v>412</v>
      </c>
      <c r="S331" s="71" t="s">
        <v>413</v>
      </c>
      <c r="T331" s="71" t="s">
        <v>414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FRIOS</v>
      </c>
      <c r="C332" s="72" t="str">
        <f ca="1">IF(D332="Inativo","Inativo",IFERROR(VLOOKUP($G332,Conf!$F$19:$G$39,2,0),VLOOKUP($S332,Conf!$K:$M,3,0)))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210</v>
      </c>
      <c r="G332" s="71" t="s">
        <v>1420</v>
      </c>
      <c r="H332" s="71">
        <v>47</v>
      </c>
      <c r="I332" s="71" t="s">
        <v>222</v>
      </c>
      <c r="J332" s="71">
        <v>1</v>
      </c>
      <c r="K332" s="71" t="s">
        <v>223</v>
      </c>
      <c r="L332" s="71" t="s">
        <v>1421</v>
      </c>
      <c r="M332" s="71" t="s">
        <v>1422</v>
      </c>
      <c r="N332" s="71">
        <v>8951361985</v>
      </c>
      <c r="Q332" s="71">
        <v>0</v>
      </c>
      <c r="R332" s="71" t="s">
        <v>1228</v>
      </c>
      <c r="S332" s="71" t="s">
        <v>1229</v>
      </c>
      <c r="T332" s="71" t="s">
        <v>1423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HORTIFRUTI</v>
      </c>
      <c r="C333" s="72" t="str">
        <f ca="1">IF(D333="Inativo","Inativo",IFERROR(VLOOKUP($G333,Conf!$F$19:$G$39,2,0),VLOOKUP($S333,Conf!$K:$M,3,0)))</f>
        <v>GERENTE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130</v>
      </c>
      <c r="G333" s="71" t="s">
        <v>1424</v>
      </c>
      <c r="H333" s="71">
        <v>47</v>
      </c>
      <c r="I333" s="71" t="s">
        <v>222</v>
      </c>
      <c r="J333" s="71">
        <v>1</v>
      </c>
      <c r="K333" s="71" t="s">
        <v>223</v>
      </c>
      <c r="L333" s="71" t="s">
        <v>1425</v>
      </c>
      <c r="M333" s="71" t="s">
        <v>1426</v>
      </c>
      <c r="N333" s="71">
        <v>3598014988</v>
      </c>
      <c r="Q333" s="71">
        <v>0</v>
      </c>
      <c r="R333" s="71" t="s">
        <v>1234</v>
      </c>
      <c r="S333" s="71" t="s">
        <v>1427</v>
      </c>
      <c r="T333" s="71" t="s">
        <v>1236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HORTIFRUTI</v>
      </c>
      <c r="C334" s="72" t="str">
        <f ca="1">IF(D334="Inativo","Inativo",IFERROR(VLOOKUP($G334,Conf!$F$19:$G$39,2,0),VLOOKUP($S334,Conf!$K:$M,3,0)))</f>
        <v>REPOSITOR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266</v>
      </c>
      <c r="G334" s="71" t="s">
        <v>1428</v>
      </c>
      <c r="H334" s="71">
        <v>47</v>
      </c>
      <c r="I334" s="71" t="s">
        <v>222</v>
      </c>
      <c r="J334" s="71">
        <v>1</v>
      </c>
      <c r="K334" s="71" t="s">
        <v>223</v>
      </c>
      <c r="L334" s="71" t="s">
        <v>1429</v>
      </c>
      <c r="M334" s="71" t="s">
        <v>468</v>
      </c>
      <c r="N334" s="71">
        <v>13950790993</v>
      </c>
      <c r="O334" s="71" t="s">
        <v>245</v>
      </c>
      <c r="P334" s="71" t="s">
        <v>246</v>
      </c>
      <c r="Q334" s="71">
        <v>0</v>
      </c>
      <c r="R334" s="71" t="s">
        <v>1240</v>
      </c>
      <c r="S334" s="71" t="s">
        <v>1430</v>
      </c>
      <c r="T334" s="71" t="s">
        <v>1242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HORTIFRUTI</v>
      </c>
      <c r="C335" s="72" t="str">
        <f ca="1">IF(D335="Inativo","Inativo",IFERROR(VLOOKUP($G335,Conf!$F$19:$G$39,2,0),VLOOKUP($S335,Conf!$K:$M,3,0)))</f>
        <v>REPOSITOR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188</v>
      </c>
      <c r="G335" s="71" t="s">
        <v>1431</v>
      </c>
      <c r="H335" s="71">
        <v>493</v>
      </c>
      <c r="I335" s="71" t="s">
        <v>550</v>
      </c>
      <c r="J335" s="71">
        <v>1</v>
      </c>
      <c r="K335" s="71" t="s">
        <v>223</v>
      </c>
      <c r="L335" s="71" t="s">
        <v>1432</v>
      </c>
      <c r="M335" s="71" t="s">
        <v>1433</v>
      </c>
      <c r="N335" s="71">
        <v>49174214896</v>
      </c>
      <c r="Q335" s="71">
        <v>0</v>
      </c>
      <c r="R335" s="71" t="s">
        <v>1240</v>
      </c>
      <c r="S335" s="71" t="s">
        <v>1430</v>
      </c>
      <c r="T335" s="71" t="s">
        <v>1242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HORTIFRUTI</v>
      </c>
      <c r="C336" s="72" t="str">
        <f ca="1">IF(D336="Inativo","Inativo",IFERROR(VLOOKUP($G336,Conf!$F$19:$G$39,2,0),VLOOKUP($S336,Conf!$K:$M,3,0)))</f>
        <v>REPOSITOR</v>
      </c>
      <c r="D336" s="72" t="str">
        <f ca="1">IFERROR(IF(TODAY()-K336&gt;365,"Inativo",IF(J336=2,"Férias",IF(J336=7,"Demitido","Afastamento"))),VLOOKUP(J336,Conf!$H:$I,2,0))</f>
        <v>Férias</v>
      </c>
      <c r="E336" s="71">
        <v>4</v>
      </c>
      <c r="F336" s="71">
        <v>24</v>
      </c>
      <c r="G336" s="71" t="s">
        <v>1434</v>
      </c>
      <c r="H336" s="71">
        <v>626</v>
      </c>
      <c r="I336" s="71" t="s">
        <v>850</v>
      </c>
      <c r="J336" s="71">
        <v>2</v>
      </c>
      <c r="K336" s="71" t="s">
        <v>471</v>
      </c>
      <c r="L336" s="71" t="s">
        <v>1435</v>
      </c>
      <c r="M336" s="71" t="s">
        <v>1436</v>
      </c>
      <c r="N336" s="71">
        <v>11590892992</v>
      </c>
      <c r="Q336" s="71">
        <v>0</v>
      </c>
      <c r="R336" s="71" t="s">
        <v>1240</v>
      </c>
      <c r="S336" s="71" t="s">
        <v>1430</v>
      </c>
      <c r="T336" s="71" t="s">
        <v>1242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Inativo</v>
      </c>
      <c r="C337" s="72" t="str">
        <f ca="1">IF(D337="Inativo","Inativo",IFERROR(VLOOKUP($G337,Conf!$F$19:$G$39,2,0),VLOOKUP($S337,Conf!$K:$M,3,0)))</f>
        <v>Inativo</v>
      </c>
      <c r="D337" s="72" t="str">
        <f ca="1">IFERROR(IF(TODAY()-K337&gt;365,"Inativo",IF(J337=2,"Férias",IF(J337=7,"Demitido","Afastamento"))),VLOOKUP(J337,Conf!$H:$I,2,0))</f>
        <v>Inativo</v>
      </c>
      <c r="E337" s="71">
        <v>4</v>
      </c>
      <c r="F337" s="71">
        <v>119</v>
      </c>
      <c r="G337" s="71" t="s">
        <v>1437</v>
      </c>
      <c r="H337" s="71">
        <v>40</v>
      </c>
      <c r="I337" s="71" t="s">
        <v>1251</v>
      </c>
      <c r="J337" s="71">
        <v>22</v>
      </c>
      <c r="K337" s="71" t="s">
        <v>1438</v>
      </c>
      <c r="L337" s="71" t="s">
        <v>1439</v>
      </c>
      <c r="M337" s="71" t="s">
        <v>1440</v>
      </c>
      <c r="N337" s="71">
        <v>11240767862</v>
      </c>
      <c r="Q337" s="71">
        <v>0</v>
      </c>
      <c r="R337" s="71" t="s">
        <v>367</v>
      </c>
      <c r="S337" s="71" t="s">
        <v>368</v>
      </c>
      <c r="T337" s="71" t="s">
        <v>369</v>
      </c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LIMPEZA</v>
      </c>
      <c r="C338" s="72" t="str">
        <f ca="1">IF(D338="Inativo","Inativo",IFERROR(VLOOKUP($G338,Conf!$F$19:$G$39,2,0),VLOOKUP($S338,Conf!$K:$M,3,0)))</f>
        <v>ZELADOR(A)</v>
      </c>
      <c r="D338" s="72" t="str">
        <f ca="1">IFERROR(IF(TODAY()-K338&gt;365,"Inativo",IF(J338=2,"Férias",IF(J338=7,"Demitido","Afastamento"))),VLOOKUP(J338,Conf!$H:$I,2,0))</f>
        <v>Ativos</v>
      </c>
      <c r="E338" s="71">
        <v>4</v>
      </c>
      <c r="F338" s="71">
        <v>34</v>
      </c>
      <c r="G338" s="71" t="s">
        <v>1441</v>
      </c>
      <c r="H338" s="71">
        <v>484</v>
      </c>
      <c r="I338" s="71" t="s">
        <v>550</v>
      </c>
      <c r="J338" s="71">
        <v>1</v>
      </c>
      <c r="K338" s="71" t="s">
        <v>223</v>
      </c>
      <c r="L338" s="71" t="s">
        <v>1442</v>
      </c>
      <c r="M338" s="71" t="s">
        <v>1443</v>
      </c>
      <c r="N338" s="71">
        <v>87856395915</v>
      </c>
      <c r="Q338" s="71">
        <v>0</v>
      </c>
      <c r="R338" s="71" t="s">
        <v>1258</v>
      </c>
      <c r="S338" s="71" t="s">
        <v>1444</v>
      </c>
      <c r="T338" s="71" t="s">
        <v>1260</v>
      </c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LIMPEZA</v>
      </c>
      <c r="C339" s="72" t="str">
        <f ca="1">IF(D339="Inativo","Inativo",IFERROR(VLOOKUP($G339,Conf!$F$19:$G$39,2,0),VLOOKUP($S339,Conf!$K:$M,3,0)))</f>
        <v>ZELADOR(A)</v>
      </c>
      <c r="D339" s="72" t="str">
        <f ca="1">IFERROR(IF(TODAY()-K339&gt;365,"Inativo",IF(J339=2,"Férias",IF(J339=7,"Demitido","Afastamento"))),VLOOKUP(J339,Conf!$H:$I,2,0))</f>
        <v>Ativos</v>
      </c>
      <c r="E339" s="71">
        <v>4</v>
      </c>
      <c r="F339" s="71">
        <v>220</v>
      </c>
      <c r="G339" s="71" t="s">
        <v>1445</v>
      </c>
      <c r="H339" s="71">
        <v>47</v>
      </c>
      <c r="I339" s="71" t="s">
        <v>222</v>
      </c>
      <c r="J339" s="71">
        <v>1</v>
      </c>
      <c r="K339" s="71" t="s">
        <v>223</v>
      </c>
      <c r="L339" s="71" t="s">
        <v>1446</v>
      </c>
      <c r="M339" s="71" t="s">
        <v>1447</v>
      </c>
      <c r="N339" s="71">
        <v>7660794906</v>
      </c>
      <c r="Q339" s="71">
        <v>0</v>
      </c>
      <c r="R339" s="71" t="s">
        <v>1258</v>
      </c>
      <c r="S339" s="71" t="s">
        <v>1444</v>
      </c>
      <c r="T339" s="71" t="s">
        <v>1260</v>
      </c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LOJA</v>
      </c>
      <c r="C340" s="72" t="str">
        <f ca="1">IF(D340="Inativo","Inativo",IFERROR(VLOOKUP($G340,Conf!$F$19:$G$39,2,0),VLOOKUP($S340,Conf!$K:$M,3,0)))</f>
        <v>APRENDIZ</v>
      </c>
      <c r="D340" s="72" t="str">
        <f ca="1">IFERROR(IF(TODAY()-K340&gt;365,"Inativo",IF(J340=2,"Férias",IF(J340=7,"Demitido","Afastamento"))),VLOOKUP(J340,Conf!$H:$I,2,0))</f>
        <v>Ativos</v>
      </c>
      <c r="E340" s="71">
        <v>4</v>
      </c>
      <c r="F340" s="71">
        <v>499</v>
      </c>
      <c r="G340" s="71" t="s">
        <v>1448</v>
      </c>
      <c r="H340" s="71">
        <v>977</v>
      </c>
      <c r="I340" s="71" t="s">
        <v>1449</v>
      </c>
      <c r="J340" s="71">
        <v>1</v>
      </c>
      <c r="K340" s="71" t="s">
        <v>223</v>
      </c>
      <c r="L340" s="71" t="s">
        <v>1450</v>
      </c>
      <c r="M340" s="71" t="s">
        <v>604</v>
      </c>
      <c r="N340" s="71">
        <v>11936858932</v>
      </c>
      <c r="O340" s="71" t="s">
        <v>245</v>
      </c>
      <c r="P340" s="71" t="s">
        <v>246</v>
      </c>
      <c r="Q340" s="71">
        <v>0</v>
      </c>
      <c r="R340" s="71" t="s">
        <v>605</v>
      </c>
      <c r="S340" s="71" t="s">
        <v>606</v>
      </c>
      <c r="T340" s="71" t="s">
        <v>607</v>
      </c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LOJA</v>
      </c>
      <c r="C341" s="72" t="str">
        <f ca="1">IF(D341="Inativo","Inativo",IFERROR(VLOOKUP($G341,Conf!$F$19:$G$39,2,0),VLOOKUP($S341,Conf!$K:$M,3,0)))</f>
        <v>APRENDIZ</v>
      </c>
      <c r="D341" s="72" t="str">
        <f ca="1">IFERROR(IF(TODAY()-K341&gt;365,"Inativo",IF(J341=2,"Férias",IF(J341=7,"Demitido","Afastamento"))),VLOOKUP(J341,Conf!$H:$I,2,0))</f>
        <v>Ativos</v>
      </c>
      <c r="E341" s="71">
        <v>4</v>
      </c>
      <c r="F341" s="71">
        <v>295</v>
      </c>
      <c r="G341" s="71" t="s">
        <v>1451</v>
      </c>
      <c r="H341" s="71">
        <v>977</v>
      </c>
      <c r="I341" s="71" t="s">
        <v>1449</v>
      </c>
      <c r="J341" s="71">
        <v>1</v>
      </c>
      <c r="K341" s="71" t="s">
        <v>223</v>
      </c>
      <c r="L341" s="71" t="s">
        <v>1452</v>
      </c>
      <c r="M341" s="71" t="s">
        <v>604</v>
      </c>
      <c r="N341" s="71">
        <v>11564492940</v>
      </c>
      <c r="O341" s="71" t="s">
        <v>245</v>
      </c>
      <c r="P341" s="71" t="s">
        <v>246</v>
      </c>
      <c r="Q341" s="71">
        <v>0</v>
      </c>
      <c r="R341" s="71" t="s">
        <v>1266</v>
      </c>
      <c r="S341" s="71" t="s">
        <v>1453</v>
      </c>
      <c r="T341" s="71" t="s">
        <v>1268</v>
      </c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LOJA</v>
      </c>
      <c r="C342" s="72" t="str">
        <f ca="1">IF(D342="Inativo","Inativo",IFERROR(VLOOKUP($G342,Conf!$F$19:$G$39,2,0),VLOOKUP($S342,Conf!$K:$M,3,0)))</f>
        <v>APRENDIZ</v>
      </c>
      <c r="D342" s="72" t="str">
        <f ca="1">IFERROR(IF(TODAY()-K342&gt;365,"Inativo",IF(J342=2,"Férias",IF(J342=7,"Demitido","Afastamento"))),VLOOKUP(J342,Conf!$H:$I,2,0))</f>
        <v>Ativos</v>
      </c>
      <c r="E342" s="71">
        <v>4</v>
      </c>
      <c r="F342" s="71">
        <v>293</v>
      </c>
      <c r="G342" s="71" t="s">
        <v>1454</v>
      </c>
      <c r="H342" s="71">
        <v>977</v>
      </c>
      <c r="I342" s="71" t="s">
        <v>1449</v>
      </c>
      <c r="J342" s="71">
        <v>1</v>
      </c>
      <c r="K342" s="71" t="s">
        <v>223</v>
      </c>
      <c r="L342" s="71" t="s">
        <v>1455</v>
      </c>
      <c r="M342" s="71" t="s">
        <v>604</v>
      </c>
      <c r="N342" s="71">
        <v>14898738990</v>
      </c>
      <c r="O342" s="71" t="s">
        <v>245</v>
      </c>
      <c r="P342" s="71" t="s">
        <v>246</v>
      </c>
      <c r="Q342" s="71">
        <v>0</v>
      </c>
      <c r="R342" s="71" t="s">
        <v>1266</v>
      </c>
      <c r="S342" s="71" t="s">
        <v>1453</v>
      </c>
      <c r="T342" s="71" t="s">
        <v>1268</v>
      </c>
    </row>
    <row r="343" spans="1:20" x14ac:dyDescent="0.3">
      <c r="A343" s="72">
        <f>IFERROR(VLOOKUP($G343,Conf!$B:$C,2,0),E343)</f>
        <v>4</v>
      </c>
      <c r="B343" s="72" t="str">
        <f ca="1">IF(D343="Inativo","Inativo",VLOOKUP($S343,Conf!$K:$M,2,0))</f>
        <v>LOJA</v>
      </c>
      <c r="C343" s="72" t="str">
        <f ca="1">IF(D343="Inativo","Inativo",IFERROR(VLOOKUP($G343,Conf!$F$19:$G$39,2,0),VLOOKUP($S343,Conf!$K:$M,3,0)))</f>
        <v>APRENDIZ</v>
      </c>
      <c r="D343" s="72" t="str">
        <f ca="1">IFERROR(IF(TODAY()-K343&gt;365,"Inativo",IF(J343=2,"Férias",IF(J343=7,"Demitido","Afastamento"))),VLOOKUP(J343,Conf!$H:$I,2,0))</f>
        <v>Ativos</v>
      </c>
      <c r="E343" s="71">
        <v>4</v>
      </c>
      <c r="F343" s="71">
        <v>498</v>
      </c>
      <c r="G343" s="71" t="s">
        <v>1456</v>
      </c>
      <c r="H343" s="71">
        <v>977</v>
      </c>
      <c r="I343" s="71" t="s">
        <v>1449</v>
      </c>
      <c r="J343" s="71">
        <v>1</v>
      </c>
      <c r="K343" s="71" t="s">
        <v>223</v>
      </c>
      <c r="L343" s="71" t="s">
        <v>1457</v>
      </c>
      <c r="M343" s="71" t="s">
        <v>604</v>
      </c>
      <c r="N343" s="71">
        <v>12459118996</v>
      </c>
      <c r="O343" s="71" t="s">
        <v>245</v>
      </c>
      <c r="P343" s="71" t="s">
        <v>246</v>
      </c>
      <c r="Q343" s="71">
        <v>0</v>
      </c>
      <c r="R343" s="71" t="s">
        <v>605</v>
      </c>
      <c r="S343" s="71" t="s">
        <v>606</v>
      </c>
      <c r="T343" s="71" t="s">
        <v>607</v>
      </c>
    </row>
    <row r="344" spans="1:20" x14ac:dyDescent="0.3">
      <c r="A344" s="72">
        <f>IFERROR(VLOOKUP($G344,Conf!$B:$C,2,0),E344)</f>
        <v>4</v>
      </c>
      <c r="B344" s="72" t="str">
        <f ca="1">IF(D344="Inativo","Inativo",VLOOKUP($S344,Conf!$K:$M,2,0))</f>
        <v>LOJA</v>
      </c>
      <c r="C344" s="72" t="str">
        <f ca="1">IF(D344="Inativo","Inativo",IFERROR(VLOOKUP($G344,Conf!$F$19:$G$39,2,0),VLOOKUP($S344,Conf!$K:$M,3,0)))</f>
        <v>CARTAZISTA</v>
      </c>
      <c r="D344" s="72" t="str">
        <f ca="1">IFERROR(IF(TODAY()-K344&gt;365,"Inativo",IF(J344=2,"Férias",IF(J344=7,"Demitido","Afastamento"))),VLOOKUP(J344,Conf!$H:$I,2,0))</f>
        <v>Ativos</v>
      </c>
      <c r="E344" s="71">
        <v>4</v>
      </c>
      <c r="F344" s="71">
        <v>228</v>
      </c>
      <c r="G344" s="71" t="s">
        <v>1458</v>
      </c>
      <c r="H344" s="71">
        <v>189</v>
      </c>
      <c r="I344" s="71" t="s">
        <v>799</v>
      </c>
      <c r="J344" s="71">
        <v>1</v>
      </c>
      <c r="K344" s="71" t="s">
        <v>223</v>
      </c>
      <c r="L344" s="71" t="s">
        <v>1459</v>
      </c>
      <c r="M344" s="71" t="s">
        <v>1460</v>
      </c>
      <c r="N344" s="71">
        <v>11632395932</v>
      </c>
      <c r="Q344" s="71">
        <v>0</v>
      </c>
      <c r="R344" s="71" t="s">
        <v>1461</v>
      </c>
      <c r="S344" s="71" t="s">
        <v>1462</v>
      </c>
      <c r="T344" s="71" t="s">
        <v>1463</v>
      </c>
    </row>
    <row r="345" spans="1:20" x14ac:dyDescent="0.3">
      <c r="A345" s="72">
        <f>IFERROR(VLOOKUP($G345,Conf!$B:$C,2,0),E345)</f>
        <v>4</v>
      </c>
      <c r="B345" s="72" t="str">
        <f ca="1">IF(D345="Inativo","Inativo",VLOOKUP($S345,Conf!$K:$M,2,0))</f>
        <v>LOJA</v>
      </c>
      <c r="C345" s="72" t="str">
        <f ca="1">IF(D345="Inativo","Inativo",IFERROR(VLOOKUP($G345,Conf!$F$19:$G$39,2,0),VLOOKUP($S345,Conf!$K:$M,3,0)))</f>
        <v>ENCARREGADO</v>
      </c>
      <c r="D345" s="72" t="str">
        <f ca="1">IFERROR(IF(TODAY()-K345&gt;365,"Inativo",IF(J345=2,"Férias",IF(J345=7,"Demitido","Afastamento"))),VLOOKUP(J345,Conf!$H:$I,2,0))</f>
        <v>Ativos</v>
      </c>
      <c r="E345" s="71">
        <v>4</v>
      </c>
      <c r="F345" s="71">
        <v>358</v>
      </c>
      <c r="G345" s="71" t="s">
        <v>1464</v>
      </c>
      <c r="H345" s="71">
        <v>633</v>
      </c>
      <c r="I345" s="71" t="s">
        <v>1079</v>
      </c>
      <c r="J345" s="71">
        <v>1</v>
      </c>
      <c r="K345" s="71" t="s">
        <v>223</v>
      </c>
      <c r="L345" s="71" t="s">
        <v>1465</v>
      </c>
      <c r="M345" s="71" t="s">
        <v>1466</v>
      </c>
      <c r="N345" s="71">
        <v>4366217970</v>
      </c>
      <c r="Q345" s="71">
        <v>0</v>
      </c>
      <c r="R345" s="71" t="s">
        <v>635</v>
      </c>
      <c r="S345" s="71" t="s">
        <v>636</v>
      </c>
      <c r="T345" s="71" t="s">
        <v>637</v>
      </c>
    </row>
    <row r="346" spans="1:20" x14ac:dyDescent="0.3">
      <c r="A346" s="72">
        <f>IFERROR(VLOOKUP($G346,Conf!$B:$C,2,0),E346)</f>
        <v>4</v>
      </c>
      <c r="B346" s="72" t="str">
        <f ca="1">IF(D346="Inativo","Inativo",VLOOKUP($S346,Conf!$K:$M,2,0))</f>
        <v>LOJA</v>
      </c>
      <c r="C346" s="72" t="str">
        <f ca="1">IF(D346="Inativo","Inativo",IFERROR(VLOOKUP($G346,Conf!$F$19:$G$39,2,0),VLOOKUP($S346,Conf!$K:$M,3,0)))</f>
        <v>REPOSITOR</v>
      </c>
      <c r="D346" s="72" t="str">
        <f ca="1">IFERROR(IF(TODAY()-K346&gt;365,"Inativo",IF(J346=2,"Férias",IF(J346=7,"Demitido","Afastamento"))),VLOOKUP(J346,Conf!$H:$I,2,0))</f>
        <v>Ativos</v>
      </c>
      <c r="E346" s="71">
        <v>4</v>
      </c>
      <c r="F346" s="71">
        <v>226</v>
      </c>
      <c r="G346" s="71" t="s">
        <v>1470</v>
      </c>
      <c r="H346" s="71">
        <v>1087</v>
      </c>
      <c r="I346" s="71" t="s">
        <v>222</v>
      </c>
      <c r="J346" s="71">
        <v>1</v>
      </c>
      <c r="K346" s="71" t="s">
        <v>223</v>
      </c>
      <c r="L346" s="71" t="s">
        <v>1471</v>
      </c>
      <c r="M346" s="71" t="s">
        <v>1472</v>
      </c>
      <c r="N346" s="71">
        <v>11996011952</v>
      </c>
      <c r="Q346" s="71">
        <v>0</v>
      </c>
      <c r="R346" s="71" t="s">
        <v>1290</v>
      </c>
      <c r="S346" s="71" t="s">
        <v>1473</v>
      </c>
      <c r="T346" s="71" t="s">
        <v>1292</v>
      </c>
    </row>
    <row r="347" spans="1:20" x14ac:dyDescent="0.3">
      <c r="A347" s="72">
        <f>IFERROR(VLOOKUP($G347,Conf!$B:$C,2,0),E347)</f>
        <v>4</v>
      </c>
      <c r="B347" s="72" t="str">
        <f ca="1">IF(D347="Inativo","Inativo",VLOOKUP($S347,Conf!$K:$M,2,0))</f>
        <v>LOJA</v>
      </c>
      <c r="C347" s="72" t="str">
        <f ca="1">IF(D347="Inativo","Inativo",IFERROR(VLOOKUP($G347,Conf!$F$19:$G$39,2,0),VLOOKUP($S347,Conf!$K:$M,3,0)))</f>
        <v>REPOSITOR</v>
      </c>
      <c r="D347" s="72" t="str">
        <f ca="1">IFERROR(IF(TODAY()-K347&gt;365,"Inativo",IF(J347=2,"Férias",IF(J347=7,"Demitido","Afastamento"))),VLOOKUP(J347,Conf!$H:$I,2,0))</f>
        <v>Ativos</v>
      </c>
      <c r="E347" s="71">
        <v>4</v>
      </c>
      <c r="F347" s="71">
        <v>384</v>
      </c>
      <c r="G347" s="71" t="s">
        <v>1474</v>
      </c>
      <c r="H347" s="71">
        <v>487</v>
      </c>
      <c r="I347" s="71" t="s">
        <v>550</v>
      </c>
      <c r="J347" s="71">
        <v>1</v>
      </c>
      <c r="K347" s="71" t="s">
        <v>223</v>
      </c>
      <c r="L347" s="71" t="s">
        <v>1475</v>
      </c>
      <c r="M347" s="71" t="s">
        <v>1476</v>
      </c>
      <c r="N347" s="71">
        <v>58470808915</v>
      </c>
      <c r="Q347" s="71">
        <v>0</v>
      </c>
      <c r="R347" s="71" t="s">
        <v>660</v>
      </c>
      <c r="S347" s="71" t="s">
        <v>1477</v>
      </c>
      <c r="T347" s="71" t="s">
        <v>662</v>
      </c>
    </row>
    <row r="348" spans="1:20" x14ac:dyDescent="0.3">
      <c r="A348" s="72">
        <f>IFERROR(VLOOKUP($G348,Conf!$B:$C,2,0),E348)</f>
        <v>4</v>
      </c>
      <c r="B348" s="72" t="str">
        <f ca="1">IF(D348="Inativo","Inativo",VLOOKUP($S348,Conf!$K:$M,2,0))</f>
        <v>LOJA</v>
      </c>
      <c r="C348" s="72" t="str">
        <f ca="1">IF(D348="Inativo","Inativo",IFERROR(VLOOKUP($G348,Conf!$F$19:$G$39,2,0),VLOOKUP($S348,Conf!$K:$M,3,0)))</f>
        <v>REPOSITOR</v>
      </c>
      <c r="D348" s="72" t="str">
        <f ca="1">IFERROR(IF(TODAY()-K348&gt;365,"Inativo",IF(J348=2,"Férias",IF(J348=7,"Demitido","Afastamento"))),VLOOKUP(J348,Conf!$H:$I,2,0))</f>
        <v>Ativos</v>
      </c>
      <c r="E348" s="71">
        <v>4</v>
      </c>
      <c r="F348" s="71">
        <v>2</v>
      </c>
      <c r="G348" s="71" t="s">
        <v>1478</v>
      </c>
      <c r="H348" s="71">
        <v>47</v>
      </c>
      <c r="I348" s="71" t="s">
        <v>222</v>
      </c>
      <c r="J348" s="71">
        <v>1</v>
      </c>
      <c r="K348" s="71" t="s">
        <v>223</v>
      </c>
      <c r="L348" s="71" t="s">
        <v>1479</v>
      </c>
      <c r="M348" s="71" t="s">
        <v>886</v>
      </c>
      <c r="N348" s="71">
        <v>12206569922</v>
      </c>
      <c r="O348" s="71" t="s">
        <v>245</v>
      </c>
      <c r="P348" s="71" t="s">
        <v>246</v>
      </c>
      <c r="Q348" s="71">
        <v>0</v>
      </c>
      <c r="R348" s="71" t="s">
        <v>648</v>
      </c>
      <c r="S348" s="71" t="s">
        <v>1480</v>
      </c>
      <c r="T348" s="71" t="s">
        <v>612</v>
      </c>
    </row>
    <row r="349" spans="1:20" x14ac:dyDescent="0.3">
      <c r="A349" s="72">
        <f>IFERROR(VLOOKUP($G349,Conf!$B:$C,2,0),E349)</f>
        <v>4</v>
      </c>
      <c r="B349" s="72" t="str">
        <f ca="1">IF(D349="Inativo","Inativo",VLOOKUP($S349,Conf!$K:$M,2,0))</f>
        <v>PADARIA</v>
      </c>
      <c r="C349" s="72" t="str">
        <f ca="1">IF(D349="Inativo","Inativo",IFERROR(VLOOKUP($G349,Conf!$F$19:$G$39,2,0),VLOOKUP($S349,Conf!$K:$M,3,0)))</f>
        <v>AUXILIAR</v>
      </c>
      <c r="D349" s="72" t="str">
        <f ca="1">IFERROR(IF(TODAY()-K349&gt;365,"Inativo",IF(J349=2,"Férias",IF(J349=7,"Demitido","Afastamento"))),VLOOKUP(J349,Conf!$H:$I,2,0))</f>
        <v>Ativos</v>
      </c>
      <c r="E349" s="71">
        <v>4</v>
      </c>
      <c r="F349" s="71">
        <v>263</v>
      </c>
      <c r="G349" s="71" t="s">
        <v>1485</v>
      </c>
      <c r="H349" s="71">
        <v>6</v>
      </c>
      <c r="I349" s="71" t="s">
        <v>230</v>
      </c>
      <c r="J349" s="71">
        <v>1</v>
      </c>
      <c r="K349" s="71" t="s">
        <v>223</v>
      </c>
      <c r="L349" s="71" t="s">
        <v>1486</v>
      </c>
      <c r="M349" s="71" t="s">
        <v>1487</v>
      </c>
      <c r="N349" s="71">
        <v>62288318953</v>
      </c>
      <c r="O349" s="71" t="s">
        <v>245</v>
      </c>
      <c r="P349" s="71" t="s">
        <v>246</v>
      </c>
      <c r="Q349" s="71">
        <v>0</v>
      </c>
      <c r="R349" s="71" t="s">
        <v>1488</v>
      </c>
      <c r="S349" s="71" t="s">
        <v>1489</v>
      </c>
      <c r="T349" s="71" t="s">
        <v>1490</v>
      </c>
    </row>
    <row r="350" spans="1:20" x14ac:dyDescent="0.3">
      <c r="A350" s="72">
        <f>IFERROR(VLOOKUP($G350,Conf!$B:$C,2,0),E350)</f>
        <v>4</v>
      </c>
      <c r="B350" s="72" t="str">
        <f ca="1">IF(D350="Inativo","Inativo",VLOOKUP($S350,Conf!$K:$M,2,0))</f>
        <v>PADARIA</v>
      </c>
      <c r="C350" s="72" t="str">
        <f ca="1">IF(D350="Inativo","Inativo",IFERROR(VLOOKUP($G350,Conf!$F$19:$G$39,2,0),VLOOKUP($S350,Conf!$K:$M,3,0)))</f>
        <v>AUXILIAR</v>
      </c>
      <c r="D350" s="72" t="str">
        <f ca="1">IFERROR(IF(TODAY()-K350&gt;365,"Inativo",IF(J350=2,"Férias",IF(J350=7,"Demitido","Afastamento"))),VLOOKUP(J350,Conf!$H:$I,2,0))</f>
        <v>Ativos</v>
      </c>
      <c r="E350" s="71">
        <v>4</v>
      </c>
      <c r="F350" s="71">
        <v>270</v>
      </c>
      <c r="G350" s="71" t="s">
        <v>1491</v>
      </c>
      <c r="H350" s="71">
        <v>6</v>
      </c>
      <c r="I350" s="71" t="s">
        <v>230</v>
      </c>
      <c r="J350" s="71">
        <v>1</v>
      </c>
      <c r="K350" s="71" t="s">
        <v>223</v>
      </c>
      <c r="L350" s="71" t="s">
        <v>1492</v>
      </c>
      <c r="M350" s="71" t="s">
        <v>878</v>
      </c>
      <c r="N350" s="71">
        <v>11815675993</v>
      </c>
      <c r="O350" s="71" t="s">
        <v>245</v>
      </c>
      <c r="P350" s="71" t="s">
        <v>246</v>
      </c>
      <c r="Q350" s="71">
        <v>0</v>
      </c>
      <c r="R350" s="71" t="s">
        <v>1488</v>
      </c>
      <c r="S350" s="71" t="s">
        <v>1489</v>
      </c>
      <c r="T350" s="71" t="s">
        <v>1490</v>
      </c>
    </row>
    <row r="351" spans="1:20" x14ac:dyDescent="0.3">
      <c r="A351" s="72">
        <f>IFERROR(VLOOKUP($G351,Conf!$B:$C,2,0),E351)</f>
        <v>4</v>
      </c>
      <c r="B351" s="72" t="str">
        <f ca="1">IF(D351="Inativo","Inativo",VLOOKUP($S351,Conf!$K:$M,2,0))</f>
        <v>PADARIA</v>
      </c>
      <c r="C351" s="72" t="str">
        <f ca="1">IF(D351="Inativo","Inativo",IFERROR(VLOOKUP($G351,Conf!$F$19:$G$39,2,0),VLOOKUP($S351,Conf!$K:$M,3,0)))</f>
        <v>BALCONISTA</v>
      </c>
      <c r="D351" s="72" t="str">
        <f ca="1">IFERROR(IF(TODAY()-K351&gt;365,"Inativo",IF(J351=2,"Férias",IF(J351=7,"Demitido","Afastamento"))),VLOOKUP(J351,Conf!$H:$I,2,0))</f>
        <v>Ativos</v>
      </c>
      <c r="E351" s="71">
        <v>4</v>
      </c>
      <c r="F351" s="71">
        <v>285</v>
      </c>
      <c r="G351" s="71" t="s">
        <v>1493</v>
      </c>
      <c r="H351" s="71">
        <v>494</v>
      </c>
      <c r="I351" s="71" t="s">
        <v>550</v>
      </c>
      <c r="J351" s="71">
        <v>1</v>
      </c>
      <c r="K351" s="71" t="s">
        <v>223</v>
      </c>
      <c r="L351" s="71" t="s">
        <v>1494</v>
      </c>
      <c r="M351" s="71" t="s">
        <v>1495</v>
      </c>
      <c r="N351" s="71">
        <v>10431304971</v>
      </c>
      <c r="O351" s="71" t="s">
        <v>245</v>
      </c>
      <c r="P351" s="71" t="s">
        <v>246</v>
      </c>
      <c r="Q351" s="71">
        <v>0</v>
      </c>
      <c r="R351" s="71" t="s">
        <v>1322</v>
      </c>
      <c r="S351" s="71" t="s">
        <v>1496</v>
      </c>
      <c r="T351" s="71" t="s">
        <v>1323</v>
      </c>
    </row>
    <row r="352" spans="1:20" x14ac:dyDescent="0.3">
      <c r="A352" s="72">
        <f>IFERROR(VLOOKUP($G352,Conf!$B:$C,2,0),E352)</f>
        <v>4</v>
      </c>
      <c r="B352" s="72" t="str">
        <f ca="1">IF(D352="Inativo","Inativo",VLOOKUP($S352,Conf!$K:$M,2,0))</f>
        <v>PADARIA</v>
      </c>
      <c r="C352" s="72" t="str">
        <f ca="1">IF(D352="Inativo","Inativo",IFERROR(VLOOKUP($G352,Conf!$F$19:$G$39,2,0),VLOOKUP($S352,Conf!$K:$M,3,0)))</f>
        <v>BALCONISTA</v>
      </c>
      <c r="D352" s="72" t="str">
        <f ca="1">IFERROR(IF(TODAY()-K352&gt;365,"Inativo",IF(J352=2,"Férias",IF(J352=7,"Demitido","Afastamento"))),VLOOKUP(J352,Conf!$H:$I,2,0))</f>
        <v>Ativos</v>
      </c>
      <c r="E352" s="71">
        <v>4</v>
      </c>
      <c r="F352" s="71">
        <v>1</v>
      </c>
      <c r="G352" s="71" t="s">
        <v>1497</v>
      </c>
      <c r="H352" s="71">
        <v>529</v>
      </c>
      <c r="I352" s="71" t="s">
        <v>222</v>
      </c>
      <c r="J352" s="71">
        <v>1</v>
      </c>
      <c r="K352" s="71" t="s">
        <v>223</v>
      </c>
      <c r="L352" s="71" t="s">
        <v>1498</v>
      </c>
      <c r="M352" s="71" t="s">
        <v>916</v>
      </c>
      <c r="N352" s="71">
        <v>11663687935</v>
      </c>
      <c r="O352" s="71" t="s">
        <v>245</v>
      </c>
      <c r="P352" s="71" t="s">
        <v>246</v>
      </c>
      <c r="Q352" s="71">
        <v>0</v>
      </c>
      <c r="R352" s="71" t="s">
        <v>720</v>
      </c>
      <c r="S352" s="71" t="s">
        <v>1496</v>
      </c>
      <c r="T352" s="71" t="s">
        <v>722</v>
      </c>
    </row>
    <row r="353" spans="1:20" x14ac:dyDescent="0.3">
      <c r="A353" s="72">
        <f>IFERROR(VLOOKUP($G353,Conf!$B:$C,2,0),E353)</f>
        <v>4</v>
      </c>
      <c r="B353" s="72" t="str">
        <f ca="1">IF(D353="Inativo","Inativo",VLOOKUP($S353,Conf!$K:$M,2,0))</f>
        <v>PADARIA</v>
      </c>
      <c r="C353" s="72" t="str">
        <f ca="1">IF(D353="Inativo","Inativo",IFERROR(VLOOKUP($G353,Conf!$F$19:$G$39,2,0),VLOOKUP($S353,Conf!$K:$M,3,0)))</f>
        <v>BALCONISTA</v>
      </c>
      <c r="D353" s="72" t="str">
        <f ca="1">IFERROR(IF(TODAY()-K353&gt;365,"Inativo",IF(J353=2,"Férias",IF(J353=7,"Demitido","Afastamento"))),VLOOKUP(J353,Conf!$H:$I,2,0))</f>
        <v>Ativos</v>
      </c>
      <c r="E353" s="71">
        <v>4</v>
      </c>
      <c r="F353" s="71">
        <v>410</v>
      </c>
      <c r="G353" s="71" t="s">
        <v>1499</v>
      </c>
      <c r="H353" s="71">
        <v>47</v>
      </c>
      <c r="I353" s="71" t="s">
        <v>222</v>
      </c>
      <c r="J353" s="71">
        <v>1</v>
      </c>
      <c r="K353" s="71" t="s">
        <v>223</v>
      </c>
      <c r="L353" s="71" t="s">
        <v>1500</v>
      </c>
      <c r="M353" s="71" t="s">
        <v>1501</v>
      </c>
      <c r="N353" s="71">
        <v>9961173937</v>
      </c>
      <c r="Q353" s="71">
        <v>0</v>
      </c>
      <c r="R353" s="71" t="s">
        <v>1502</v>
      </c>
      <c r="S353" s="71" t="s">
        <v>1503</v>
      </c>
      <c r="T353" s="71" t="s">
        <v>1504</v>
      </c>
    </row>
    <row r="354" spans="1:20" x14ac:dyDescent="0.3">
      <c r="A354" s="72">
        <f>IFERROR(VLOOKUP($G354,Conf!$B:$C,2,0),E354)</f>
        <v>4</v>
      </c>
      <c r="B354" s="72" t="str">
        <f ca="1">IF(D354="Inativo","Inativo",VLOOKUP($S354,Conf!$K:$M,2,0))</f>
        <v>PADARIA</v>
      </c>
      <c r="C354" s="72" t="str">
        <f ca="1">IF(D354="Inativo","Inativo",IFERROR(VLOOKUP($G354,Conf!$F$19:$G$39,2,0),VLOOKUP($S354,Conf!$K:$M,3,0)))</f>
        <v>GERENTE</v>
      </c>
      <c r="D354" s="72" t="str">
        <f ca="1">IFERROR(IF(TODAY()-K354&gt;365,"Inativo",IF(J354=2,"Férias",IF(J354=7,"Demitido","Afastamento"))),VLOOKUP(J354,Conf!$H:$I,2,0))</f>
        <v>Ativos</v>
      </c>
      <c r="E354" s="71">
        <v>4</v>
      </c>
      <c r="F354" s="71">
        <v>81</v>
      </c>
      <c r="G354" s="71" t="s">
        <v>1505</v>
      </c>
      <c r="H354" s="71">
        <v>503</v>
      </c>
      <c r="I354" s="71" t="s">
        <v>306</v>
      </c>
      <c r="J354" s="71">
        <v>1</v>
      </c>
      <c r="K354" s="71" t="s">
        <v>223</v>
      </c>
      <c r="L354" s="71" t="s">
        <v>1506</v>
      </c>
      <c r="M354" s="71" t="s">
        <v>1507</v>
      </c>
      <c r="N354" s="71">
        <v>39434113890</v>
      </c>
      <c r="Q354" s="71">
        <v>0</v>
      </c>
      <c r="R354" s="71" t="s">
        <v>1327</v>
      </c>
      <c r="S354" s="71" t="s">
        <v>1508</v>
      </c>
      <c r="T354" s="71" t="s">
        <v>1329</v>
      </c>
    </row>
    <row r="355" spans="1:20" x14ac:dyDescent="0.3">
      <c r="A355" s="72">
        <f>IFERROR(VLOOKUP($G355,Conf!$B:$C,2,0),E355)</f>
        <v>4</v>
      </c>
      <c r="B355" s="72" t="str">
        <f ca="1">IF(D355="Inativo","Inativo",VLOOKUP($S355,Conf!$K:$M,2,0))</f>
        <v>PADARIA</v>
      </c>
      <c r="C355" s="72" t="str">
        <f ca="1">IF(D355="Inativo","Inativo",IFERROR(VLOOKUP($G355,Conf!$F$19:$G$39,2,0),VLOOKUP($S355,Conf!$K:$M,3,0)))</f>
        <v>SALGADEIRO(A)</v>
      </c>
      <c r="D355" s="72" t="str">
        <f ca="1">IFERROR(IF(TODAY()-K355&gt;365,"Inativo",IF(J355=2,"Férias",IF(J355=7,"Demitido","Afastamento"))),VLOOKUP(J355,Conf!$H:$I,2,0))</f>
        <v>Ativos</v>
      </c>
      <c r="E355" s="71">
        <v>4</v>
      </c>
      <c r="F355" s="71">
        <v>308</v>
      </c>
      <c r="G355" s="71" t="s">
        <v>1509</v>
      </c>
      <c r="H355" s="71">
        <v>487</v>
      </c>
      <c r="I355" s="71" t="s">
        <v>550</v>
      </c>
      <c r="J355" s="71">
        <v>1</v>
      </c>
      <c r="K355" s="71" t="s">
        <v>223</v>
      </c>
      <c r="L355" s="71" t="s">
        <v>1510</v>
      </c>
      <c r="M355" s="71" t="s">
        <v>1511</v>
      </c>
      <c r="N355" s="71">
        <v>2937001920</v>
      </c>
      <c r="Q355" s="71">
        <v>0</v>
      </c>
      <c r="R355" s="71" t="s">
        <v>1070</v>
      </c>
      <c r="S355" s="71" t="s">
        <v>1071</v>
      </c>
      <c r="T355" s="71" t="s">
        <v>1512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AÇOUGUE</v>
      </c>
      <c r="C356" s="72" t="str">
        <f ca="1">IF(D356="Inativo","Inativo",IFERROR(VLOOKUP($G356,Conf!$F$19:$G$39,2,0),VLOOKUP($S356,Conf!$K:$M,3,0)))</f>
        <v>AÇOUGUEIRO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1698</v>
      </c>
      <c r="G356" s="71" t="s">
        <v>1513</v>
      </c>
      <c r="H356" s="71">
        <v>520</v>
      </c>
      <c r="I356" s="71" t="s">
        <v>222</v>
      </c>
      <c r="J356" s="71">
        <v>1</v>
      </c>
      <c r="K356" s="71" t="s">
        <v>223</v>
      </c>
      <c r="L356" s="71" t="s">
        <v>1514</v>
      </c>
      <c r="M356" s="71" t="s">
        <v>1515</v>
      </c>
      <c r="N356" s="71">
        <v>846274680</v>
      </c>
      <c r="O356" s="71" t="s">
        <v>245</v>
      </c>
      <c r="P356" s="71" t="s">
        <v>246</v>
      </c>
      <c r="Q356" s="71">
        <v>0</v>
      </c>
      <c r="R356" s="71" t="s">
        <v>1516</v>
      </c>
      <c r="S356" s="71" t="s">
        <v>784</v>
      </c>
      <c r="T356" s="71" t="s">
        <v>1517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AÇOUGUE</v>
      </c>
      <c r="C357" s="72" t="str">
        <f ca="1">IF(D357="Inativo","Inativo",IFERROR(VLOOKUP($G357,Conf!$F$19:$G$39,2,0),VLOOKUP($S357,Conf!$K:$M,3,0)))</f>
        <v>AÇOUGUEIRO</v>
      </c>
      <c r="D357" s="72" t="str">
        <f ca="1">IFERROR(IF(TODAY()-K357&gt;365,"Inativo",IF(J357=2,"Férias",IF(J357=7,"Demitido","Afastamento"))),VLOOKUP(J357,Conf!$H:$I,2,0))</f>
        <v>Férias</v>
      </c>
      <c r="E357" s="71">
        <v>5</v>
      </c>
      <c r="F357" s="71">
        <v>1607</v>
      </c>
      <c r="G357" s="71" t="s">
        <v>1518</v>
      </c>
      <c r="H357" s="71">
        <v>524</v>
      </c>
      <c r="I357" s="71" t="s">
        <v>222</v>
      </c>
      <c r="J357" s="71">
        <v>2</v>
      </c>
      <c r="K357" s="71" t="s">
        <v>471</v>
      </c>
      <c r="L357" s="71" t="s">
        <v>1519</v>
      </c>
      <c r="M357" s="71" t="s">
        <v>1520</v>
      </c>
      <c r="N357" s="71">
        <v>48711467827</v>
      </c>
      <c r="Q357" s="71">
        <v>0</v>
      </c>
      <c r="R357" s="71" t="s">
        <v>1516</v>
      </c>
      <c r="S357" s="71" t="s">
        <v>784</v>
      </c>
      <c r="T357" s="71" t="s">
        <v>1517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AÇOUGUE</v>
      </c>
      <c r="C358" s="72" t="str">
        <f ca="1">IF(D358="Inativo","Inativo",IFERROR(VLOOKUP($G358,Conf!$F$19:$G$39,2,0),VLOOKUP($S358,Conf!$K:$M,3,0)))</f>
        <v>AÇOUGUEIRO</v>
      </c>
      <c r="D358" s="72" t="str">
        <f ca="1">IFERROR(IF(TODAY()-K358&gt;365,"Inativo",IF(J358=2,"Férias",IF(J358=7,"Demitido","Afastamento"))),VLOOKUP(J358,Conf!$H:$I,2,0))</f>
        <v>Demitido</v>
      </c>
      <c r="E358" s="71">
        <v>5</v>
      </c>
      <c r="F358" s="71">
        <v>1718</v>
      </c>
      <c r="G358" s="71" t="s">
        <v>1521</v>
      </c>
      <c r="H358" s="71">
        <v>47</v>
      </c>
      <c r="I358" s="71" t="s">
        <v>222</v>
      </c>
      <c r="J358" s="71">
        <v>7</v>
      </c>
      <c r="K358" s="71" t="s">
        <v>3632</v>
      </c>
      <c r="L358" s="71" t="s">
        <v>1522</v>
      </c>
      <c r="M358" s="71" t="s">
        <v>1523</v>
      </c>
      <c r="N358" s="71">
        <v>6032360903</v>
      </c>
      <c r="O358" s="71" t="s">
        <v>245</v>
      </c>
      <c r="P358" s="71" t="s">
        <v>246</v>
      </c>
      <c r="Q358" s="71">
        <v>0</v>
      </c>
      <c r="R358" s="71" t="s">
        <v>1516</v>
      </c>
      <c r="S358" s="71" t="s">
        <v>784</v>
      </c>
      <c r="T358" s="71" t="s">
        <v>1517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AÇOUGUE</v>
      </c>
      <c r="C359" s="72" t="str">
        <f ca="1">IF(D359="Inativo","Inativo",IFERROR(VLOOKUP($G359,Conf!$F$19:$G$39,2,0),VLOOKUP($S359,Conf!$K:$M,3,0)))</f>
        <v>AÇOUGUEIRO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1411</v>
      </c>
      <c r="G359" s="71" t="s">
        <v>1524</v>
      </c>
      <c r="H359" s="71">
        <v>502</v>
      </c>
      <c r="I359" s="71" t="s">
        <v>306</v>
      </c>
      <c r="J359" s="71">
        <v>1</v>
      </c>
      <c r="K359" s="71" t="s">
        <v>223</v>
      </c>
      <c r="L359" s="71" t="s">
        <v>1525</v>
      </c>
      <c r="M359" s="71" t="s">
        <v>1399</v>
      </c>
      <c r="N359" s="71">
        <v>75419858215</v>
      </c>
      <c r="Q359" s="71">
        <v>0</v>
      </c>
      <c r="R359" s="71" t="s">
        <v>1516</v>
      </c>
      <c r="S359" s="71" t="s">
        <v>784</v>
      </c>
      <c r="T359" s="71" t="s">
        <v>1517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AÇOUGUE</v>
      </c>
      <c r="C360" s="72" t="str">
        <f ca="1">IF(D360="Inativo","Inativo",IFERROR(VLOOKUP($G360,Conf!$F$19:$G$39,2,0),VLOOKUP($S360,Conf!$K:$M,3,0)))</f>
        <v>BALCONISTA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1663</v>
      </c>
      <c r="G360" s="71" t="s">
        <v>1526</v>
      </c>
      <c r="H360" s="71">
        <v>529</v>
      </c>
      <c r="I360" s="71" t="s">
        <v>222</v>
      </c>
      <c r="J360" s="71">
        <v>1</v>
      </c>
      <c r="K360" s="71" t="s">
        <v>223</v>
      </c>
      <c r="L360" s="71" t="s">
        <v>1527</v>
      </c>
      <c r="M360" s="71" t="s">
        <v>1528</v>
      </c>
      <c r="N360" s="71">
        <v>13302665954</v>
      </c>
      <c r="Q360" s="71">
        <v>0</v>
      </c>
      <c r="R360" s="71" t="s">
        <v>1529</v>
      </c>
      <c r="S360" s="71" t="s">
        <v>581</v>
      </c>
      <c r="T360" s="71" t="s">
        <v>1530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AÇOUGUE</v>
      </c>
      <c r="C361" s="72" t="str">
        <f ca="1">IF(D361="Inativo","Inativo",IFERROR(VLOOKUP($G361,Conf!$F$19:$G$39,2,0),VLOOKUP($S361,Conf!$K:$M,3,0)))</f>
        <v>DESOSSADOR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839</v>
      </c>
      <c r="G361" s="71" t="s">
        <v>1531</v>
      </c>
      <c r="H361" s="71">
        <v>496</v>
      </c>
      <c r="I361" s="71" t="s">
        <v>306</v>
      </c>
      <c r="J361" s="71">
        <v>1</v>
      </c>
      <c r="K361" s="71" t="s">
        <v>223</v>
      </c>
      <c r="L361" s="71" t="s">
        <v>1532</v>
      </c>
      <c r="M361" s="71" t="s">
        <v>1533</v>
      </c>
      <c r="N361" s="71">
        <v>31387673890</v>
      </c>
      <c r="Q361" s="71">
        <v>0</v>
      </c>
      <c r="R361" s="71" t="s">
        <v>1534</v>
      </c>
      <c r="S361" s="71" t="s">
        <v>1112</v>
      </c>
      <c r="T361" s="71" t="s">
        <v>1535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AÇOUGUE</v>
      </c>
      <c r="C362" s="72" t="str">
        <f ca="1">IF(D362="Inativo","Inativo",IFERROR(VLOOKUP($G362,Conf!$F$19:$G$39,2,0),VLOOKUP($S362,Conf!$K:$M,3,0)))</f>
        <v>DESOSSADOR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1266</v>
      </c>
      <c r="G362" s="71" t="s">
        <v>1536</v>
      </c>
      <c r="H362" s="71">
        <v>536</v>
      </c>
      <c r="I362" s="71" t="s">
        <v>287</v>
      </c>
      <c r="J362" s="71">
        <v>1</v>
      </c>
      <c r="K362" s="71" t="s">
        <v>223</v>
      </c>
      <c r="L362" s="71" t="s">
        <v>1537</v>
      </c>
      <c r="M362" s="71" t="s">
        <v>1538</v>
      </c>
      <c r="N362" s="71">
        <v>13280045460</v>
      </c>
      <c r="Q362" s="71">
        <v>0</v>
      </c>
      <c r="R362" s="71" t="s">
        <v>1534</v>
      </c>
      <c r="S362" s="71" t="s">
        <v>1112</v>
      </c>
      <c r="T362" s="71" t="s">
        <v>1535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AÇOUGUE</v>
      </c>
      <c r="C363" s="72" t="str">
        <f ca="1">IF(D363="Inativo","Inativo",IFERROR(VLOOKUP($G363,Conf!$F$19:$G$39,2,0),VLOOKUP($S363,Conf!$K:$M,3,0)))</f>
        <v>DESOSSADOR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1585</v>
      </c>
      <c r="G363" s="71" t="s">
        <v>1539</v>
      </c>
      <c r="H363" s="71">
        <v>487</v>
      </c>
      <c r="I363" s="71" t="s">
        <v>550</v>
      </c>
      <c r="J363" s="71">
        <v>1</v>
      </c>
      <c r="K363" s="71" t="s">
        <v>223</v>
      </c>
      <c r="L363" s="71" t="s">
        <v>1540</v>
      </c>
      <c r="M363" s="71" t="s">
        <v>1541</v>
      </c>
      <c r="N363" s="71">
        <v>9736097960</v>
      </c>
      <c r="Q363" s="71">
        <v>0</v>
      </c>
      <c r="R363" s="71" t="s">
        <v>1534</v>
      </c>
      <c r="S363" s="71" t="s">
        <v>1112</v>
      </c>
      <c r="T363" s="71" t="s">
        <v>1535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AÇOUGUE</v>
      </c>
      <c r="C364" s="72" t="str">
        <f ca="1">IF(D364="Inativo","Inativo",IFERROR(VLOOKUP($G364,Conf!$F$19:$G$39,2,0),VLOOKUP($S364,Conf!$K:$M,3,0)))</f>
        <v>GERENTE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1700</v>
      </c>
      <c r="G364" s="71" t="s">
        <v>1542</v>
      </c>
      <c r="H364" s="71">
        <v>495</v>
      </c>
      <c r="I364" s="71" t="s">
        <v>550</v>
      </c>
      <c r="J364" s="71">
        <v>1</v>
      </c>
      <c r="K364" s="71" t="s">
        <v>223</v>
      </c>
      <c r="L364" s="71" t="s">
        <v>1543</v>
      </c>
      <c r="M364" s="71" t="s">
        <v>709</v>
      </c>
      <c r="N364" s="71">
        <v>941296903</v>
      </c>
      <c r="O364" s="71" t="s">
        <v>245</v>
      </c>
      <c r="P364" s="71" t="s">
        <v>246</v>
      </c>
      <c r="Q364" s="71">
        <v>0</v>
      </c>
      <c r="R364" s="71" t="s">
        <v>1544</v>
      </c>
      <c r="S364" s="71" t="s">
        <v>1545</v>
      </c>
      <c r="T364" s="71" t="s">
        <v>355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ADMINISTRATIVO</v>
      </c>
      <c r="C365" s="72" t="str">
        <f ca="1">IF(D365="Inativo","Inativo",IFERROR(VLOOKUP($G365,Conf!$F$19:$G$39,2,0),VLOOKUP($S365,Conf!$K:$M,3,0)))</f>
        <v>GERENTE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1551</v>
      </c>
      <c r="G365" s="71" t="s">
        <v>1715</v>
      </c>
      <c r="H365" s="71">
        <v>12</v>
      </c>
      <c r="I365" s="71" t="s">
        <v>639</v>
      </c>
      <c r="J365" s="71">
        <v>1</v>
      </c>
      <c r="K365" s="71" t="s">
        <v>223</v>
      </c>
      <c r="L365" s="71" t="s">
        <v>1716</v>
      </c>
      <c r="M365" s="71" t="s">
        <v>1717</v>
      </c>
      <c r="N365" s="71">
        <v>3298274992</v>
      </c>
      <c r="Q365" s="71">
        <v>0</v>
      </c>
      <c r="R365" s="71" t="s">
        <v>1718</v>
      </c>
      <c r="S365" s="71" t="s">
        <v>643</v>
      </c>
      <c r="T365" s="71" t="s">
        <v>994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ADMINISTRATIVO</v>
      </c>
      <c r="C366" s="72" t="str">
        <f ca="1">IF(D366="Inativo","Inativo",IFERROR(VLOOKUP($G366,Conf!$F$19:$G$39,2,0),VLOOKUP($S366,Conf!$K:$M,3,0)))</f>
        <v>SUBGERENTE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1705</v>
      </c>
      <c r="G366" s="71" t="s">
        <v>1760</v>
      </c>
      <c r="H366" s="71">
        <v>12</v>
      </c>
      <c r="I366" s="71" t="s">
        <v>639</v>
      </c>
      <c r="J366" s="71">
        <v>1</v>
      </c>
      <c r="K366" s="71" t="s">
        <v>223</v>
      </c>
      <c r="L366" s="71" t="s">
        <v>1761</v>
      </c>
      <c r="M366" s="71" t="s">
        <v>446</v>
      </c>
      <c r="N366" s="71">
        <v>4970731969</v>
      </c>
      <c r="O366" s="71" t="s">
        <v>245</v>
      </c>
      <c r="P366" s="71" t="s">
        <v>246</v>
      </c>
      <c r="Q366" s="71">
        <v>0</v>
      </c>
      <c r="R366" s="71" t="s">
        <v>1762</v>
      </c>
      <c r="S366" s="71" t="s">
        <v>1763</v>
      </c>
      <c r="T366" s="71" t="s">
        <v>1764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CONFEITARIA</v>
      </c>
      <c r="C367" s="72" t="str">
        <f ca="1">IF(D367="Inativo","Inativo",IFERROR(VLOOKUP($G367,Conf!$F$19:$G$39,2,0),VLOOKUP($S367,Conf!$K:$M,3,0)))</f>
        <v>AUXILIAR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1735</v>
      </c>
      <c r="G367" s="71" t="s">
        <v>1771</v>
      </c>
      <c r="H367" s="71">
        <v>491</v>
      </c>
      <c r="I367" s="71" t="s">
        <v>550</v>
      </c>
      <c r="J367" s="71">
        <v>1</v>
      </c>
      <c r="K367" s="71" t="s">
        <v>223</v>
      </c>
      <c r="L367" s="71" t="s">
        <v>1772</v>
      </c>
      <c r="M367" s="71" t="s">
        <v>538</v>
      </c>
      <c r="N367" s="71">
        <v>83687050963</v>
      </c>
      <c r="O367" s="71" t="s">
        <v>245</v>
      </c>
      <c r="P367" s="71" t="s">
        <v>246</v>
      </c>
      <c r="Q367" s="71">
        <v>0</v>
      </c>
      <c r="R367" s="71" t="s">
        <v>1773</v>
      </c>
      <c r="S367" s="71" t="s">
        <v>1024</v>
      </c>
      <c r="T367" s="71" t="s">
        <v>1774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DEPOSITO</v>
      </c>
      <c r="C368" s="72" t="str">
        <f ca="1">IF(D368="Inativo","Inativo",IFERROR(VLOOKUP($G368,Conf!$F$19:$G$39,2,0),VLOOKUP($S368,Conf!$K:$M,3,0)))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412</v>
      </c>
      <c r="G368" s="71" t="s">
        <v>1546</v>
      </c>
      <c r="H368" s="71">
        <v>760</v>
      </c>
      <c r="I368" s="71" t="s">
        <v>1547</v>
      </c>
      <c r="J368" s="71">
        <v>1</v>
      </c>
      <c r="K368" s="71" t="s">
        <v>223</v>
      </c>
      <c r="L368" s="71" t="s">
        <v>1548</v>
      </c>
      <c r="M368" s="71" t="s">
        <v>1549</v>
      </c>
      <c r="N368" s="71">
        <v>93490852915</v>
      </c>
      <c r="Q368" s="71">
        <v>0</v>
      </c>
      <c r="R368" s="71" t="s">
        <v>1550</v>
      </c>
      <c r="S368" s="71" t="s">
        <v>317</v>
      </c>
      <c r="T368" s="71" t="s">
        <v>1551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DEPOSITO</v>
      </c>
      <c r="C369" s="72" t="str">
        <f ca="1">IF(D369="Inativo","Inativo",IFERROR(VLOOKUP($G369,Conf!$F$19:$G$39,2,0),VLOOKUP($S369,Conf!$K:$M,3,0)))</f>
        <v>RECEBEDOR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1740</v>
      </c>
      <c r="G369" s="71" t="s">
        <v>1552</v>
      </c>
      <c r="H369" s="71">
        <v>92</v>
      </c>
      <c r="I369" s="71" t="s">
        <v>1553</v>
      </c>
      <c r="J369" s="71">
        <v>1</v>
      </c>
      <c r="K369" s="71" t="s">
        <v>223</v>
      </c>
      <c r="L369" s="71" t="s">
        <v>1554</v>
      </c>
      <c r="M369" s="71" t="s">
        <v>411</v>
      </c>
      <c r="N369" s="71">
        <v>59113901915</v>
      </c>
      <c r="O369" s="71" t="s">
        <v>245</v>
      </c>
      <c r="P369" s="71" t="s">
        <v>246</v>
      </c>
      <c r="Q369" s="71">
        <v>0</v>
      </c>
      <c r="R369" s="71" t="s">
        <v>1555</v>
      </c>
      <c r="S369" s="71" t="s">
        <v>1140</v>
      </c>
      <c r="T369" s="71" t="s">
        <v>1556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DEPOSITO</v>
      </c>
      <c r="C370" s="72" t="str">
        <f ca="1">IF(D370="Inativo","Inativo",IFERROR(VLOOKUP($G370,Conf!$F$19:$G$39,2,0),VLOOKUP($S370,Conf!$K:$M,3,0)))</f>
        <v>CONFERENTE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783</v>
      </c>
      <c r="G370" s="71" t="s">
        <v>1557</v>
      </c>
      <c r="H370" s="71">
        <v>5</v>
      </c>
      <c r="I370" s="71" t="s">
        <v>822</v>
      </c>
      <c r="J370" s="71">
        <v>1</v>
      </c>
      <c r="K370" s="71" t="s">
        <v>223</v>
      </c>
      <c r="L370" s="71" t="s">
        <v>1558</v>
      </c>
      <c r="M370" s="71" t="s">
        <v>1559</v>
      </c>
      <c r="N370" s="71">
        <v>3039012762</v>
      </c>
      <c r="Q370" s="71">
        <v>0</v>
      </c>
      <c r="R370" s="71" t="s">
        <v>1560</v>
      </c>
      <c r="S370" s="71" t="s">
        <v>330</v>
      </c>
      <c r="T370" s="71" t="s">
        <v>1561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DEPOSITO</v>
      </c>
      <c r="C371" s="72" t="str">
        <f ca="1">IF(D371="Inativo","Inativo",IFERROR(VLOOKUP($G371,Conf!$F$19:$G$39,2,0),VLOOKUP($S371,Conf!$K:$M,3,0)))</f>
        <v>CONTROLADORIA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749</v>
      </c>
      <c r="G371" s="71" t="s">
        <v>1562</v>
      </c>
      <c r="H371" s="71">
        <v>207</v>
      </c>
      <c r="I371" s="71" t="s">
        <v>1563</v>
      </c>
      <c r="J371" s="71">
        <v>1</v>
      </c>
      <c r="K371" s="71" t="s">
        <v>223</v>
      </c>
      <c r="L371" s="71" t="s">
        <v>1564</v>
      </c>
      <c r="M371" s="71" t="s">
        <v>1565</v>
      </c>
      <c r="N371" s="71">
        <v>6664676923</v>
      </c>
      <c r="Q371" s="71">
        <v>0</v>
      </c>
      <c r="R371" s="71" t="s">
        <v>1566</v>
      </c>
      <c r="S371" s="71" t="s">
        <v>344</v>
      </c>
      <c r="T371" s="71" t="s">
        <v>1567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DEPOSITO</v>
      </c>
      <c r="C372" s="72" t="str">
        <f ca="1">IF(D372="Inativo","Inativo",IFERROR(VLOOKUP($G372,Conf!$F$19:$G$39,2,0),VLOOKUP($S372,Conf!$K:$M,3,0)))</f>
        <v>CONTROLADORIA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1315</v>
      </c>
      <c r="G372" s="71" t="s">
        <v>1568</v>
      </c>
      <c r="H372" s="71">
        <v>5</v>
      </c>
      <c r="I372" s="71" t="s">
        <v>822</v>
      </c>
      <c r="J372" s="71">
        <v>1</v>
      </c>
      <c r="K372" s="71" t="s">
        <v>223</v>
      </c>
      <c r="L372" s="71" t="s">
        <v>1569</v>
      </c>
      <c r="M372" s="71" t="s">
        <v>1570</v>
      </c>
      <c r="N372" s="71">
        <v>12406980979</v>
      </c>
      <c r="Q372" s="71">
        <v>0</v>
      </c>
      <c r="R372" s="71" t="s">
        <v>1566</v>
      </c>
      <c r="S372" s="71" t="s">
        <v>344</v>
      </c>
      <c r="T372" s="71" t="s">
        <v>1567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ENTREGA</v>
      </c>
      <c r="C373" s="72" t="str">
        <f ca="1">IF(D373="Inativo","Inativo",IFERROR(VLOOKUP($G373,Conf!$F$19:$G$39,2,0),VLOOKUP($S373,Conf!$K:$M,3,0)))</f>
        <v>MOTORISTA</v>
      </c>
      <c r="D373" s="72" t="str">
        <f ca="1">IFERROR(IF(TODAY()-K373&gt;365,"Inativo",IF(J373=2,"Férias",IF(J373=7,"Demitido","Afastamento"))),VLOOKUP(J373,Conf!$H:$I,2,0))</f>
        <v>Demitido</v>
      </c>
      <c r="E373" s="71">
        <v>5</v>
      </c>
      <c r="F373" s="71">
        <v>1681</v>
      </c>
      <c r="G373" s="71" t="s">
        <v>1571</v>
      </c>
      <c r="H373" s="71">
        <v>130</v>
      </c>
      <c r="I373" s="71" t="s">
        <v>1547</v>
      </c>
      <c r="J373" s="71">
        <v>7</v>
      </c>
      <c r="K373" s="71" t="s">
        <v>3631</v>
      </c>
      <c r="L373" s="71" t="s">
        <v>1572</v>
      </c>
      <c r="M373" s="71" t="s">
        <v>1573</v>
      </c>
      <c r="N373" s="71">
        <v>45929157987</v>
      </c>
      <c r="Q373" s="71">
        <v>0</v>
      </c>
      <c r="R373" s="71" t="s">
        <v>1574</v>
      </c>
      <c r="S373" s="71" t="s">
        <v>836</v>
      </c>
      <c r="T373" s="71" t="s">
        <v>1575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EMPACOTADOR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957</v>
      </c>
      <c r="G374" s="71" t="s">
        <v>1576</v>
      </c>
      <c r="H374" s="71">
        <v>41</v>
      </c>
      <c r="I374" s="71" t="s">
        <v>903</v>
      </c>
      <c r="J374" s="71">
        <v>1</v>
      </c>
      <c r="K374" s="71" t="s">
        <v>223</v>
      </c>
      <c r="L374" s="71" t="s">
        <v>1577</v>
      </c>
      <c r="M374" s="71" t="s">
        <v>1578</v>
      </c>
      <c r="N374" s="71">
        <v>47672897934</v>
      </c>
      <c r="Q374" s="71">
        <v>0</v>
      </c>
      <c r="R374" s="71" t="s">
        <v>1579</v>
      </c>
      <c r="S374" s="71" t="s">
        <v>949</v>
      </c>
      <c r="T374" s="71" t="s">
        <v>1580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IF(D375="Inativo","Inativo",IFERROR(VLOOKUP($G375,Conf!$F$19:$G$39,2,0),VLOOKUP($S375,Conf!$K:$M,3,0)))</f>
        <v>ENCARREGADO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644</v>
      </c>
      <c r="G375" s="71" t="s">
        <v>1581</v>
      </c>
      <c r="H375" s="71">
        <v>379</v>
      </c>
      <c r="I375" s="71" t="s">
        <v>473</v>
      </c>
      <c r="J375" s="71">
        <v>1</v>
      </c>
      <c r="K375" s="71" t="s">
        <v>223</v>
      </c>
      <c r="L375" s="71" t="s">
        <v>1582</v>
      </c>
      <c r="M375" s="71" t="s">
        <v>1583</v>
      </c>
      <c r="N375" s="71">
        <v>2114789977</v>
      </c>
      <c r="Q375" s="71">
        <v>0</v>
      </c>
      <c r="R375" s="71" t="s">
        <v>1584</v>
      </c>
      <c r="S375" s="71" t="s">
        <v>394</v>
      </c>
      <c r="T375" s="71" t="s">
        <v>1585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IF(D376="Inativo","Inativo",IFERROR(VLOOKUP($G376,Conf!$F$19:$G$39,2,0),VLOOKUP($S376,Conf!$K:$M,3,0)))</f>
        <v>FISCAL DE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1715</v>
      </c>
      <c r="G376" s="71" t="s">
        <v>1586</v>
      </c>
      <c r="H376" s="71">
        <v>47</v>
      </c>
      <c r="I376" s="71" t="s">
        <v>222</v>
      </c>
      <c r="J376" s="71">
        <v>1</v>
      </c>
      <c r="K376" s="71" t="s">
        <v>223</v>
      </c>
      <c r="L376" s="71" t="s">
        <v>1587</v>
      </c>
      <c r="M376" s="71" t="s">
        <v>604</v>
      </c>
      <c r="N376" s="71">
        <v>4771816948</v>
      </c>
      <c r="O376" s="71" t="s">
        <v>245</v>
      </c>
      <c r="P376" s="71" t="s">
        <v>246</v>
      </c>
      <c r="Q376" s="71">
        <v>0</v>
      </c>
      <c r="R376" s="71" t="s">
        <v>1588</v>
      </c>
      <c r="S376" s="71" t="s">
        <v>404</v>
      </c>
      <c r="T376" s="71" t="s">
        <v>1589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IF(D377="Inativo","Inativo",IFERROR(VLOOKUP($G377,Conf!$F$19:$G$39,2,0),VLOOKUP($S377,Conf!$K:$M,3,0)))</f>
        <v>FISCAL DE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326</v>
      </c>
      <c r="G377" s="71" t="s">
        <v>1590</v>
      </c>
      <c r="H377" s="71">
        <v>688</v>
      </c>
      <c r="I377" s="71" t="s">
        <v>1591</v>
      </c>
      <c r="J377" s="71">
        <v>1</v>
      </c>
      <c r="K377" s="71" t="s">
        <v>223</v>
      </c>
      <c r="L377" s="71" t="s">
        <v>1592</v>
      </c>
      <c r="M377" s="71" t="s">
        <v>1593</v>
      </c>
      <c r="N377" s="71">
        <v>7937779926</v>
      </c>
      <c r="Q377" s="71">
        <v>0</v>
      </c>
      <c r="R377" s="71" t="s">
        <v>1588</v>
      </c>
      <c r="S377" s="71" t="s">
        <v>404</v>
      </c>
      <c r="T377" s="71" t="s">
        <v>1589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IF(D378="Inativo","Inativo",IFERROR(VLOOKUP($G378,Conf!$F$19:$G$39,2,0),VLOOKUP($S378,Conf!$K:$M,3,0)))</f>
        <v>FISCAL DE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385</v>
      </c>
      <c r="G378" s="71" t="s">
        <v>1594</v>
      </c>
      <c r="H378" s="71">
        <v>486</v>
      </c>
      <c r="I378" s="71" t="s">
        <v>550</v>
      </c>
      <c r="J378" s="71">
        <v>1</v>
      </c>
      <c r="K378" s="71" t="s">
        <v>223</v>
      </c>
      <c r="L378" s="71" t="s">
        <v>1595</v>
      </c>
      <c r="M378" s="71" t="s">
        <v>1596</v>
      </c>
      <c r="N378" s="71">
        <v>6272121903</v>
      </c>
      <c r="Q378" s="71">
        <v>0</v>
      </c>
      <c r="R378" s="71" t="s">
        <v>1588</v>
      </c>
      <c r="S378" s="71" t="s">
        <v>404</v>
      </c>
      <c r="T378" s="71" t="s">
        <v>1589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IF(D379="Inativo","Inativo",IFERROR(VLOOKUP($G379,Conf!$F$19:$G$39,2,0),VLOOKUP($S379,Conf!$K:$M,3,0)))</f>
        <v>OPERADOR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1666</v>
      </c>
      <c r="G379" s="71" t="s">
        <v>1597</v>
      </c>
      <c r="H379" s="71">
        <v>524</v>
      </c>
      <c r="I379" s="71" t="s">
        <v>222</v>
      </c>
      <c r="J379" s="71">
        <v>1</v>
      </c>
      <c r="K379" s="71" t="s">
        <v>223</v>
      </c>
      <c r="L379" s="71" t="s">
        <v>1598</v>
      </c>
      <c r="M379" s="71" t="s">
        <v>1599</v>
      </c>
      <c r="N379" s="71">
        <v>70619896108</v>
      </c>
      <c r="Q379" s="71">
        <v>0</v>
      </c>
      <c r="R379" s="71" t="s">
        <v>1600</v>
      </c>
      <c r="S379" s="71" t="s">
        <v>413</v>
      </c>
      <c r="T379" s="71" t="s">
        <v>1601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IF(D380="Inativo","Inativo",IFERROR(VLOOKUP($G380,Conf!$F$19:$G$39,2,0),VLOOKUP($S380,Conf!$K:$M,3,0)))</f>
        <v>OPERADOR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1608</v>
      </c>
      <c r="G380" s="71" t="s">
        <v>1602</v>
      </c>
      <c r="H380" s="71">
        <v>522</v>
      </c>
      <c r="I380" s="71" t="s">
        <v>222</v>
      </c>
      <c r="J380" s="71">
        <v>1</v>
      </c>
      <c r="K380" s="71" t="s">
        <v>223</v>
      </c>
      <c r="L380" s="71" t="s">
        <v>1603</v>
      </c>
      <c r="M380" s="71" t="s">
        <v>1604</v>
      </c>
      <c r="N380" s="71">
        <v>13713657920</v>
      </c>
      <c r="Q380" s="71">
        <v>0</v>
      </c>
      <c r="R380" s="71" t="s">
        <v>1600</v>
      </c>
      <c r="S380" s="71" t="s">
        <v>413</v>
      </c>
      <c r="T380" s="71" t="s">
        <v>1601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IF(D381="Inativo","Inativo",IFERROR(VLOOKUP($G381,Conf!$F$19:$G$39,2,0),VLOOKUP($S381,Conf!$K:$M,3,0)))</f>
        <v>OPERADOR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1293</v>
      </c>
      <c r="G381" s="71" t="s">
        <v>1605</v>
      </c>
      <c r="H381" s="71">
        <v>528</v>
      </c>
      <c r="I381" s="71" t="s">
        <v>222</v>
      </c>
      <c r="J381" s="71">
        <v>1</v>
      </c>
      <c r="K381" s="71" t="s">
        <v>223</v>
      </c>
      <c r="L381" s="71" t="s">
        <v>1606</v>
      </c>
      <c r="M381" s="71" t="s">
        <v>1607</v>
      </c>
      <c r="N381" s="71">
        <v>62262098360</v>
      </c>
      <c r="Q381" s="71">
        <v>0</v>
      </c>
      <c r="R381" s="71" t="s">
        <v>1600</v>
      </c>
      <c r="S381" s="71" t="s">
        <v>413</v>
      </c>
      <c r="T381" s="71" t="s">
        <v>1601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IF(D382="Inativo","Inativo",IFERROR(VLOOKUP($G382,Conf!$F$19:$G$39,2,0),VLOOKUP($S382,Conf!$K:$M,3,0)))</f>
        <v>OPERADOR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1686</v>
      </c>
      <c r="G382" s="71" t="s">
        <v>1608</v>
      </c>
      <c r="H382" s="71">
        <v>524</v>
      </c>
      <c r="I382" s="71" t="s">
        <v>222</v>
      </c>
      <c r="J382" s="71">
        <v>1</v>
      </c>
      <c r="K382" s="71" t="s">
        <v>223</v>
      </c>
      <c r="L382" s="71" t="s">
        <v>1609</v>
      </c>
      <c r="M382" s="71" t="s">
        <v>1487</v>
      </c>
      <c r="N382" s="71">
        <v>62262101337</v>
      </c>
      <c r="O382" s="71" t="s">
        <v>245</v>
      </c>
      <c r="P382" s="71" t="s">
        <v>246</v>
      </c>
      <c r="Q382" s="71">
        <v>0</v>
      </c>
      <c r="R382" s="71" t="s">
        <v>1600</v>
      </c>
      <c r="S382" s="71" t="s">
        <v>413</v>
      </c>
      <c r="T382" s="71" t="s">
        <v>1601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IF(D383="Inativo","Inativo",IFERROR(VLOOKUP($G383,Conf!$F$19:$G$39,2,0),VLOOKUP($S383,Conf!$K:$M,3,0)))</f>
        <v>OPERADOR</v>
      </c>
      <c r="D383" s="72" t="str">
        <f ca="1">IFERROR(IF(TODAY()-K383&gt;365,"Inativo",IF(J383=2,"Férias",IF(J383=7,"Demitido","Afastamento"))),VLOOKUP(J383,Conf!$H:$I,2,0))</f>
        <v>Férias</v>
      </c>
      <c r="E383" s="71">
        <v>5</v>
      </c>
      <c r="F383" s="71">
        <v>1429</v>
      </c>
      <c r="G383" s="71" t="s">
        <v>1610</v>
      </c>
      <c r="H383" s="71">
        <v>523</v>
      </c>
      <c r="I383" s="71" t="s">
        <v>222</v>
      </c>
      <c r="J383" s="71">
        <v>2</v>
      </c>
      <c r="K383" s="71" t="s">
        <v>471</v>
      </c>
      <c r="L383" s="71" t="s">
        <v>1611</v>
      </c>
      <c r="M383" s="71" t="s">
        <v>1612</v>
      </c>
      <c r="N383" s="71">
        <v>9750369980</v>
      </c>
      <c r="Q383" s="71">
        <v>0</v>
      </c>
      <c r="R383" s="71" t="s">
        <v>1600</v>
      </c>
      <c r="S383" s="71" t="s">
        <v>413</v>
      </c>
      <c r="T383" s="71" t="s">
        <v>1601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IF(D384="Inativo","Inativo",IFERROR(VLOOKUP($G384,Conf!$F$19:$G$39,2,0),VLOOKUP($S384,Conf!$K:$M,3,0)))</f>
        <v>OPERADOR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1427</v>
      </c>
      <c r="G384" s="71" t="s">
        <v>1613</v>
      </c>
      <c r="H384" s="71">
        <v>529</v>
      </c>
      <c r="I384" s="71" t="s">
        <v>222</v>
      </c>
      <c r="J384" s="71">
        <v>1</v>
      </c>
      <c r="K384" s="71" t="s">
        <v>223</v>
      </c>
      <c r="L384" s="71" t="s">
        <v>1614</v>
      </c>
      <c r="M384" s="71" t="s">
        <v>1612</v>
      </c>
      <c r="N384" s="71">
        <v>80223228907</v>
      </c>
      <c r="Q384" s="71">
        <v>0</v>
      </c>
      <c r="R384" s="71" t="s">
        <v>1600</v>
      </c>
      <c r="S384" s="71" t="s">
        <v>413</v>
      </c>
      <c r="T384" s="71" t="s">
        <v>1601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IF(D385="Inativo","Inativo",IFERROR(VLOOKUP($G385,Conf!$F$19:$G$39,2,0),VLOOKUP($S385,Conf!$K:$M,3,0)))</f>
        <v>OPERADOR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1746</v>
      </c>
      <c r="G385" s="71" t="s">
        <v>1615</v>
      </c>
      <c r="H385" s="71">
        <v>918</v>
      </c>
      <c r="I385" s="71" t="s">
        <v>222</v>
      </c>
      <c r="J385" s="71">
        <v>1</v>
      </c>
      <c r="K385" s="71" t="s">
        <v>223</v>
      </c>
      <c r="L385" s="71" t="s">
        <v>1616</v>
      </c>
      <c r="M385" s="71" t="s">
        <v>239</v>
      </c>
      <c r="N385" s="71">
        <v>13299371983</v>
      </c>
      <c r="O385" s="71" t="s">
        <v>245</v>
      </c>
      <c r="P385" s="71" t="s">
        <v>246</v>
      </c>
      <c r="Q385" s="71">
        <v>0</v>
      </c>
      <c r="R385" s="71" t="s">
        <v>1600</v>
      </c>
      <c r="S385" s="71" t="s">
        <v>413</v>
      </c>
      <c r="T385" s="71" t="s">
        <v>1601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IF(D386="Inativo","Inativo",IFERROR(VLOOKUP($G386,Conf!$F$19:$G$39,2,0),VLOOKUP($S386,Conf!$K:$M,3,0)))</f>
        <v>OPERADOR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1747</v>
      </c>
      <c r="G386" s="71" t="s">
        <v>1617</v>
      </c>
      <c r="H386" s="71">
        <v>47</v>
      </c>
      <c r="I386" s="71" t="s">
        <v>222</v>
      </c>
      <c r="J386" s="71">
        <v>1</v>
      </c>
      <c r="K386" s="71" t="s">
        <v>223</v>
      </c>
      <c r="L386" s="71" t="s">
        <v>1618</v>
      </c>
      <c r="M386" s="71" t="s">
        <v>1117</v>
      </c>
      <c r="N386" s="71">
        <v>12380809950</v>
      </c>
      <c r="O386" s="71" t="s">
        <v>245</v>
      </c>
      <c r="P386" s="71" t="s">
        <v>246</v>
      </c>
      <c r="Q386" s="71">
        <v>0</v>
      </c>
      <c r="R386" s="71" t="s">
        <v>1600</v>
      </c>
      <c r="S386" s="71" t="s">
        <v>413</v>
      </c>
      <c r="T386" s="71" t="s">
        <v>1601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IF(D387="Inativo","Inativo",IFERROR(VLOOKUP($G387,Conf!$F$19:$G$39,2,0),VLOOKUP($S387,Conf!$K:$M,3,0)))</f>
        <v>OPERADOR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684</v>
      </c>
      <c r="G387" s="71" t="s">
        <v>1619</v>
      </c>
      <c r="H387" s="71">
        <v>340</v>
      </c>
      <c r="I387" s="71" t="s">
        <v>400</v>
      </c>
      <c r="J387" s="71">
        <v>1</v>
      </c>
      <c r="K387" s="71" t="s">
        <v>223</v>
      </c>
      <c r="L387" s="71" t="s">
        <v>1620</v>
      </c>
      <c r="M387" s="71" t="s">
        <v>1621</v>
      </c>
      <c r="N387" s="71">
        <v>3928395980</v>
      </c>
      <c r="Q387" s="71">
        <v>0</v>
      </c>
      <c r="R387" s="71" t="s">
        <v>1600</v>
      </c>
      <c r="S387" s="71" t="s">
        <v>413</v>
      </c>
      <c r="T387" s="71" t="s">
        <v>1601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FRENTE DE CAIXA</v>
      </c>
      <c r="C388" s="72" t="str">
        <f ca="1">IF(D388="Inativo","Inativo",IFERROR(VLOOKUP($G388,Conf!$F$19:$G$39,2,0),VLOOKUP($S388,Conf!$K:$M,3,0)))</f>
        <v>OPERADOR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1729</v>
      </c>
      <c r="G388" s="71" t="s">
        <v>1622</v>
      </c>
      <c r="H388" s="71">
        <v>47</v>
      </c>
      <c r="I388" s="71" t="s">
        <v>222</v>
      </c>
      <c r="J388" s="71">
        <v>1</v>
      </c>
      <c r="K388" s="71" t="s">
        <v>223</v>
      </c>
      <c r="L388" s="71" t="s">
        <v>1623</v>
      </c>
      <c r="M388" s="71" t="s">
        <v>1314</v>
      </c>
      <c r="N388" s="71">
        <v>8853072245</v>
      </c>
      <c r="O388" s="71" t="s">
        <v>245</v>
      </c>
      <c r="P388" s="71" t="s">
        <v>246</v>
      </c>
      <c r="Q388" s="71">
        <v>0</v>
      </c>
      <c r="R388" s="71" t="s">
        <v>1600</v>
      </c>
      <c r="S388" s="71" t="s">
        <v>413</v>
      </c>
      <c r="T388" s="71" t="s">
        <v>1601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FRENTE DE CAIXA</v>
      </c>
      <c r="C389" s="72" t="str">
        <f ca="1">IF(D389="Inativo","Inativo",IFERROR(VLOOKUP($G389,Conf!$F$19:$G$39,2,0),VLOOKUP($S389,Conf!$K:$M,3,0)))</f>
        <v>OPERADOR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1393</v>
      </c>
      <c r="G389" s="71" t="s">
        <v>1624</v>
      </c>
      <c r="H389" s="71">
        <v>524</v>
      </c>
      <c r="I389" s="71" t="s">
        <v>222</v>
      </c>
      <c r="J389" s="71">
        <v>1</v>
      </c>
      <c r="K389" s="71" t="s">
        <v>223</v>
      </c>
      <c r="L389" s="71" t="s">
        <v>1625</v>
      </c>
      <c r="M389" s="71" t="s">
        <v>1626</v>
      </c>
      <c r="N389" s="71">
        <v>5951469961</v>
      </c>
      <c r="Q389" s="71">
        <v>0</v>
      </c>
      <c r="R389" s="71" t="s">
        <v>1600</v>
      </c>
      <c r="S389" s="71" t="s">
        <v>413</v>
      </c>
      <c r="T389" s="71" t="s">
        <v>1601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FRENTE DE CAIXA</v>
      </c>
      <c r="C390" s="72" t="str">
        <f ca="1">IF(D390="Inativo","Inativo",IFERROR(VLOOKUP($G390,Conf!$F$19:$G$39,2,0),VLOOKUP($S390,Conf!$K:$M,3,0)))</f>
        <v>OPERADOR</v>
      </c>
      <c r="D390" s="72" t="str">
        <f ca="1">IFERROR(IF(TODAY()-K390&gt;365,"Inativo",IF(J390=2,"Férias",IF(J390=7,"Demitido","Afastamento"))),VLOOKUP(J390,Conf!$H:$I,2,0))</f>
        <v>Demitido</v>
      </c>
      <c r="E390" s="71">
        <v>5</v>
      </c>
      <c r="F390" s="71">
        <v>1631</v>
      </c>
      <c r="G390" s="71" t="s">
        <v>1627</v>
      </c>
      <c r="H390" s="71">
        <v>527</v>
      </c>
      <c r="I390" s="71" t="s">
        <v>222</v>
      </c>
      <c r="J390" s="71">
        <v>7</v>
      </c>
      <c r="K390" s="71" t="s">
        <v>3640</v>
      </c>
      <c r="L390" s="71" t="s">
        <v>1628</v>
      </c>
      <c r="M390" s="71" t="s">
        <v>1629</v>
      </c>
      <c r="N390" s="71">
        <v>15242067926</v>
      </c>
      <c r="Q390" s="71">
        <v>0</v>
      </c>
      <c r="R390" s="71" t="s">
        <v>1600</v>
      </c>
      <c r="S390" s="71" t="s">
        <v>413</v>
      </c>
      <c r="T390" s="71" t="s">
        <v>1601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FRENTE DE CAIXA</v>
      </c>
      <c r="C391" s="72" t="str">
        <f ca="1">IF(D391="Inativo","Inativo",IFERROR(VLOOKUP($G391,Conf!$F$19:$G$39,2,0),VLOOKUP($S391,Conf!$K:$M,3,0)))</f>
        <v>OPERADOR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1752</v>
      </c>
      <c r="G391" s="71" t="s">
        <v>3634</v>
      </c>
      <c r="H391" s="71">
        <v>527</v>
      </c>
      <c r="I391" s="71" t="s">
        <v>222</v>
      </c>
      <c r="J391" s="71">
        <v>1</v>
      </c>
      <c r="K391" s="71" t="s">
        <v>223</v>
      </c>
      <c r="L391" s="71" t="s">
        <v>3635</v>
      </c>
      <c r="M391" s="71" t="s">
        <v>3636</v>
      </c>
      <c r="N391" s="71">
        <v>12523517981</v>
      </c>
      <c r="O391" s="71" t="s">
        <v>245</v>
      </c>
      <c r="P391" s="71" t="s">
        <v>246</v>
      </c>
      <c r="Q391" s="71">
        <v>0</v>
      </c>
      <c r="R391" s="71" t="s">
        <v>1600</v>
      </c>
      <c r="S391" s="71" t="s">
        <v>413</v>
      </c>
      <c r="T391" s="71" t="s">
        <v>1601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FRENTE DE CAIXA</v>
      </c>
      <c r="C392" s="72" t="str">
        <f ca="1">IF(D392="Inativo","Inativo",IFERROR(VLOOKUP($G392,Conf!$F$19:$G$39,2,0),VLOOKUP($S392,Conf!$K:$M,3,0)))</f>
        <v>OPERADOR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1690</v>
      </c>
      <c r="G392" s="71" t="s">
        <v>1630</v>
      </c>
      <c r="H392" s="71">
        <v>520</v>
      </c>
      <c r="I392" s="71" t="s">
        <v>222</v>
      </c>
      <c r="J392" s="71">
        <v>1</v>
      </c>
      <c r="K392" s="71" t="s">
        <v>223</v>
      </c>
      <c r="L392" s="71" t="s">
        <v>1631</v>
      </c>
      <c r="M392" s="71" t="s">
        <v>462</v>
      </c>
      <c r="N392" s="71">
        <v>12885451939</v>
      </c>
      <c r="O392" s="71" t="s">
        <v>245</v>
      </c>
      <c r="P392" s="71" t="s">
        <v>246</v>
      </c>
      <c r="Q392" s="71">
        <v>0</v>
      </c>
      <c r="R392" s="71" t="s">
        <v>1600</v>
      </c>
      <c r="S392" s="71" t="s">
        <v>413</v>
      </c>
      <c r="T392" s="71" t="s">
        <v>1601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FRENTE DE CAIXA</v>
      </c>
      <c r="C393" s="72" t="str">
        <f ca="1">IF(D393="Inativo","Inativo",IFERROR(VLOOKUP($G393,Conf!$F$19:$G$39,2,0),VLOOKUP($S393,Conf!$K:$M,3,0)))</f>
        <v>OPERADOR</v>
      </c>
      <c r="D393" s="72" t="str">
        <f ca="1">IFERROR(IF(TODAY()-K393&gt;365,"Inativo",IF(J393=2,"Férias",IF(J393=7,"Demitido","Afastamento"))),VLOOKUP(J393,Conf!$H:$I,2,0))</f>
        <v>Demitido</v>
      </c>
      <c r="E393" s="71">
        <v>5</v>
      </c>
      <c r="F393" s="71">
        <v>1703</v>
      </c>
      <c r="G393" s="71" t="s">
        <v>1632</v>
      </c>
      <c r="H393" s="71">
        <v>520</v>
      </c>
      <c r="I393" s="71" t="s">
        <v>222</v>
      </c>
      <c r="J393" s="71">
        <v>7</v>
      </c>
      <c r="K393" s="71" t="s">
        <v>1633</v>
      </c>
      <c r="L393" s="71" t="s">
        <v>1634</v>
      </c>
      <c r="M393" s="71" t="s">
        <v>1635</v>
      </c>
      <c r="N393" s="71">
        <v>70706326229</v>
      </c>
      <c r="O393" s="71" t="s">
        <v>245</v>
      </c>
      <c r="P393" s="71" t="s">
        <v>246</v>
      </c>
      <c r="Q393" s="71">
        <v>0</v>
      </c>
      <c r="R393" s="71" t="s">
        <v>1600</v>
      </c>
      <c r="S393" s="71" t="s">
        <v>413</v>
      </c>
      <c r="T393" s="71" t="s">
        <v>1601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FRENTE DE CAIXA</v>
      </c>
      <c r="C394" s="72" t="str">
        <f ca="1">IF(D394="Inativo","Inativo",IFERROR(VLOOKUP($G394,Conf!$F$19:$G$39,2,0),VLOOKUP($S394,Conf!$K:$M,3,0)))</f>
        <v>OPERADOR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1751</v>
      </c>
      <c r="G394" s="71" t="s">
        <v>3637</v>
      </c>
      <c r="H394" s="71">
        <v>47</v>
      </c>
      <c r="I394" s="71" t="s">
        <v>222</v>
      </c>
      <c r="J394" s="71">
        <v>1</v>
      </c>
      <c r="K394" s="71" t="s">
        <v>223</v>
      </c>
      <c r="L394" s="71" t="s">
        <v>3638</v>
      </c>
      <c r="M394" s="71" t="s">
        <v>3639</v>
      </c>
      <c r="N394" s="71">
        <v>71209211262</v>
      </c>
      <c r="O394" s="71" t="s">
        <v>245</v>
      </c>
      <c r="P394" s="71" t="s">
        <v>246</v>
      </c>
      <c r="Q394" s="71">
        <v>0</v>
      </c>
      <c r="R394" s="71" t="s">
        <v>1600</v>
      </c>
      <c r="S394" s="71" t="s">
        <v>413</v>
      </c>
      <c r="T394" s="71" t="s">
        <v>1601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FRENTE DE CAIXA</v>
      </c>
      <c r="C395" s="72" t="str">
        <f ca="1">IF(D395="Inativo","Inativo",IFERROR(VLOOKUP($G395,Conf!$F$19:$G$39,2,0),VLOOKUP($S395,Conf!$K:$M,3,0)))</f>
        <v>OPERADOR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1732</v>
      </c>
      <c r="G395" s="71" t="s">
        <v>1636</v>
      </c>
      <c r="H395" s="71">
        <v>47</v>
      </c>
      <c r="I395" s="71" t="s">
        <v>222</v>
      </c>
      <c r="J395" s="71">
        <v>1</v>
      </c>
      <c r="K395" s="71" t="s">
        <v>223</v>
      </c>
      <c r="L395" s="71" t="s">
        <v>1637</v>
      </c>
      <c r="M395" s="71" t="s">
        <v>273</v>
      </c>
      <c r="N395" s="71">
        <v>13338671318</v>
      </c>
      <c r="O395" s="71" t="s">
        <v>245</v>
      </c>
      <c r="P395" s="71" t="s">
        <v>246</v>
      </c>
      <c r="Q395" s="71">
        <v>0</v>
      </c>
      <c r="R395" s="71" t="s">
        <v>1600</v>
      </c>
      <c r="S395" s="71" t="s">
        <v>413</v>
      </c>
      <c r="T395" s="71" t="s">
        <v>1601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FRENTE DE CAIXA</v>
      </c>
      <c r="C396" s="72" t="str">
        <f ca="1">IF(D396="Inativo","Inativo",IFERROR(VLOOKUP($G396,Conf!$F$19:$G$39,2,0),VLOOKUP($S396,Conf!$K:$M,3,0)))</f>
        <v>OPERADOR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1283</v>
      </c>
      <c r="G396" s="71" t="s">
        <v>1638</v>
      </c>
      <c r="H396" s="71">
        <v>520</v>
      </c>
      <c r="I396" s="71" t="s">
        <v>222</v>
      </c>
      <c r="J396" s="71">
        <v>1</v>
      </c>
      <c r="K396" s="71" t="s">
        <v>223</v>
      </c>
      <c r="L396" s="71" t="s">
        <v>1639</v>
      </c>
      <c r="M396" s="71" t="s">
        <v>1640</v>
      </c>
      <c r="N396" s="71">
        <v>12199049965</v>
      </c>
      <c r="Q396" s="71">
        <v>0</v>
      </c>
      <c r="R396" s="71" t="s">
        <v>1600</v>
      </c>
      <c r="S396" s="71" t="s">
        <v>413</v>
      </c>
      <c r="T396" s="71" t="s">
        <v>1601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FRENTE DE CAIXA</v>
      </c>
      <c r="C397" s="72" t="str">
        <f ca="1">IF(D397="Inativo","Inativo",IFERROR(VLOOKUP($G397,Conf!$F$19:$G$39,2,0),VLOOKUP($S397,Conf!$K:$M,3,0)))</f>
        <v>OPERADOR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1372</v>
      </c>
      <c r="G397" s="71" t="s">
        <v>1641</v>
      </c>
      <c r="H397" s="71">
        <v>385</v>
      </c>
      <c r="I397" s="71" t="s">
        <v>473</v>
      </c>
      <c r="J397" s="71">
        <v>1</v>
      </c>
      <c r="K397" s="71" t="s">
        <v>223</v>
      </c>
      <c r="L397" s="71" t="s">
        <v>1642</v>
      </c>
      <c r="M397" s="71" t="s">
        <v>746</v>
      </c>
      <c r="N397" s="71">
        <v>4721670907</v>
      </c>
      <c r="Q397" s="71">
        <v>0</v>
      </c>
      <c r="R397" s="71" t="s">
        <v>1600</v>
      </c>
      <c r="S397" s="71" t="s">
        <v>413</v>
      </c>
      <c r="T397" s="71" t="s">
        <v>1601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FRIOS</v>
      </c>
      <c r="C398" s="72" t="str">
        <f ca="1">IF(D398="Inativo","Inativo",IFERROR(VLOOKUP($G398,Conf!$F$19:$G$39,2,0),VLOOKUP($S398,Conf!$K:$M,3,0)))</f>
        <v>BALCONISTA</v>
      </c>
      <c r="D398" s="72" t="str">
        <f ca="1">IFERROR(IF(TODAY()-K398&gt;365,"Inativo",IF(J398=2,"Férias",IF(J398=7,"Demitido","Afastamento"))),VLOOKUP(J398,Conf!$H:$I,2,0))</f>
        <v>Férias</v>
      </c>
      <c r="E398" s="71">
        <v>5</v>
      </c>
      <c r="F398" s="71">
        <v>1092</v>
      </c>
      <c r="G398" s="71" t="s">
        <v>1643</v>
      </c>
      <c r="H398" s="71">
        <v>488</v>
      </c>
      <c r="I398" s="71" t="s">
        <v>550</v>
      </c>
      <c r="J398" s="71">
        <v>2</v>
      </c>
      <c r="K398" s="71" t="s">
        <v>471</v>
      </c>
      <c r="L398" s="71" t="s">
        <v>1644</v>
      </c>
      <c r="M398" s="71" t="s">
        <v>1645</v>
      </c>
      <c r="N398" s="71">
        <v>9360335924</v>
      </c>
      <c r="Q398" s="71">
        <v>0</v>
      </c>
      <c r="R398" s="71" t="s">
        <v>1646</v>
      </c>
      <c r="S398" s="71" t="s">
        <v>505</v>
      </c>
      <c r="T398" s="71" t="s">
        <v>1647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FRIOS</v>
      </c>
      <c r="C399" s="72" t="str">
        <f ca="1">IF(D399="Inativo","Inativo",IFERROR(VLOOKUP($G399,Conf!$F$19:$G$39,2,0),VLOOKUP($S399,Conf!$K:$M,3,0)))</f>
        <v>BALCONISTA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1734</v>
      </c>
      <c r="G399" s="71" t="s">
        <v>1648</v>
      </c>
      <c r="H399" s="71">
        <v>47</v>
      </c>
      <c r="I399" s="71" t="s">
        <v>222</v>
      </c>
      <c r="J399" s="71">
        <v>1</v>
      </c>
      <c r="K399" s="71" t="s">
        <v>223</v>
      </c>
      <c r="L399" s="71" t="s">
        <v>1649</v>
      </c>
      <c r="M399" s="71" t="s">
        <v>1048</v>
      </c>
      <c r="N399" s="71">
        <v>11958139700</v>
      </c>
      <c r="O399" s="71" t="s">
        <v>245</v>
      </c>
      <c r="P399" s="71" t="s">
        <v>246</v>
      </c>
      <c r="Q399" s="71">
        <v>0</v>
      </c>
      <c r="R399" s="71" t="s">
        <v>1646</v>
      </c>
      <c r="S399" s="71" t="s">
        <v>505</v>
      </c>
      <c r="T399" s="71" t="s">
        <v>1647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FRIOS</v>
      </c>
      <c r="C400" s="72" t="str">
        <f ca="1">IF(D400="Inativo","Inativo",IFERROR(VLOOKUP($G400,Conf!$F$19:$G$39,2,0),VLOOKUP($S400,Conf!$K:$M,3,0)))</f>
        <v>BALCONISTA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1325</v>
      </c>
      <c r="G400" s="71" t="s">
        <v>1650</v>
      </c>
      <c r="H400" s="71">
        <v>493</v>
      </c>
      <c r="I400" s="71" t="s">
        <v>550</v>
      </c>
      <c r="J400" s="71">
        <v>1</v>
      </c>
      <c r="K400" s="71" t="s">
        <v>223</v>
      </c>
      <c r="L400" s="71" t="s">
        <v>1651</v>
      </c>
      <c r="M400" s="71" t="s">
        <v>1652</v>
      </c>
      <c r="N400" s="71">
        <v>7319038978</v>
      </c>
      <c r="Q400" s="71">
        <v>0</v>
      </c>
      <c r="R400" s="71" t="s">
        <v>1646</v>
      </c>
      <c r="S400" s="71" t="s">
        <v>505</v>
      </c>
      <c r="T400" s="71" t="s">
        <v>1647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FRIOS</v>
      </c>
      <c r="C401" s="72" t="str">
        <f ca="1">IF(D401="Inativo","Inativo",IFERROR(VLOOKUP($G401,Conf!$F$19:$G$39,2,0),VLOOKUP($S401,Conf!$K:$M,3,0)))</f>
        <v>ENCARREGADO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496</v>
      </c>
      <c r="G401" s="71" t="s">
        <v>1653</v>
      </c>
      <c r="H401" s="71">
        <v>346</v>
      </c>
      <c r="I401" s="71" t="s">
        <v>400</v>
      </c>
      <c r="J401" s="71">
        <v>1</v>
      </c>
      <c r="K401" s="71" t="s">
        <v>223</v>
      </c>
      <c r="L401" s="71" t="s">
        <v>1654</v>
      </c>
      <c r="M401" s="71" t="s">
        <v>1655</v>
      </c>
      <c r="N401" s="71">
        <v>8531044928</v>
      </c>
      <c r="Q401" s="71">
        <v>0</v>
      </c>
      <c r="R401" s="71" t="s">
        <v>1656</v>
      </c>
      <c r="S401" s="71" t="s">
        <v>1657</v>
      </c>
      <c r="T401" s="71" t="s">
        <v>1658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FRIOS</v>
      </c>
      <c r="C402" s="72" t="str">
        <f ca="1">IF(D402="Inativo","Inativo",IFERROR(VLOOKUP($G402,Conf!$F$19:$G$39,2,0),VLOOKUP($S402,Conf!$K:$M,3,0)))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1742</v>
      </c>
      <c r="G402" s="71" t="s">
        <v>1659</v>
      </c>
      <c r="H402" s="71">
        <v>6</v>
      </c>
      <c r="I402" s="71" t="s">
        <v>230</v>
      </c>
      <c r="J402" s="71">
        <v>1</v>
      </c>
      <c r="K402" s="71" t="s">
        <v>223</v>
      </c>
      <c r="L402" s="71" t="s">
        <v>1660</v>
      </c>
      <c r="M402" s="71" t="s">
        <v>886</v>
      </c>
      <c r="N402" s="71">
        <v>8735656905</v>
      </c>
      <c r="O402" s="71" t="s">
        <v>245</v>
      </c>
      <c r="P402" s="71" t="s">
        <v>246</v>
      </c>
      <c r="Q402" s="71">
        <v>0</v>
      </c>
      <c r="R402" s="71" t="s">
        <v>1661</v>
      </c>
      <c r="S402" s="71" t="s">
        <v>1662</v>
      </c>
      <c r="T402" s="71" t="s">
        <v>1663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HORTIFRUTI</v>
      </c>
      <c r="C403" s="72" t="str">
        <f ca="1">IF(D403="Inativo","Inativo",IFERROR(VLOOKUP($G403,Conf!$F$19:$G$39,2,0),VLOOKUP($S403,Conf!$K:$M,3,0)))</f>
        <v>ENCARREGADO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1078</v>
      </c>
      <c r="G403" s="71" t="s">
        <v>1664</v>
      </c>
      <c r="H403" s="71">
        <v>495</v>
      </c>
      <c r="I403" s="71" t="s">
        <v>550</v>
      </c>
      <c r="J403" s="71">
        <v>1</v>
      </c>
      <c r="K403" s="71" t="s">
        <v>223</v>
      </c>
      <c r="L403" s="71" t="s">
        <v>1665</v>
      </c>
      <c r="M403" s="71" t="s">
        <v>1666</v>
      </c>
      <c r="N403" s="71">
        <v>10626349427</v>
      </c>
      <c r="Q403" s="71">
        <v>0</v>
      </c>
      <c r="R403" s="71" t="s">
        <v>1667</v>
      </c>
      <c r="S403" s="71" t="s">
        <v>924</v>
      </c>
      <c r="T403" s="71" t="s">
        <v>1668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HORTIFRUTI</v>
      </c>
      <c r="C404" s="72" t="str">
        <f ca="1">IF(D404="Inativo","Inativo",IFERROR(VLOOKUP($G404,Conf!$F$19:$G$39,2,0),VLOOKUP($S404,Conf!$K:$M,3,0)))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1576</v>
      </c>
      <c r="G404" s="71" t="s">
        <v>1669</v>
      </c>
      <c r="H404" s="71">
        <v>47</v>
      </c>
      <c r="I404" s="71" t="s">
        <v>222</v>
      </c>
      <c r="J404" s="71">
        <v>1</v>
      </c>
      <c r="K404" s="71" t="s">
        <v>223</v>
      </c>
      <c r="L404" s="71" t="s">
        <v>1670</v>
      </c>
      <c r="M404" s="71" t="s">
        <v>1671</v>
      </c>
      <c r="N404" s="71">
        <v>14656789992</v>
      </c>
      <c r="Q404" s="71">
        <v>0</v>
      </c>
      <c r="R404" s="71" t="s">
        <v>1672</v>
      </c>
      <c r="S404" s="71" t="s">
        <v>554</v>
      </c>
      <c r="T404" s="71" t="s">
        <v>1673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Inativo</v>
      </c>
      <c r="C405" s="72" t="str">
        <f ca="1">IF(D405="Inativo","Inativo",IFERROR(VLOOKUP($G405,Conf!$F$19:$G$39,2,0),VLOOKUP($S405,Conf!$K:$M,3,0)))</f>
        <v>Inativo</v>
      </c>
      <c r="D405" s="72" t="str">
        <f ca="1">IFERROR(IF(TODAY()-K405&gt;365,"Inativo",IF(J405=2,"Férias",IF(J405=7,"Demitido","Afastamento"))),VLOOKUP(J405,Conf!$H:$I,2,0))</f>
        <v>Inativo</v>
      </c>
      <c r="E405" s="71">
        <v>5</v>
      </c>
      <c r="F405" s="71">
        <v>355</v>
      </c>
      <c r="G405" s="71" t="s">
        <v>1674</v>
      </c>
      <c r="H405" s="71">
        <v>11</v>
      </c>
      <c r="I405" s="71" t="s">
        <v>400</v>
      </c>
      <c r="J405" s="71">
        <v>22</v>
      </c>
      <c r="K405" s="71" t="s">
        <v>1675</v>
      </c>
      <c r="L405" s="71" t="s">
        <v>1676</v>
      </c>
      <c r="M405" s="71" t="s">
        <v>1677</v>
      </c>
      <c r="N405" s="71">
        <v>45779422915</v>
      </c>
      <c r="Q405" s="71">
        <v>0</v>
      </c>
      <c r="R405" s="71" t="s">
        <v>1534</v>
      </c>
      <c r="S405" s="71" t="s">
        <v>1112</v>
      </c>
      <c r="T405" s="71" t="s">
        <v>1535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Inativo</v>
      </c>
      <c r="C406" s="72" t="str">
        <f ca="1">IF(D406="Inativo","Inativo",IFERROR(VLOOKUP($G406,Conf!$F$19:$G$39,2,0),VLOOKUP($S406,Conf!$K:$M,3,0)))</f>
        <v>Inativo</v>
      </c>
      <c r="D406" s="72" t="str">
        <f ca="1">IFERROR(IF(TODAY()-K406&gt;365,"Inativo",IF(J406=2,"Férias",IF(J406=7,"Demitido","Afastamento"))),VLOOKUP(J406,Conf!$H:$I,2,0))</f>
        <v>Inativo</v>
      </c>
      <c r="E406" s="71">
        <v>5</v>
      </c>
      <c r="F406" s="71">
        <v>1204</v>
      </c>
      <c r="G406" s="71" t="s">
        <v>1678</v>
      </c>
      <c r="H406" s="71">
        <v>527</v>
      </c>
      <c r="I406" s="71" t="s">
        <v>222</v>
      </c>
      <c r="J406" s="71">
        <v>3</v>
      </c>
      <c r="K406" s="71" t="s">
        <v>1679</v>
      </c>
      <c r="L406" s="71" t="s">
        <v>1680</v>
      </c>
      <c r="M406" s="71" t="s">
        <v>1681</v>
      </c>
      <c r="N406" s="71">
        <v>3205813901</v>
      </c>
      <c r="Q406" s="71">
        <v>0</v>
      </c>
      <c r="R406" s="71" t="s">
        <v>1516</v>
      </c>
      <c r="S406" s="71" t="s">
        <v>784</v>
      </c>
      <c r="T406" s="71" t="s">
        <v>1517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LIMPEZA</v>
      </c>
      <c r="C407" s="72" t="str">
        <f ca="1">IF(D407="Inativo","Inativo",IFERROR(VLOOKUP($G407,Conf!$F$19:$G$39,2,0),VLOOKUP($S407,Conf!$K:$M,3,0)))</f>
        <v>ZELADOR(A)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1719</v>
      </c>
      <c r="G407" s="71" t="s">
        <v>1682</v>
      </c>
      <c r="H407" s="71">
        <v>47</v>
      </c>
      <c r="I407" s="71" t="s">
        <v>222</v>
      </c>
      <c r="J407" s="71">
        <v>1</v>
      </c>
      <c r="K407" s="71" t="s">
        <v>223</v>
      </c>
      <c r="L407" s="71" t="s">
        <v>1683</v>
      </c>
      <c r="M407" s="71" t="s">
        <v>1523</v>
      </c>
      <c r="N407" s="71">
        <v>18373403825</v>
      </c>
      <c r="O407" s="71" t="s">
        <v>245</v>
      </c>
      <c r="P407" s="71" t="s">
        <v>246</v>
      </c>
      <c r="Q407" s="71">
        <v>0</v>
      </c>
      <c r="R407" s="71" t="s">
        <v>1684</v>
      </c>
      <c r="S407" s="71" t="s">
        <v>588</v>
      </c>
      <c r="T407" s="71" t="s">
        <v>1685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LIMPEZA</v>
      </c>
      <c r="C408" s="72" t="str">
        <f ca="1">IF(D408="Inativo","Inativo",IFERROR(VLOOKUP($G408,Conf!$F$19:$G$39,2,0),VLOOKUP($S408,Conf!$K:$M,3,0)))</f>
        <v>ZELADOR(A)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677</v>
      </c>
      <c r="G408" s="71" t="s">
        <v>1686</v>
      </c>
      <c r="H408" s="71">
        <v>6</v>
      </c>
      <c r="I408" s="71" t="s">
        <v>230</v>
      </c>
      <c r="J408" s="71">
        <v>1</v>
      </c>
      <c r="K408" s="71" t="s">
        <v>223</v>
      </c>
      <c r="L408" s="71" t="s">
        <v>1687</v>
      </c>
      <c r="M408" s="71" t="s">
        <v>1688</v>
      </c>
      <c r="N408" s="71">
        <v>3381345907</v>
      </c>
      <c r="Q408" s="71">
        <v>0</v>
      </c>
      <c r="R408" s="71" t="s">
        <v>1684</v>
      </c>
      <c r="S408" s="71" t="s">
        <v>588</v>
      </c>
      <c r="T408" s="71" t="s">
        <v>1685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LIMPEZA</v>
      </c>
      <c r="C409" s="72" t="str">
        <f ca="1">IF(D409="Inativo","Inativo",IFERROR(VLOOKUP($G409,Conf!$F$19:$G$39,2,0),VLOOKUP($S409,Conf!$K:$M,3,0)))</f>
        <v>ZELADOR(A)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1744</v>
      </c>
      <c r="G409" s="71" t="s">
        <v>1689</v>
      </c>
      <c r="H409" s="71">
        <v>47</v>
      </c>
      <c r="I409" s="71" t="s">
        <v>222</v>
      </c>
      <c r="J409" s="71">
        <v>1</v>
      </c>
      <c r="K409" s="71" t="s">
        <v>223</v>
      </c>
      <c r="L409" s="71" t="s">
        <v>1690</v>
      </c>
      <c r="M409" s="71" t="s">
        <v>388</v>
      </c>
      <c r="N409" s="71">
        <v>71327523248</v>
      </c>
      <c r="O409" s="71" t="s">
        <v>245</v>
      </c>
      <c r="P409" s="71" t="s">
        <v>246</v>
      </c>
      <c r="Q409" s="71">
        <v>0</v>
      </c>
      <c r="R409" s="71" t="s">
        <v>1684</v>
      </c>
      <c r="S409" s="71" t="s">
        <v>588</v>
      </c>
      <c r="T409" s="71" t="s">
        <v>1685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LIMPEZA</v>
      </c>
      <c r="C410" s="72" t="str">
        <f ca="1">IF(D410="Inativo","Inativo",IFERROR(VLOOKUP($G410,Conf!$F$19:$G$39,2,0),VLOOKUP($S410,Conf!$K:$M,3,0)))</f>
        <v>ZELADOR(A)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1157</v>
      </c>
      <c r="G410" s="71" t="s">
        <v>1691</v>
      </c>
      <c r="H410" s="71">
        <v>350</v>
      </c>
      <c r="I410" s="71" t="s">
        <v>400</v>
      </c>
      <c r="J410" s="71">
        <v>1</v>
      </c>
      <c r="K410" s="71" t="s">
        <v>223</v>
      </c>
      <c r="L410" s="71" t="s">
        <v>1692</v>
      </c>
      <c r="M410" s="71" t="s">
        <v>1693</v>
      </c>
      <c r="N410" s="71">
        <v>2581117982</v>
      </c>
      <c r="Q410" s="71">
        <v>0</v>
      </c>
      <c r="R410" s="71" t="s">
        <v>1684</v>
      </c>
      <c r="S410" s="71" t="s">
        <v>588</v>
      </c>
      <c r="T410" s="71" t="s">
        <v>1685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IF(D411="Inativo","Inativo",IFERROR(VLOOKUP($G411,Conf!$F$19:$G$39,2,0),VLOOKUP($S411,Conf!$K:$M,3,0)))</f>
        <v>APRENDIZ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1711</v>
      </c>
      <c r="G411" s="71" t="s">
        <v>1694</v>
      </c>
      <c r="H411" s="71">
        <v>977</v>
      </c>
      <c r="I411" s="71" t="s">
        <v>1449</v>
      </c>
      <c r="J411" s="71">
        <v>1</v>
      </c>
      <c r="K411" s="71" t="s">
        <v>223</v>
      </c>
      <c r="L411" s="71" t="s">
        <v>1695</v>
      </c>
      <c r="M411" s="71" t="s">
        <v>604</v>
      </c>
      <c r="N411" s="71">
        <v>16031912910</v>
      </c>
      <c r="O411" s="71" t="s">
        <v>245</v>
      </c>
      <c r="P411" s="71" t="s">
        <v>246</v>
      </c>
      <c r="Q411" s="71">
        <v>0</v>
      </c>
      <c r="R411" s="71" t="s">
        <v>1696</v>
      </c>
      <c r="S411" s="71" t="s">
        <v>606</v>
      </c>
      <c r="T411" s="71" t="s">
        <v>1697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LOJA</v>
      </c>
      <c r="C412" s="72" t="str">
        <f ca="1">IF(D412="Inativo","Inativo",IFERROR(VLOOKUP($G412,Conf!$F$19:$G$39,2,0),VLOOKUP($S412,Conf!$K:$M,3,0)))</f>
        <v>APRENDIZ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1707</v>
      </c>
      <c r="G412" s="71" t="s">
        <v>1698</v>
      </c>
      <c r="H412" s="71">
        <v>977</v>
      </c>
      <c r="I412" s="71" t="s">
        <v>1449</v>
      </c>
      <c r="J412" s="71">
        <v>1</v>
      </c>
      <c r="K412" s="71" t="s">
        <v>223</v>
      </c>
      <c r="L412" s="71" t="s">
        <v>1700</v>
      </c>
      <c r="M412" s="71" t="s">
        <v>604</v>
      </c>
      <c r="N412" s="71">
        <v>12252887974</v>
      </c>
      <c r="O412" s="71" t="s">
        <v>245</v>
      </c>
      <c r="P412" s="71" t="s">
        <v>246</v>
      </c>
      <c r="Q412" s="71">
        <v>0</v>
      </c>
      <c r="R412" s="71" t="s">
        <v>1696</v>
      </c>
      <c r="S412" s="71" t="s">
        <v>606</v>
      </c>
      <c r="T412" s="71" t="s">
        <v>1697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LOJA</v>
      </c>
      <c r="C413" s="72" t="str">
        <f ca="1">IF(D413="Inativo","Inativo",IFERROR(VLOOKUP($G413,Conf!$F$19:$G$39,2,0),VLOOKUP($S413,Conf!$K:$M,3,0)))</f>
        <v>APRENDIZ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1709</v>
      </c>
      <c r="G413" s="71" t="s">
        <v>1701</v>
      </c>
      <c r="H413" s="71">
        <v>977</v>
      </c>
      <c r="I413" s="71" t="s">
        <v>1449</v>
      </c>
      <c r="J413" s="71">
        <v>1</v>
      </c>
      <c r="K413" s="71" t="s">
        <v>223</v>
      </c>
      <c r="L413" s="71" t="s">
        <v>1702</v>
      </c>
      <c r="M413" s="71" t="s">
        <v>604</v>
      </c>
      <c r="N413" s="71">
        <v>13595593960</v>
      </c>
      <c r="O413" s="71" t="s">
        <v>245</v>
      </c>
      <c r="P413" s="71" t="s">
        <v>246</v>
      </c>
      <c r="Q413" s="71">
        <v>0</v>
      </c>
      <c r="R413" s="71" t="s">
        <v>1696</v>
      </c>
      <c r="S413" s="71" t="s">
        <v>606</v>
      </c>
      <c r="T413" s="71" t="s">
        <v>1697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LOJA</v>
      </c>
      <c r="C414" s="72" t="str">
        <f ca="1">IF(D414="Inativo","Inativo",IFERROR(VLOOKUP($G414,Conf!$F$19:$G$39,2,0),VLOOKUP($S414,Conf!$K:$M,3,0)))</f>
        <v>APRENDIZ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1714</v>
      </c>
      <c r="G414" s="71" t="s">
        <v>1703</v>
      </c>
      <c r="H414" s="71">
        <v>977</v>
      </c>
      <c r="I414" s="71" t="s">
        <v>1449</v>
      </c>
      <c r="J414" s="71">
        <v>1</v>
      </c>
      <c r="K414" s="71" t="s">
        <v>223</v>
      </c>
      <c r="L414" s="71" t="s">
        <v>1704</v>
      </c>
      <c r="M414" s="71" t="s">
        <v>604</v>
      </c>
      <c r="N414" s="71">
        <v>14121722922</v>
      </c>
      <c r="O414" s="71" t="s">
        <v>245</v>
      </c>
      <c r="P414" s="71" t="s">
        <v>246</v>
      </c>
      <c r="Q414" s="71">
        <v>0</v>
      </c>
      <c r="R414" s="71" t="s">
        <v>1696</v>
      </c>
      <c r="S414" s="71" t="s">
        <v>606</v>
      </c>
      <c r="T414" s="71" t="s">
        <v>1697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LOJA</v>
      </c>
      <c r="C415" s="72" t="str">
        <f ca="1">IF(D415="Inativo","Inativo",IFERROR(VLOOKUP($G415,Conf!$F$19:$G$39,2,0),VLOOKUP($S415,Conf!$K:$M,3,0)))</f>
        <v>CARTAZISTA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1451</v>
      </c>
      <c r="G415" s="71" t="s">
        <v>1705</v>
      </c>
      <c r="H415" s="71">
        <v>527</v>
      </c>
      <c r="I415" s="71" t="s">
        <v>222</v>
      </c>
      <c r="J415" s="71">
        <v>1</v>
      </c>
      <c r="K415" s="71" t="s">
        <v>223</v>
      </c>
      <c r="L415" s="71" t="s">
        <v>1706</v>
      </c>
      <c r="M415" s="71" t="s">
        <v>1707</v>
      </c>
      <c r="N415" s="71">
        <v>71394689403</v>
      </c>
      <c r="Q415" s="71">
        <v>0</v>
      </c>
      <c r="R415" s="71" t="s">
        <v>1708</v>
      </c>
      <c r="S415" s="71" t="s">
        <v>630</v>
      </c>
      <c r="T415" s="71" t="s">
        <v>1709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LOJA</v>
      </c>
      <c r="C416" s="72" t="str">
        <f ca="1">IF(D416="Inativo","Inativo",IFERROR(VLOOKUP($G416,Conf!$F$19:$G$39,2,0),VLOOKUP($S416,Conf!$K:$M,3,0)))</f>
        <v>ENCARREGADO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813</v>
      </c>
      <c r="G416" s="71" t="s">
        <v>1710</v>
      </c>
      <c r="H416" s="71">
        <v>488</v>
      </c>
      <c r="I416" s="71" t="s">
        <v>550</v>
      </c>
      <c r="J416" s="71">
        <v>1</v>
      </c>
      <c r="K416" s="71" t="s">
        <v>223</v>
      </c>
      <c r="L416" s="71" t="s">
        <v>1711</v>
      </c>
      <c r="M416" s="71" t="s">
        <v>1712</v>
      </c>
      <c r="N416" s="71">
        <v>10361647999</v>
      </c>
      <c r="Q416" s="71">
        <v>0</v>
      </c>
      <c r="R416" s="71" t="s">
        <v>1713</v>
      </c>
      <c r="S416" s="71" t="s">
        <v>636</v>
      </c>
      <c r="T416" s="71" t="s">
        <v>1714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LOJA</v>
      </c>
      <c r="C417" s="72" t="str">
        <f ca="1">IF(D417="Inativo","Inativo",IFERROR(VLOOKUP($G417,Conf!$F$19:$G$39,2,0),VLOOKUP($S417,Conf!$K:$M,3,0)))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1572</v>
      </c>
      <c r="G417" s="71" t="s">
        <v>1719</v>
      </c>
      <c r="H417" s="71">
        <v>521</v>
      </c>
      <c r="I417" s="71" t="s">
        <v>222</v>
      </c>
      <c r="J417" s="71">
        <v>1</v>
      </c>
      <c r="K417" s="71" t="s">
        <v>223</v>
      </c>
      <c r="L417" s="71" t="s">
        <v>1720</v>
      </c>
      <c r="M417" s="71" t="s">
        <v>1721</v>
      </c>
      <c r="N417" s="71">
        <v>11808552997</v>
      </c>
      <c r="Q417" s="71">
        <v>0</v>
      </c>
      <c r="R417" s="71" t="s">
        <v>1722</v>
      </c>
      <c r="S417" s="71" t="s">
        <v>1301</v>
      </c>
      <c r="T417" s="71" t="s">
        <v>1723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LOJA</v>
      </c>
      <c r="C418" s="72" t="str">
        <f ca="1">IF(D418="Inativo","Inativo",IFERROR(VLOOKUP($G418,Conf!$F$19:$G$39,2,0),VLOOKUP($S418,Conf!$K:$M,3,0)))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1675</v>
      </c>
      <c r="G418" s="71" t="s">
        <v>1724</v>
      </c>
      <c r="H418" s="71">
        <v>523</v>
      </c>
      <c r="I418" s="71" t="s">
        <v>222</v>
      </c>
      <c r="J418" s="71">
        <v>1</v>
      </c>
      <c r="K418" s="71" t="s">
        <v>223</v>
      </c>
      <c r="L418" s="71" t="s">
        <v>1725</v>
      </c>
      <c r="M418" s="71" t="s">
        <v>1726</v>
      </c>
      <c r="N418" s="71">
        <v>13676392981</v>
      </c>
      <c r="Q418" s="71">
        <v>0</v>
      </c>
      <c r="R418" s="71" t="s">
        <v>1722</v>
      </c>
      <c r="S418" s="71" t="s">
        <v>1301</v>
      </c>
      <c r="T418" s="71" t="s">
        <v>1723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LOJA</v>
      </c>
      <c r="C419" s="72" t="str">
        <f ca="1">IF(D419="Inativo","Inativo",IFERROR(VLOOKUP($G419,Conf!$F$19:$G$39,2,0),VLOOKUP($S419,Conf!$K:$M,3,0)))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1473</v>
      </c>
      <c r="G419" s="71" t="s">
        <v>1727</v>
      </c>
      <c r="H419" s="71">
        <v>520</v>
      </c>
      <c r="I419" s="71" t="s">
        <v>222</v>
      </c>
      <c r="J419" s="71">
        <v>1</v>
      </c>
      <c r="K419" s="71" t="s">
        <v>223</v>
      </c>
      <c r="L419" s="71" t="s">
        <v>1728</v>
      </c>
      <c r="M419" s="71" t="s">
        <v>1729</v>
      </c>
      <c r="N419" s="71">
        <v>59113421972</v>
      </c>
      <c r="Q419" s="71">
        <v>0</v>
      </c>
      <c r="R419" s="71" t="s">
        <v>1722</v>
      </c>
      <c r="S419" s="71" t="s">
        <v>1301</v>
      </c>
      <c r="T419" s="71" t="s">
        <v>1723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LOJA</v>
      </c>
      <c r="C420" s="72" t="str">
        <f ca="1">IF(D420="Inativo","Inativo",IFERROR(VLOOKUP($G420,Conf!$F$19:$G$39,2,0),VLOOKUP($S420,Conf!$K:$M,3,0)))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1409</v>
      </c>
      <c r="G420" s="71" t="s">
        <v>1730</v>
      </c>
      <c r="H420" s="71">
        <v>18</v>
      </c>
      <c r="I420" s="71" t="s">
        <v>1731</v>
      </c>
      <c r="J420" s="71">
        <v>1</v>
      </c>
      <c r="K420" s="71" t="s">
        <v>223</v>
      </c>
      <c r="L420" s="71" t="s">
        <v>1732</v>
      </c>
      <c r="M420" s="71" t="s">
        <v>1733</v>
      </c>
      <c r="N420" s="71">
        <v>6730982900</v>
      </c>
      <c r="Q420" s="71">
        <v>0</v>
      </c>
      <c r="R420" s="71" t="s">
        <v>1722</v>
      </c>
      <c r="S420" s="71" t="s">
        <v>1301</v>
      </c>
      <c r="T420" s="71" t="s">
        <v>1723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LOJA</v>
      </c>
      <c r="C421" s="72" t="str">
        <f ca="1">IF(D421="Inativo","Inativo",IFERROR(VLOOKUP($G421,Conf!$F$19:$G$39,2,0),VLOOKUP($S421,Conf!$K:$M,3,0)))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1461</v>
      </c>
      <c r="G421" s="71" t="s">
        <v>1734</v>
      </c>
      <c r="H421" s="71">
        <v>524</v>
      </c>
      <c r="I421" s="71" t="s">
        <v>222</v>
      </c>
      <c r="J421" s="71">
        <v>1</v>
      </c>
      <c r="K421" s="71" t="s">
        <v>223</v>
      </c>
      <c r="L421" s="71" t="s">
        <v>1735</v>
      </c>
      <c r="M421" s="71" t="s">
        <v>1736</v>
      </c>
      <c r="N421" s="71">
        <v>13676403932</v>
      </c>
      <c r="Q421" s="71">
        <v>0</v>
      </c>
      <c r="R421" s="71" t="s">
        <v>1722</v>
      </c>
      <c r="S421" s="71" t="s">
        <v>1301</v>
      </c>
      <c r="T421" s="71" t="s">
        <v>1723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LOJA</v>
      </c>
      <c r="C422" s="72" t="str">
        <f ca="1">IF(D422="Inativo","Inativo",IFERROR(VLOOKUP($G422,Conf!$F$19:$G$39,2,0),VLOOKUP($S422,Conf!$K:$M,3,0)))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71">
        <v>5</v>
      </c>
      <c r="F422" s="71">
        <v>1661</v>
      </c>
      <c r="G422" s="71" t="s">
        <v>1737</v>
      </c>
      <c r="H422" s="71">
        <v>522</v>
      </c>
      <c r="I422" s="71" t="s">
        <v>222</v>
      </c>
      <c r="J422" s="71">
        <v>1</v>
      </c>
      <c r="K422" s="71" t="s">
        <v>223</v>
      </c>
      <c r="L422" s="71" t="s">
        <v>1738</v>
      </c>
      <c r="M422" s="71" t="s">
        <v>680</v>
      </c>
      <c r="N422" s="71">
        <v>11758955201</v>
      </c>
      <c r="Q422" s="71">
        <v>0</v>
      </c>
      <c r="R422" s="71" t="s">
        <v>1722</v>
      </c>
      <c r="S422" s="71" t="s">
        <v>1301</v>
      </c>
      <c r="T422" s="71" t="s">
        <v>1723</v>
      </c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LOJA</v>
      </c>
      <c r="C423" s="72" t="str">
        <f ca="1">IF(D423="Inativo","Inativo",IFERROR(VLOOKUP($G423,Conf!$F$19:$G$39,2,0),VLOOKUP($S423,Conf!$K:$M,3,0)))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71">
        <v>5</v>
      </c>
      <c r="F423" s="71">
        <v>1664</v>
      </c>
      <c r="G423" s="71" t="s">
        <v>1739</v>
      </c>
      <c r="H423" s="71">
        <v>520</v>
      </c>
      <c r="I423" s="71" t="s">
        <v>222</v>
      </c>
      <c r="J423" s="71">
        <v>1</v>
      </c>
      <c r="K423" s="71" t="s">
        <v>223</v>
      </c>
      <c r="L423" s="71" t="s">
        <v>1740</v>
      </c>
      <c r="M423" s="71" t="s">
        <v>1528</v>
      </c>
      <c r="N423" s="71">
        <v>11700702211</v>
      </c>
      <c r="Q423" s="71">
        <v>0</v>
      </c>
      <c r="R423" s="71" t="s">
        <v>1722</v>
      </c>
      <c r="S423" s="71" t="s">
        <v>1301</v>
      </c>
      <c r="T423" s="71" t="s">
        <v>1723</v>
      </c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LOJA</v>
      </c>
      <c r="C424" s="72" t="str">
        <f ca="1">IF(D424="Inativo","Inativo",IFERROR(VLOOKUP($G424,Conf!$F$19:$G$39,2,0),VLOOKUP($S424,Conf!$K:$M,3,0)))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71">
        <v>5</v>
      </c>
      <c r="F424" s="71">
        <v>1575</v>
      </c>
      <c r="G424" s="71" t="s">
        <v>1741</v>
      </c>
      <c r="H424" s="71">
        <v>283</v>
      </c>
      <c r="I424" s="71" t="s">
        <v>230</v>
      </c>
      <c r="J424" s="71">
        <v>7</v>
      </c>
      <c r="K424" s="71" t="s">
        <v>1633</v>
      </c>
      <c r="L424" s="71" t="s">
        <v>1742</v>
      </c>
      <c r="M424" s="71" t="s">
        <v>1743</v>
      </c>
      <c r="N424" s="71">
        <v>2778166963</v>
      </c>
      <c r="Q424" s="71">
        <v>0</v>
      </c>
      <c r="R424" s="71" t="s">
        <v>1722</v>
      </c>
      <c r="S424" s="71" t="s">
        <v>1301</v>
      </c>
      <c r="T424" s="71" t="s">
        <v>1723</v>
      </c>
    </row>
    <row r="425" spans="1:20" x14ac:dyDescent="0.3">
      <c r="A425" s="72">
        <f>IFERROR(VLOOKUP($G425,Conf!$B:$C,2,0),E425)</f>
        <v>5</v>
      </c>
      <c r="B425" s="72" t="str">
        <f ca="1">IF(D425="Inativo","Inativo",VLOOKUP($S425,Conf!$K:$M,2,0))</f>
        <v>LOJA</v>
      </c>
      <c r="C425" s="72" t="str">
        <f ca="1">IF(D425="Inativo","Inativo",IFERROR(VLOOKUP($G425,Conf!$F$19:$G$39,2,0),VLOOKUP($S425,Conf!$K:$M,3,0)))</f>
        <v>REPOSITOR</v>
      </c>
      <c r="D425" s="72" t="str">
        <f ca="1">IFERROR(IF(TODAY()-K425&gt;365,"Inativo",IF(J425=2,"Férias",IF(J425=7,"Demitido","Afastamento"))),VLOOKUP(J425,Conf!$H:$I,2,0))</f>
        <v>Férias</v>
      </c>
      <c r="E425" s="71">
        <v>5</v>
      </c>
      <c r="F425" s="71">
        <v>1574</v>
      </c>
      <c r="G425" s="71" t="s">
        <v>1744</v>
      </c>
      <c r="H425" s="71">
        <v>290</v>
      </c>
      <c r="I425" s="71" t="s">
        <v>230</v>
      </c>
      <c r="J425" s="71">
        <v>2</v>
      </c>
      <c r="K425" s="71" t="s">
        <v>471</v>
      </c>
      <c r="L425" s="71" t="s">
        <v>1745</v>
      </c>
      <c r="M425" s="71" t="s">
        <v>1746</v>
      </c>
      <c r="N425" s="71">
        <v>71208705210</v>
      </c>
      <c r="Q425" s="71">
        <v>0</v>
      </c>
      <c r="R425" s="71" t="s">
        <v>1722</v>
      </c>
      <c r="S425" s="71" t="s">
        <v>1301</v>
      </c>
      <c r="T425" s="71" t="s">
        <v>1723</v>
      </c>
    </row>
    <row r="426" spans="1:20" x14ac:dyDescent="0.3">
      <c r="A426" s="72">
        <f>IFERROR(VLOOKUP($G426,Conf!$B:$C,2,0),E426)</f>
        <v>5</v>
      </c>
      <c r="B426" s="72" t="str">
        <f ca="1">IF(D426="Inativo","Inativo",VLOOKUP($S426,Conf!$K:$M,2,0))</f>
        <v>LOJA</v>
      </c>
      <c r="C426" s="72" t="str">
        <f ca="1">IF(D426="Inativo","Inativo",IFERROR(VLOOKUP($G426,Conf!$F$19:$G$39,2,0),VLOOKUP($S426,Conf!$K:$M,3,0)))</f>
        <v>REPOSITOR</v>
      </c>
      <c r="D426" s="72" t="str">
        <f ca="1">IFERROR(IF(TODAY()-K426&gt;365,"Inativo",IF(J426=2,"Férias",IF(J426=7,"Demitido","Afastamento"))),VLOOKUP(J426,Conf!$H:$I,2,0))</f>
        <v>Ativos</v>
      </c>
      <c r="E426" s="71">
        <v>5</v>
      </c>
      <c r="F426" s="71">
        <v>1516</v>
      </c>
      <c r="G426" s="71" t="s">
        <v>1747</v>
      </c>
      <c r="H426" s="71">
        <v>409</v>
      </c>
      <c r="I426" s="71" t="s">
        <v>1748</v>
      </c>
      <c r="J426" s="71">
        <v>1</v>
      </c>
      <c r="K426" s="71" t="s">
        <v>223</v>
      </c>
      <c r="L426" s="71" t="s">
        <v>1749</v>
      </c>
      <c r="M426" s="71" t="s">
        <v>1750</v>
      </c>
      <c r="N426" s="71">
        <v>228740975</v>
      </c>
      <c r="Q426" s="71">
        <v>0</v>
      </c>
      <c r="R426" s="71" t="s">
        <v>1722</v>
      </c>
      <c r="S426" s="71" t="s">
        <v>1301</v>
      </c>
      <c r="T426" s="71" t="s">
        <v>1723</v>
      </c>
    </row>
    <row r="427" spans="1:20" x14ac:dyDescent="0.3">
      <c r="A427" s="72">
        <f>IFERROR(VLOOKUP($G427,Conf!$B:$C,2,0),E427)</f>
        <v>5</v>
      </c>
      <c r="B427" s="72" t="str">
        <f ca="1">IF(D427="Inativo","Inativo",VLOOKUP($S427,Conf!$K:$M,2,0))</f>
        <v>LOJA</v>
      </c>
      <c r="C427" s="72" t="str">
        <f ca="1">IF(D427="Inativo","Inativo",IFERROR(VLOOKUP($G427,Conf!$F$19:$G$39,2,0),VLOOKUP($S427,Conf!$K:$M,3,0)))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71">
        <v>5</v>
      </c>
      <c r="F427" s="71">
        <v>1307</v>
      </c>
      <c r="G427" s="71" t="s">
        <v>1751</v>
      </c>
      <c r="H427" s="71">
        <v>643</v>
      </c>
      <c r="I427" s="71" t="s">
        <v>444</v>
      </c>
      <c r="J427" s="71">
        <v>1</v>
      </c>
      <c r="K427" s="71" t="s">
        <v>223</v>
      </c>
      <c r="L427" s="71" t="s">
        <v>1752</v>
      </c>
      <c r="M427" s="71" t="s">
        <v>1753</v>
      </c>
      <c r="N427" s="71">
        <v>71394684436</v>
      </c>
      <c r="Q427" s="71">
        <v>0</v>
      </c>
      <c r="R427" s="71" t="s">
        <v>1722</v>
      </c>
      <c r="S427" s="71" t="s">
        <v>1301</v>
      </c>
      <c r="T427" s="71" t="s">
        <v>1723</v>
      </c>
    </row>
    <row r="428" spans="1:20" x14ac:dyDescent="0.3">
      <c r="A428" s="72">
        <f>IFERROR(VLOOKUP($G428,Conf!$B:$C,2,0),E428)</f>
        <v>5</v>
      </c>
      <c r="B428" s="72" t="str">
        <f ca="1">IF(D428="Inativo","Inativo",VLOOKUP($S428,Conf!$K:$M,2,0))</f>
        <v>LOJA</v>
      </c>
      <c r="C428" s="72" t="str">
        <f ca="1">IF(D428="Inativo","Inativo",IFERROR(VLOOKUP($G428,Conf!$F$19:$G$39,2,0),VLOOKUP($S428,Conf!$K:$M,3,0)))</f>
        <v>REPOSITOR</v>
      </c>
      <c r="D428" s="72" t="str">
        <f ca="1">IFERROR(IF(TODAY()-K428&gt;365,"Inativo",IF(J428=2,"Férias",IF(J428=7,"Demitido","Afastamento"))),VLOOKUP(J428,Conf!$H:$I,2,0))</f>
        <v>Ativos</v>
      </c>
      <c r="E428" s="71">
        <v>5</v>
      </c>
      <c r="F428" s="71">
        <v>1748</v>
      </c>
      <c r="G428" s="71" t="s">
        <v>1754</v>
      </c>
      <c r="H428" s="71">
        <v>47</v>
      </c>
      <c r="I428" s="71" t="s">
        <v>222</v>
      </c>
      <c r="J428" s="71">
        <v>1</v>
      </c>
      <c r="K428" s="71" t="s">
        <v>223</v>
      </c>
      <c r="L428" s="71" t="s">
        <v>1755</v>
      </c>
      <c r="M428" s="71" t="s">
        <v>1756</v>
      </c>
      <c r="N428" s="71">
        <v>12035254949</v>
      </c>
      <c r="O428" s="71" t="s">
        <v>245</v>
      </c>
      <c r="P428" s="71" t="s">
        <v>246</v>
      </c>
      <c r="Q428" s="71">
        <v>0</v>
      </c>
      <c r="R428" s="71" t="s">
        <v>1722</v>
      </c>
      <c r="S428" s="71" t="s">
        <v>1301</v>
      </c>
      <c r="T428" s="71" t="s">
        <v>1723</v>
      </c>
    </row>
    <row r="429" spans="1:20" x14ac:dyDescent="0.3">
      <c r="A429" s="72">
        <f>IFERROR(VLOOKUP($G429,Conf!$B:$C,2,0),E429)</f>
        <v>5</v>
      </c>
      <c r="B429" s="72" t="str">
        <f ca="1">IF(D429="Inativo","Inativo",VLOOKUP($S429,Conf!$K:$M,2,0))</f>
        <v>LOJA</v>
      </c>
      <c r="C429" s="72" t="str">
        <f ca="1">IF(D429="Inativo","Inativo",IFERROR(VLOOKUP($G429,Conf!$F$19:$G$39,2,0),VLOOKUP($S429,Conf!$K:$M,3,0)))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71">
        <v>5</v>
      </c>
      <c r="F429" s="71">
        <v>1730</v>
      </c>
      <c r="G429" s="71" t="s">
        <v>1757</v>
      </c>
      <c r="H429" s="71">
        <v>47</v>
      </c>
      <c r="I429" s="71" t="s">
        <v>222</v>
      </c>
      <c r="J429" s="71">
        <v>1</v>
      </c>
      <c r="K429" s="71" t="s">
        <v>223</v>
      </c>
      <c r="L429" s="71" t="s">
        <v>1758</v>
      </c>
      <c r="M429" s="71" t="s">
        <v>1759</v>
      </c>
      <c r="N429" s="71">
        <v>5711395823</v>
      </c>
      <c r="O429" s="71" t="s">
        <v>245</v>
      </c>
      <c r="P429" s="71" t="s">
        <v>246</v>
      </c>
      <c r="Q429" s="71">
        <v>0</v>
      </c>
      <c r="R429" s="71" t="s">
        <v>1722</v>
      </c>
      <c r="S429" s="71" t="s">
        <v>1301</v>
      </c>
      <c r="T429" s="71" t="s">
        <v>1723</v>
      </c>
    </row>
    <row r="430" spans="1:20" x14ac:dyDescent="0.3">
      <c r="A430" s="72">
        <f>IFERROR(VLOOKUP($G430,Conf!$B:$C,2,0),E430)</f>
        <v>5</v>
      </c>
      <c r="B430" s="72" t="str">
        <f ca="1">IF(D430="Inativo","Inativo",VLOOKUP($S430,Conf!$K:$M,2,0))</f>
        <v>PADARIA</v>
      </c>
      <c r="C430" s="72" t="str">
        <f ca="1">IF(D430="Inativo","Inativo",IFERROR(VLOOKUP($G430,Conf!$F$19:$G$39,2,0),VLOOKUP($S430,Conf!$K:$M,3,0)))</f>
        <v>BALCONISTA</v>
      </c>
      <c r="D430" s="72" t="str">
        <f ca="1">IFERROR(IF(TODAY()-K430&gt;365,"Inativo",IF(J430=2,"Férias",IF(J430=7,"Demitido","Afastamento"))),VLOOKUP(J430,Conf!$H:$I,2,0))</f>
        <v>Demitido</v>
      </c>
      <c r="E430" s="71">
        <v>5</v>
      </c>
      <c r="F430" s="71">
        <v>1745</v>
      </c>
      <c r="G430" s="71" t="s">
        <v>1765</v>
      </c>
      <c r="H430" s="71">
        <v>1087</v>
      </c>
      <c r="I430" s="71" t="s">
        <v>222</v>
      </c>
      <c r="J430" s="71">
        <v>7</v>
      </c>
      <c r="K430" s="71" t="s">
        <v>3641</v>
      </c>
      <c r="L430" s="71" t="s">
        <v>1766</v>
      </c>
      <c r="M430" s="71" t="s">
        <v>801</v>
      </c>
      <c r="N430" s="71">
        <v>12527992927</v>
      </c>
      <c r="O430" s="71" t="s">
        <v>245</v>
      </c>
      <c r="P430" s="71" t="s">
        <v>246</v>
      </c>
      <c r="Q430" s="71">
        <v>0</v>
      </c>
      <c r="R430" s="71" t="s">
        <v>1767</v>
      </c>
      <c r="S430" s="71" t="s">
        <v>1503</v>
      </c>
      <c r="T430" s="71" t="s">
        <v>1768</v>
      </c>
    </row>
    <row r="431" spans="1:20" x14ac:dyDescent="0.3">
      <c r="A431" s="72">
        <f>IFERROR(VLOOKUP($G431,Conf!$B:$C,2,0),E431)</f>
        <v>5</v>
      </c>
      <c r="B431" s="72" t="str">
        <f ca="1">IF(D431="Inativo","Inativo",VLOOKUP($S431,Conf!$K:$M,2,0))</f>
        <v>PADARIA</v>
      </c>
      <c r="C431" s="72" t="str">
        <f ca="1">IF(D431="Inativo","Inativo",IFERROR(VLOOKUP($G431,Conf!$F$19:$G$39,2,0),VLOOKUP($S431,Conf!$K:$M,3,0)))</f>
        <v>BALCONISTA</v>
      </c>
      <c r="D431" s="72" t="str">
        <f ca="1">IFERROR(IF(TODAY()-K431&gt;365,"Inativo",IF(J431=2,"Férias",IF(J431=7,"Demitido","Afastamento"))),VLOOKUP(J431,Conf!$H:$I,2,0))</f>
        <v>Ativos</v>
      </c>
      <c r="E431" s="71">
        <v>5</v>
      </c>
      <c r="F431" s="71">
        <v>1722</v>
      </c>
      <c r="G431" s="71" t="s">
        <v>1769</v>
      </c>
      <c r="H431" s="71">
        <v>1086</v>
      </c>
      <c r="I431" s="71" t="s">
        <v>222</v>
      </c>
      <c r="J431" s="71">
        <v>1</v>
      </c>
      <c r="K431" s="71" t="s">
        <v>223</v>
      </c>
      <c r="L431" s="71" t="s">
        <v>1770</v>
      </c>
      <c r="M431" s="71" t="s">
        <v>937</v>
      </c>
      <c r="N431" s="71">
        <v>111252920</v>
      </c>
      <c r="O431" s="71" t="s">
        <v>245</v>
      </c>
      <c r="P431" s="71" t="s">
        <v>246</v>
      </c>
      <c r="Q431" s="71">
        <v>0</v>
      </c>
      <c r="R431" s="71" t="s">
        <v>1767</v>
      </c>
      <c r="S431" s="71" t="s">
        <v>1503</v>
      </c>
      <c r="T431" s="71" t="s">
        <v>1768</v>
      </c>
    </row>
    <row r="432" spans="1:20" x14ac:dyDescent="0.3">
      <c r="A432" s="72">
        <f>IFERROR(VLOOKUP($G432,Conf!$B:$C,2,0),E432)</f>
        <v>5</v>
      </c>
      <c r="B432" s="72" t="str">
        <f ca="1">IF(D432="Inativo","Inativo",VLOOKUP($S432,Conf!$K:$M,2,0))</f>
        <v>PADARIA</v>
      </c>
      <c r="C432" s="72" t="str">
        <f ca="1">IF(D432="Inativo","Inativo",IFERROR(VLOOKUP($G432,Conf!$F$19:$G$39,2,0),VLOOKUP($S432,Conf!$K:$M,3,0)))</f>
        <v>BALCONISTA</v>
      </c>
      <c r="D432" s="72" t="str">
        <f ca="1">IFERROR(IF(TODAY()-K432&gt;365,"Inativo",IF(J432=2,"Férias",IF(J432=7,"Demitido","Afastamento"))),VLOOKUP(J432,Conf!$H:$I,2,0))</f>
        <v>Afastamento</v>
      </c>
      <c r="E432" s="71">
        <v>5</v>
      </c>
      <c r="F432" s="71">
        <v>345</v>
      </c>
      <c r="G432" s="71" t="s">
        <v>1775</v>
      </c>
      <c r="H432" s="71">
        <v>500</v>
      </c>
      <c r="I432" s="71" t="s">
        <v>306</v>
      </c>
      <c r="J432" s="71">
        <v>3</v>
      </c>
      <c r="K432" s="71" t="s">
        <v>544</v>
      </c>
      <c r="L432" s="71" t="s">
        <v>1776</v>
      </c>
      <c r="M432" s="71" t="s">
        <v>1777</v>
      </c>
      <c r="N432" s="71">
        <v>4490299990</v>
      </c>
      <c r="Q432" s="71">
        <v>0</v>
      </c>
      <c r="R432" s="71" t="s">
        <v>1767</v>
      </c>
      <c r="S432" s="71" t="s">
        <v>1503</v>
      </c>
      <c r="T432" s="71" t="s">
        <v>1768</v>
      </c>
    </row>
    <row r="433" spans="1:20" x14ac:dyDescent="0.3">
      <c r="A433" s="72">
        <f>IFERROR(VLOOKUP($G433,Conf!$B:$C,2,0),E433)</f>
        <v>5</v>
      </c>
      <c r="B433" s="72" t="str">
        <f ca="1">IF(D433="Inativo","Inativo",VLOOKUP($S433,Conf!$K:$M,2,0))</f>
        <v>PADARIA</v>
      </c>
      <c r="C433" s="72" t="str">
        <f ca="1">IF(D433="Inativo","Inativo",IFERROR(VLOOKUP($G433,Conf!$F$19:$G$39,2,0),VLOOKUP($S433,Conf!$K:$M,3,0)))</f>
        <v>BALCONISTA</v>
      </c>
      <c r="D433" s="72" t="str">
        <f ca="1">IFERROR(IF(TODAY()-K433&gt;365,"Inativo",IF(J433=2,"Férias",IF(J433=7,"Demitido","Afastamento"))),VLOOKUP(J433,Conf!$H:$I,2,0))</f>
        <v>Ativos</v>
      </c>
      <c r="E433" s="71">
        <v>5</v>
      </c>
      <c r="F433" s="71">
        <v>1655</v>
      </c>
      <c r="G433" s="71" t="s">
        <v>1778</v>
      </c>
      <c r="H433" s="71">
        <v>520</v>
      </c>
      <c r="I433" s="71" t="s">
        <v>222</v>
      </c>
      <c r="J433" s="71">
        <v>1</v>
      </c>
      <c r="K433" s="71" t="s">
        <v>223</v>
      </c>
      <c r="L433" s="71" t="s">
        <v>1779</v>
      </c>
      <c r="M433" s="71" t="s">
        <v>1780</v>
      </c>
      <c r="N433" s="71">
        <v>2077203986</v>
      </c>
      <c r="Q433" s="71">
        <v>0</v>
      </c>
      <c r="R433" s="71" t="s">
        <v>1767</v>
      </c>
      <c r="S433" s="71" t="s">
        <v>1503</v>
      </c>
      <c r="T433" s="71" t="s">
        <v>1768</v>
      </c>
    </row>
    <row r="434" spans="1:20" x14ac:dyDescent="0.3">
      <c r="A434" s="72">
        <f>IFERROR(VLOOKUP($G434,Conf!$B:$C,2,0),E434)</f>
        <v>5</v>
      </c>
      <c r="B434" s="72" t="str">
        <f ca="1">IF(D434="Inativo","Inativo",VLOOKUP($S434,Conf!$K:$M,2,0))</f>
        <v>PADARIA</v>
      </c>
      <c r="C434" s="72" t="str">
        <f ca="1">IF(D434="Inativo","Inativo",IFERROR(VLOOKUP($G434,Conf!$F$19:$G$39,2,0),VLOOKUP($S434,Conf!$K:$M,3,0)))</f>
        <v>BALCONISTA</v>
      </c>
      <c r="D434" s="72" t="str">
        <f ca="1">IFERROR(IF(TODAY()-K434&gt;365,"Inativo",IF(J434=2,"Férias",IF(J434=7,"Demitido","Afastamento"))),VLOOKUP(J434,Conf!$H:$I,2,0))</f>
        <v>Férias</v>
      </c>
      <c r="E434" s="71">
        <v>5</v>
      </c>
      <c r="F434" s="71">
        <v>1109</v>
      </c>
      <c r="G434" s="71" t="s">
        <v>1781</v>
      </c>
      <c r="H434" s="71">
        <v>529</v>
      </c>
      <c r="I434" s="71" t="s">
        <v>222</v>
      </c>
      <c r="J434" s="71">
        <v>2</v>
      </c>
      <c r="K434" s="71" t="s">
        <v>471</v>
      </c>
      <c r="L434" s="71" t="s">
        <v>1782</v>
      </c>
      <c r="M434" s="71" t="s">
        <v>1783</v>
      </c>
      <c r="N434" s="71">
        <v>70504164953</v>
      </c>
      <c r="Q434" s="71">
        <v>0</v>
      </c>
      <c r="R434" s="71" t="s">
        <v>1767</v>
      </c>
      <c r="S434" s="71" t="s">
        <v>1503</v>
      </c>
      <c r="T434" s="71" t="s">
        <v>1768</v>
      </c>
    </row>
    <row r="435" spans="1:20" x14ac:dyDescent="0.3">
      <c r="A435" s="72">
        <f>IFERROR(VLOOKUP($G435,Conf!$B:$C,2,0),E435)</f>
        <v>5</v>
      </c>
      <c r="B435" s="72" t="str">
        <f ca="1">IF(D435="Inativo","Inativo",VLOOKUP($S435,Conf!$K:$M,2,0))</f>
        <v>PADARIA</v>
      </c>
      <c r="C435" s="72" t="str">
        <f ca="1">IF(D435="Inativo","Inativo",IFERROR(VLOOKUP($G435,Conf!$F$19:$G$39,2,0),VLOOKUP($S435,Conf!$K:$M,3,0)))</f>
        <v>AUXILIAR</v>
      </c>
      <c r="D435" s="72" t="str">
        <f ca="1">IFERROR(IF(TODAY()-K435&gt;365,"Inativo",IF(J435=2,"Férias",IF(J435=7,"Demitido","Afastamento"))),VLOOKUP(J435,Conf!$H:$I,2,0))</f>
        <v>Ativos</v>
      </c>
      <c r="E435" s="71">
        <v>5</v>
      </c>
      <c r="F435" s="71">
        <v>1557</v>
      </c>
      <c r="G435" s="71" t="s">
        <v>1784</v>
      </c>
      <c r="H435" s="71">
        <v>47</v>
      </c>
      <c r="I435" s="71" t="s">
        <v>222</v>
      </c>
      <c r="J435" s="71">
        <v>1</v>
      </c>
      <c r="K435" s="71" t="s">
        <v>223</v>
      </c>
      <c r="L435" s="71" t="s">
        <v>1785</v>
      </c>
      <c r="M435" s="71" t="s">
        <v>1786</v>
      </c>
      <c r="N435" s="71">
        <v>71294003232</v>
      </c>
      <c r="Q435" s="71">
        <v>0</v>
      </c>
      <c r="R435" s="71" t="s">
        <v>1787</v>
      </c>
      <c r="S435" s="71" t="s">
        <v>1041</v>
      </c>
      <c r="T435" s="71" t="s">
        <v>1788</v>
      </c>
    </row>
    <row r="436" spans="1:20" x14ac:dyDescent="0.3">
      <c r="A436" s="72">
        <f>IFERROR(VLOOKUP($G436,Conf!$B:$C,2,0),E436)</f>
        <v>5</v>
      </c>
      <c r="B436" s="72" t="str">
        <f ca="1">IF(D436="Inativo","Inativo",VLOOKUP($S436,Conf!$K:$M,2,0))</f>
        <v>PADARIA</v>
      </c>
      <c r="C436" s="72" t="str">
        <f ca="1">IF(D436="Inativo","Inativo",IFERROR(VLOOKUP($G436,Conf!$F$19:$G$39,2,0),VLOOKUP($S436,Conf!$K:$M,3,0)))</f>
        <v>BALCONISTA</v>
      </c>
      <c r="D436" s="72" t="str">
        <f ca="1">IFERROR(IF(TODAY()-K436&gt;365,"Inativo",IF(J436=2,"Férias",IF(J436=7,"Demitido","Afastamento"))),VLOOKUP(J436,Conf!$H:$I,2,0))</f>
        <v>Ativos</v>
      </c>
      <c r="E436" s="71">
        <v>5</v>
      </c>
      <c r="F436" s="71">
        <v>906</v>
      </c>
      <c r="G436" s="71" t="s">
        <v>1789</v>
      </c>
      <c r="H436" s="71">
        <v>534</v>
      </c>
      <c r="I436" s="71" t="s">
        <v>287</v>
      </c>
      <c r="J436" s="71">
        <v>1</v>
      </c>
      <c r="K436" s="71" t="s">
        <v>223</v>
      </c>
      <c r="L436" s="71" t="s">
        <v>1790</v>
      </c>
      <c r="M436" s="71" t="s">
        <v>1791</v>
      </c>
      <c r="N436" s="71">
        <v>7139919925</v>
      </c>
      <c r="Q436" s="71">
        <v>0</v>
      </c>
      <c r="R436" s="71" t="s">
        <v>1767</v>
      </c>
      <c r="S436" s="71" t="s">
        <v>1503</v>
      </c>
      <c r="T436" s="71" t="s">
        <v>1768</v>
      </c>
    </row>
    <row r="437" spans="1:20" x14ac:dyDescent="0.3">
      <c r="A437" s="72">
        <f>IFERROR(VLOOKUP($G437,Conf!$B:$C,2,0),E437)</f>
        <v>5</v>
      </c>
      <c r="B437" s="72" t="str">
        <f ca="1">IF(D437="Inativo","Inativo",VLOOKUP($S437,Conf!$K:$M,2,0))</f>
        <v>PADARIA</v>
      </c>
      <c r="C437" s="72" t="str">
        <f ca="1">IF(D437="Inativo","Inativo",IFERROR(VLOOKUP($G437,Conf!$F$19:$G$39,2,0),VLOOKUP($S437,Conf!$K:$M,3,0)))</f>
        <v>GERENTE</v>
      </c>
      <c r="D437" s="72" t="str">
        <f ca="1">IFERROR(IF(TODAY()-K437&gt;365,"Inativo",IF(J437=2,"Férias",IF(J437=7,"Demitido","Afastamento"))),VLOOKUP(J437,Conf!$H:$I,2,0))</f>
        <v>Demitido</v>
      </c>
      <c r="E437" s="71">
        <v>5</v>
      </c>
      <c r="F437" s="71">
        <v>1423</v>
      </c>
      <c r="G437" s="71" t="s">
        <v>1792</v>
      </c>
      <c r="H437" s="71">
        <v>44</v>
      </c>
      <c r="I437" s="71" t="s">
        <v>550</v>
      </c>
      <c r="J437" s="71">
        <v>7</v>
      </c>
      <c r="K437" s="71" t="s">
        <v>3633</v>
      </c>
      <c r="L437" s="71" t="s">
        <v>1793</v>
      </c>
      <c r="M437" s="71" t="s">
        <v>1794</v>
      </c>
      <c r="N437" s="71">
        <v>9722169955</v>
      </c>
      <c r="Q437" s="71">
        <v>0</v>
      </c>
      <c r="R437" s="71" t="s">
        <v>1795</v>
      </c>
      <c r="S437" s="71" t="s">
        <v>1796</v>
      </c>
      <c r="T437" s="71" t="s">
        <v>1134</v>
      </c>
    </row>
    <row r="438" spans="1:20" x14ac:dyDescent="0.3">
      <c r="A438" s="72">
        <f>IFERROR(VLOOKUP($G438,Conf!$B:$C,2,0),E438)</f>
        <v>5</v>
      </c>
      <c r="B438" s="72" t="str">
        <f ca="1">IF(D438="Inativo","Inativo",VLOOKUP($S438,Conf!$K:$M,2,0))</f>
        <v>PADARIA</v>
      </c>
      <c r="C438" s="72" t="str">
        <f ca="1">IF(D438="Inativo","Inativo",IFERROR(VLOOKUP($G438,Conf!$F$19:$G$39,2,0),VLOOKUP($S438,Conf!$K:$M,3,0)))</f>
        <v>PADEIRO(A)</v>
      </c>
      <c r="D438" s="72" t="str">
        <f ca="1">IFERROR(IF(TODAY()-K438&gt;365,"Inativo",IF(J438=2,"Férias",IF(J438=7,"Demitido","Afastamento"))),VLOOKUP(J438,Conf!$H:$I,2,0))</f>
        <v>Ativos</v>
      </c>
      <c r="E438" s="71">
        <v>5</v>
      </c>
      <c r="F438" s="71">
        <v>1203</v>
      </c>
      <c r="G438" s="71" t="s">
        <v>1797</v>
      </c>
      <c r="H438" s="71">
        <v>11</v>
      </c>
      <c r="I438" s="71" t="s">
        <v>400</v>
      </c>
      <c r="J438" s="71">
        <v>1</v>
      </c>
      <c r="K438" s="71" t="s">
        <v>223</v>
      </c>
      <c r="L438" s="71" t="s">
        <v>1798</v>
      </c>
      <c r="M438" s="71" t="s">
        <v>1799</v>
      </c>
      <c r="N438" s="71">
        <v>80168372983</v>
      </c>
      <c r="Q438" s="71">
        <v>0</v>
      </c>
      <c r="R438" s="71" t="s">
        <v>1800</v>
      </c>
      <c r="S438" s="71" t="s">
        <v>752</v>
      </c>
      <c r="T438" s="71" t="s">
        <v>1801</v>
      </c>
    </row>
    <row r="439" spans="1:20" x14ac:dyDescent="0.3">
      <c r="A439" s="72">
        <f>IFERROR(VLOOKUP($G439,Conf!$B:$C,2,0),E439)</f>
        <v>5</v>
      </c>
      <c r="B439" s="72" t="str">
        <f ca="1">IF(D439="Inativo","Inativo",VLOOKUP($S439,Conf!$K:$M,2,0))</f>
        <v>PADARIA</v>
      </c>
      <c r="C439" s="72" t="str">
        <f ca="1">IF(D439="Inativo","Inativo",IFERROR(VLOOKUP($G439,Conf!$F$19:$G$39,2,0),VLOOKUP($S439,Conf!$K:$M,3,0)))</f>
        <v>PADEIRO(A)</v>
      </c>
      <c r="D439" s="72" t="str">
        <f ca="1">IFERROR(IF(TODAY()-K439&gt;365,"Inativo",IF(J439=2,"Férias",IF(J439=7,"Demitido","Afastamento"))),VLOOKUP(J439,Conf!$H:$I,2,0))</f>
        <v>Ativos</v>
      </c>
      <c r="E439" s="71">
        <v>5</v>
      </c>
      <c r="F439" s="71">
        <v>1699</v>
      </c>
      <c r="G439" s="71" t="s">
        <v>1802</v>
      </c>
      <c r="H439" s="71">
        <v>536</v>
      </c>
      <c r="I439" s="71" t="s">
        <v>287</v>
      </c>
      <c r="J439" s="71">
        <v>1</v>
      </c>
      <c r="K439" s="71" t="s">
        <v>223</v>
      </c>
      <c r="L439" s="71" t="s">
        <v>1803</v>
      </c>
      <c r="M439" s="71" t="s">
        <v>1804</v>
      </c>
      <c r="N439" s="71">
        <v>72719206920</v>
      </c>
      <c r="O439" s="71" t="s">
        <v>245</v>
      </c>
      <c r="P439" s="71" t="s">
        <v>246</v>
      </c>
      <c r="Q439" s="71">
        <v>0</v>
      </c>
      <c r="R439" s="71" t="s">
        <v>1800</v>
      </c>
      <c r="S439" s="71" t="s">
        <v>752</v>
      </c>
      <c r="T439" s="71" t="s">
        <v>1801</v>
      </c>
    </row>
    <row r="440" spans="1:20" x14ac:dyDescent="0.3">
      <c r="A440" s="72">
        <f>IFERROR(VLOOKUP($G440,Conf!$B:$C,2,0),E440)</f>
        <v>5</v>
      </c>
      <c r="B440" s="72" t="str">
        <f ca="1">IF(D440="Inativo","Inativo",VLOOKUP($S440,Conf!$K:$M,2,0))</f>
        <v>PADARIA</v>
      </c>
      <c r="C440" s="72" t="str">
        <f ca="1">IF(D440="Inativo","Inativo",IFERROR(VLOOKUP($G440,Conf!$F$19:$G$39,2,0),VLOOKUP($S440,Conf!$K:$M,3,0)))</f>
        <v>PADEIRO(A)</v>
      </c>
      <c r="D440" s="72" t="str">
        <f ca="1">IFERROR(IF(TODAY()-K440&gt;365,"Inativo",IF(J440=2,"Férias",IF(J440=7,"Demitido","Afastamento"))),VLOOKUP(J440,Conf!$H:$I,2,0))</f>
        <v>Ativos</v>
      </c>
      <c r="E440" s="71">
        <v>5</v>
      </c>
      <c r="F440" s="71">
        <v>847</v>
      </c>
      <c r="G440" s="71" t="s">
        <v>1805</v>
      </c>
      <c r="H440" s="71">
        <v>1104</v>
      </c>
      <c r="I440" s="71" t="s">
        <v>740</v>
      </c>
      <c r="J440" s="71">
        <v>1</v>
      </c>
      <c r="K440" s="71" t="s">
        <v>223</v>
      </c>
      <c r="L440" s="71" t="s">
        <v>1806</v>
      </c>
      <c r="M440" s="71" t="s">
        <v>1807</v>
      </c>
      <c r="N440" s="71">
        <v>81615655972</v>
      </c>
      <c r="Q440" s="71">
        <v>0</v>
      </c>
      <c r="R440" s="71" t="s">
        <v>1800</v>
      </c>
      <c r="S440" s="71" t="s">
        <v>752</v>
      </c>
      <c r="T440" s="71" t="s">
        <v>1801</v>
      </c>
    </row>
    <row r="441" spans="1:20" x14ac:dyDescent="0.3">
      <c r="A441" s="72">
        <f>IFERROR(VLOOKUP($G441,Conf!$B:$C,2,0),E441)</f>
        <v>5</v>
      </c>
      <c r="B441" s="72" t="str">
        <f ca="1">IF(D441="Inativo","Inativo",VLOOKUP($S441,Conf!$K:$M,2,0))</f>
        <v>PADARIA</v>
      </c>
      <c r="C441" s="72" t="str">
        <f ca="1">IF(D441="Inativo","Inativo",IFERROR(VLOOKUP($G441,Conf!$F$19:$G$39,2,0),VLOOKUP($S441,Conf!$K:$M,3,0)))</f>
        <v>SALGADEIRO(A)</v>
      </c>
      <c r="D441" s="72" t="str">
        <f ca="1">IFERROR(IF(TODAY()-K441&gt;365,"Inativo",IF(J441=2,"Férias",IF(J441=7,"Demitido","Afastamento"))),VLOOKUP(J441,Conf!$H:$I,2,0))</f>
        <v>Ativos</v>
      </c>
      <c r="E441" s="71">
        <v>5</v>
      </c>
      <c r="F441" s="71">
        <v>815</v>
      </c>
      <c r="G441" s="71" t="s">
        <v>1808</v>
      </c>
      <c r="H441" s="71">
        <v>11</v>
      </c>
      <c r="I441" s="71" t="s">
        <v>400</v>
      </c>
      <c r="J441" s="71">
        <v>1</v>
      </c>
      <c r="K441" s="71" t="s">
        <v>223</v>
      </c>
      <c r="L441" s="71" t="s">
        <v>1809</v>
      </c>
      <c r="M441" s="71" t="s">
        <v>1810</v>
      </c>
      <c r="N441" s="71">
        <v>5444018918</v>
      </c>
      <c r="Q441" s="71">
        <v>0</v>
      </c>
      <c r="R441" s="71" t="s">
        <v>1811</v>
      </c>
      <c r="S441" s="71" t="s">
        <v>1071</v>
      </c>
      <c r="T441" s="71" t="s">
        <v>1812</v>
      </c>
    </row>
    <row r="442" spans="1:20" x14ac:dyDescent="0.3">
      <c r="A442" s="72">
        <f>IFERROR(VLOOKUP($G442,Conf!$B:$C,2,0),E442)</f>
        <v>5</v>
      </c>
      <c r="B442" s="72" t="str">
        <f ca="1">IF(D442="Inativo","Inativo",VLOOKUP($S442,Conf!$K:$M,2,0))</f>
        <v>PORTARIA</v>
      </c>
      <c r="C442" s="72" t="str">
        <f ca="1">IF(D442="Inativo","Inativo",IFERROR(VLOOKUP($G442,Conf!$F$19:$G$39,2,0),VLOOKUP($S442,Conf!$K:$M,3,0)))</f>
        <v>PORTEIRO</v>
      </c>
      <c r="D442" s="72" t="str">
        <f ca="1">IFERROR(IF(TODAY()-K442&gt;365,"Inativo",IF(J442=2,"Férias",IF(J442=7,"Demitido","Afastamento"))),VLOOKUP(J442,Conf!$H:$I,2,0))</f>
        <v>Demitido</v>
      </c>
      <c r="E442" s="71">
        <v>5</v>
      </c>
      <c r="F442" s="71">
        <v>1743</v>
      </c>
      <c r="G442" s="71" t="s">
        <v>1813</v>
      </c>
      <c r="H442" s="71">
        <v>1</v>
      </c>
      <c r="I442" s="71" t="s">
        <v>1155</v>
      </c>
      <c r="J442" s="71">
        <v>7</v>
      </c>
      <c r="K442" s="71" t="s">
        <v>244</v>
      </c>
      <c r="L442" s="71" t="s">
        <v>1814</v>
      </c>
      <c r="M442" s="71" t="s">
        <v>797</v>
      </c>
      <c r="N442" s="71">
        <v>52746798972</v>
      </c>
      <c r="O442" s="71" t="s">
        <v>245</v>
      </c>
      <c r="P442" s="71" t="s">
        <v>246</v>
      </c>
      <c r="Q442" s="71">
        <v>0</v>
      </c>
      <c r="R442" s="71" t="s">
        <v>1815</v>
      </c>
      <c r="S442" s="71" t="s">
        <v>1816</v>
      </c>
      <c r="T442" s="71" t="s">
        <v>1817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AÇOUGUE</v>
      </c>
      <c r="C443" s="72" t="str">
        <f ca="1">IF(D443="Inativo","Inativo",IFERROR(VLOOKUP($G443,Conf!$F$19:$G$39,2,0),VLOOKUP($S443,Conf!$K:$M,3,0)))</f>
        <v>AÇOUGUEIRO</v>
      </c>
      <c r="D443" s="72" t="str">
        <f ca="1">IFERROR(IF(TODAY()-K443&gt;365,"Inativo",IF(J443=2,"Férias",IF(J443=7,"Demitido","Afastamento"))),VLOOKUP(J443,Conf!$H:$I,2,0))</f>
        <v>Demitido</v>
      </c>
      <c r="E443" s="71">
        <v>6</v>
      </c>
      <c r="F443" s="71">
        <v>2378</v>
      </c>
      <c r="G443" s="71" t="s">
        <v>1818</v>
      </c>
      <c r="H443" s="71">
        <v>521</v>
      </c>
      <c r="I443" s="71" t="s">
        <v>222</v>
      </c>
      <c r="J443" s="71">
        <v>7</v>
      </c>
      <c r="K443" s="71" t="s">
        <v>3642</v>
      </c>
      <c r="L443" s="71" t="s">
        <v>1819</v>
      </c>
      <c r="M443" s="71" t="s">
        <v>1820</v>
      </c>
      <c r="N443" s="71">
        <v>8675281927</v>
      </c>
      <c r="O443" s="71" t="s">
        <v>245</v>
      </c>
      <c r="P443" s="71" t="s">
        <v>246</v>
      </c>
      <c r="Q443" s="71">
        <v>0</v>
      </c>
      <c r="R443" s="71" t="s">
        <v>1821</v>
      </c>
      <c r="S443" s="71" t="s">
        <v>235</v>
      </c>
      <c r="T443" s="71" t="s">
        <v>1517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AÇOUGUE</v>
      </c>
      <c r="C444" s="72" t="str">
        <f ca="1">IF(D444="Inativo","Inativo",IFERROR(VLOOKUP($G444,Conf!$F$19:$G$39,2,0),VLOOKUP($S444,Conf!$K:$M,3,0)))</f>
        <v>AÇOUGUEIRO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1958</v>
      </c>
      <c r="G444" s="71" t="s">
        <v>1822</v>
      </c>
      <c r="H444" s="71">
        <v>505</v>
      </c>
      <c r="I444" s="71" t="s">
        <v>306</v>
      </c>
      <c r="J444" s="71">
        <v>1</v>
      </c>
      <c r="K444" s="71" t="s">
        <v>223</v>
      </c>
      <c r="L444" s="71" t="s">
        <v>1823</v>
      </c>
      <c r="M444" s="71" t="s">
        <v>1824</v>
      </c>
      <c r="N444" s="71">
        <v>1895154901</v>
      </c>
      <c r="Q444" s="71">
        <v>0</v>
      </c>
      <c r="R444" s="71" t="s">
        <v>1821</v>
      </c>
      <c r="S444" s="71" t="s">
        <v>235</v>
      </c>
      <c r="T444" s="71" t="s">
        <v>1517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AÇOUGUE</v>
      </c>
      <c r="C445" s="72" t="str">
        <f ca="1">IF(D445="Inativo","Inativo",IFERROR(VLOOKUP($G445,Conf!$F$19:$G$39,2,0),VLOOKUP($S445,Conf!$K:$M,3,0)))</f>
        <v>AÇOUGUEIRO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2331</v>
      </c>
      <c r="G445" s="71" t="s">
        <v>1825</v>
      </c>
      <c r="H445" s="71">
        <v>523</v>
      </c>
      <c r="I445" s="71" t="s">
        <v>222</v>
      </c>
      <c r="J445" s="71">
        <v>1</v>
      </c>
      <c r="K445" s="71" t="s">
        <v>223</v>
      </c>
      <c r="L445" s="71" t="s">
        <v>1826</v>
      </c>
      <c r="M445" s="71" t="s">
        <v>1827</v>
      </c>
      <c r="N445" s="71">
        <v>23921608805</v>
      </c>
      <c r="Q445" s="71">
        <v>0</v>
      </c>
      <c r="R445" s="71" t="s">
        <v>1821</v>
      </c>
      <c r="S445" s="71" t="s">
        <v>235</v>
      </c>
      <c r="T445" s="71" t="s">
        <v>1517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AÇOUGUE</v>
      </c>
      <c r="C446" s="72" t="str">
        <f ca="1">IF(D446="Inativo","Inativo",IFERROR(VLOOKUP($G446,Conf!$F$19:$G$39,2,0),VLOOKUP($S446,Conf!$K:$M,3,0)))</f>
        <v>AÇOUGUEIRO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1847</v>
      </c>
      <c r="G446" s="71" t="s">
        <v>1828</v>
      </c>
      <c r="H446" s="71">
        <v>388</v>
      </c>
      <c r="I446" s="71" t="s">
        <v>1731</v>
      </c>
      <c r="J446" s="71">
        <v>1</v>
      </c>
      <c r="K446" s="71" t="s">
        <v>223</v>
      </c>
      <c r="L446" s="71" t="s">
        <v>1829</v>
      </c>
      <c r="M446" s="71" t="s">
        <v>1830</v>
      </c>
      <c r="N446" s="71">
        <v>12675110442</v>
      </c>
      <c r="Q446" s="71">
        <v>0</v>
      </c>
      <c r="R446" s="71" t="s">
        <v>1821</v>
      </c>
      <c r="S446" s="71" t="s">
        <v>235</v>
      </c>
      <c r="T446" s="71" t="s">
        <v>1517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AÇOUGUE</v>
      </c>
      <c r="C447" s="72" t="str">
        <f ca="1">IF(D447="Inativo","Inativo",IFERROR(VLOOKUP($G447,Conf!$F$19:$G$39,2,0),VLOOKUP($S447,Conf!$K:$M,3,0)))</f>
        <v>AÇOUGUEIRO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2379</v>
      </c>
      <c r="G447" s="71" t="s">
        <v>1831</v>
      </c>
      <c r="H447" s="71">
        <v>523</v>
      </c>
      <c r="I447" s="71" t="s">
        <v>222</v>
      </c>
      <c r="J447" s="71">
        <v>1</v>
      </c>
      <c r="K447" s="71" t="s">
        <v>223</v>
      </c>
      <c r="L447" s="71" t="s">
        <v>1832</v>
      </c>
      <c r="M447" s="71" t="s">
        <v>452</v>
      </c>
      <c r="N447" s="71">
        <v>3508182150</v>
      </c>
      <c r="O447" s="71" t="s">
        <v>245</v>
      </c>
      <c r="P447" s="71" t="s">
        <v>246</v>
      </c>
      <c r="Q447" s="71">
        <v>0</v>
      </c>
      <c r="R447" s="71" t="s">
        <v>1821</v>
      </c>
      <c r="S447" s="71" t="s">
        <v>235</v>
      </c>
      <c r="T447" s="71" t="s">
        <v>1517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AÇOUGUE</v>
      </c>
      <c r="C448" s="72" t="str">
        <f ca="1">IF(D448="Inativo","Inativo",IFERROR(VLOOKUP($G448,Conf!$F$19:$G$39,2,0),VLOOKUP($S448,Conf!$K:$M,3,0)))</f>
        <v>BALCONISTA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2263</v>
      </c>
      <c r="G448" s="71" t="s">
        <v>1833</v>
      </c>
      <c r="H448" s="71">
        <v>530</v>
      </c>
      <c r="I448" s="71" t="s">
        <v>222</v>
      </c>
      <c r="J448" s="71">
        <v>1</v>
      </c>
      <c r="K448" s="71" t="s">
        <v>223</v>
      </c>
      <c r="L448" s="71" t="s">
        <v>1834</v>
      </c>
      <c r="M448" s="71" t="s">
        <v>1835</v>
      </c>
      <c r="N448" s="71">
        <v>1139848631</v>
      </c>
      <c r="Q448" s="71">
        <v>0</v>
      </c>
      <c r="R448" s="71" t="s">
        <v>1836</v>
      </c>
      <c r="S448" s="71" t="s">
        <v>581</v>
      </c>
      <c r="T448" s="71" t="s">
        <v>1530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AÇOUGUE</v>
      </c>
      <c r="C449" s="72" t="str">
        <f ca="1">IF(D449="Inativo","Inativo",IFERROR(VLOOKUP($G449,Conf!$F$19:$G$39,2,0),VLOOKUP($S449,Conf!$K:$M,3,0)))</f>
        <v>DESOSSADOR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2059</v>
      </c>
      <c r="G449" s="71" t="s">
        <v>1837</v>
      </c>
      <c r="H449" s="71">
        <v>488</v>
      </c>
      <c r="I449" s="71" t="s">
        <v>550</v>
      </c>
      <c r="J449" s="71">
        <v>1</v>
      </c>
      <c r="K449" s="71" t="s">
        <v>223</v>
      </c>
      <c r="L449" s="71" t="s">
        <v>1838</v>
      </c>
      <c r="M449" s="71" t="s">
        <v>1362</v>
      </c>
      <c r="N449" s="71">
        <v>80172322928</v>
      </c>
      <c r="Q449" s="71">
        <v>0</v>
      </c>
      <c r="R449" s="71" t="s">
        <v>1839</v>
      </c>
      <c r="S449" s="71" t="s">
        <v>269</v>
      </c>
      <c r="T449" s="71" t="s">
        <v>1535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AÇOUGUE</v>
      </c>
      <c r="C450" s="72" t="str">
        <f ca="1">IF(D450="Inativo","Inativo",IFERROR(VLOOKUP($G450,Conf!$F$19:$G$39,2,0),VLOOKUP($S450,Conf!$K:$M,3,0)))</f>
        <v>DESOSSADOR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1217</v>
      </c>
      <c r="G450" s="71" t="s">
        <v>1840</v>
      </c>
      <c r="H450" s="71">
        <v>532</v>
      </c>
      <c r="I450" s="71" t="s">
        <v>287</v>
      </c>
      <c r="J450" s="71">
        <v>1</v>
      </c>
      <c r="K450" s="71" t="s">
        <v>223</v>
      </c>
      <c r="L450" s="71" t="s">
        <v>1841</v>
      </c>
      <c r="M450" s="71" t="s">
        <v>1842</v>
      </c>
      <c r="N450" s="71">
        <v>514767979</v>
      </c>
      <c r="Q450" s="71">
        <v>0</v>
      </c>
      <c r="R450" s="71" t="s">
        <v>1839</v>
      </c>
      <c r="S450" s="71" t="s">
        <v>269</v>
      </c>
      <c r="T450" s="71" t="s">
        <v>1535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AÇOUGUE</v>
      </c>
      <c r="C451" s="72" t="str">
        <f ca="1">IF(D451="Inativo","Inativo",IFERROR(VLOOKUP($G451,Conf!$F$19:$G$39,2,0),VLOOKUP($S451,Conf!$K:$M,3,0)))</f>
        <v>DESOSSADOR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2335</v>
      </c>
      <c r="G451" s="71" t="s">
        <v>1843</v>
      </c>
      <c r="H451" s="71">
        <v>71</v>
      </c>
      <c r="I451" s="71" t="s">
        <v>1844</v>
      </c>
      <c r="J451" s="71">
        <v>1</v>
      </c>
      <c r="K451" s="71" t="s">
        <v>223</v>
      </c>
      <c r="L451" s="71" t="s">
        <v>1845</v>
      </c>
      <c r="M451" s="71" t="s">
        <v>1402</v>
      </c>
      <c r="N451" s="71">
        <v>54952158934</v>
      </c>
      <c r="O451" s="71" t="s">
        <v>245</v>
      </c>
      <c r="P451" s="71" t="s">
        <v>246</v>
      </c>
      <c r="Q451" s="71">
        <v>0</v>
      </c>
      <c r="R451" s="71" t="s">
        <v>1839</v>
      </c>
      <c r="S451" s="71" t="s">
        <v>269</v>
      </c>
      <c r="T451" s="71" t="s">
        <v>1535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AÇOUGUE</v>
      </c>
      <c r="C452" s="72" t="str">
        <f ca="1">IF(D452="Inativo","Inativo",IFERROR(VLOOKUP($G452,Conf!$F$19:$G$39,2,0),VLOOKUP($S452,Conf!$K:$M,3,0)))</f>
        <v>ENCARREGADO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1735</v>
      </c>
      <c r="G452" s="71" t="s">
        <v>1846</v>
      </c>
      <c r="H452" s="71">
        <v>47</v>
      </c>
      <c r="I452" s="71" t="s">
        <v>222</v>
      </c>
      <c r="J452" s="71">
        <v>1</v>
      </c>
      <c r="K452" s="71" t="s">
        <v>223</v>
      </c>
      <c r="L452" s="71" t="s">
        <v>1847</v>
      </c>
      <c r="M452" s="71" t="s">
        <v>1848</v>
      </c>
      <c r="N452" s="71">
        <v>5202145950</v>
      </c>
      <c r="Q452" s="71">
        <v>0</v>
      </c>
      <c r="R452" s="71" t="s">
        <v>1849</v>
      </c>
      <c r="S452" s="71" t="s">
        <v>956</v>
      </c>
      <c r="T452" s="71" t="s">
        <v>1850</v>
      </c>
    </row>
    <row r="453" spans="1:20" x14ac:dyDescent="0.3">
      <c r="A453" s="72">
        <f>IFERROR(VLOOKUP($G453,Conf!$B:$C,2,0),E453)</f>
        <v>3</v>
      </c>
      <c r="B453" s="72" t="str">
        <f ca="1">IF(D453="Inativo","Inativo",VLOOKUP($S453,Conf!$K:$M,2,0))</f>
        <v>ADMINISTRATIVO</v>
      </c>
      <c r="C453" s="72" t="str">
        <f ca="1">IF(D453="Inativo","Inativo",IFERROR(VLOOKUP($G453,Conf!$F$19:$G$39,2,0),VLOOKUP($S453,Conf!$K:$M,3,0)))</f>
        <v>GERENTE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2404</v>
      </c>
      <c r="G453" s="71" t="s">
        <v>2043</v>
      </c>
      <c r="H453" s="71">
        <v>12</v>
      </c>
      <c r="I453" s="71" t="s">
        <v>639</v>
      </c>
      <c r="J453" s="71">
        <v>1</v>
      </c>
      <c r="K453" s="71" t="s">
        <v>223</v>
      </c>
      <c r="L453" s="71" t="s">
        <v>2044</v>
      </c>
      <c r="M453" s="71" t="s">
        <v>1523</v>
      </c>
      <c r="N453" s="71">
        <v>5665544965</v>
      </c>
      <c r="O453" s="71" t="s">
        <v>245</v>
      </c>
      <c r="P453" s="71" t="s">
        <v>246</v>
      </c>
      <c r="Q453" s="71">
        <v>0</v>
      </c>
      <c r="R453" s="71" t="s">
        <v>993</v>
      </c>
      <c r="S453" s="71" t="s">
        <v>643</v>
      </c>
      <c r="T453" s="71" t="s">
        <v>994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ADMINISTRATIVO</v>
      </c>
      <c r="C454" s="72" t="str">
        <f ca="1">IF(D454="Inativo","Inativo",IFERROR(VLOOKUP($G454,Conf!$F$19:$G$39,2,0),VLOOKUP($S454,Conf!$K:$M,3,0)))</f>
        <v>SUBGERENTE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2293</v>
      </c>
      <c r="G454" s="71" t="s">
        <v>2081</v>
      </c>
      <c r="H454" s="71">
        <v>12</v>
      </c>
      <c r="I454" s="71" t="s">
        <v>639</v>
      </c>
      <c r="J454" s="71">
        <v>1</v>
      </c>
      <c r="K454" s="71" t="s">
        <v>223</v>
      </c>
      <c r="L454" s="71" t="s">
        <v>2082</v>
      </c>
      <c r="M454" s="71" t="s">
        <v>2083</v>
      </c>
      <c r="N454" s="71">
        <v>7223183918</v>
      </c>
      <c r="Q454" s="71">
        <v>0</v>
      </c>
      <c r="R454" s="71" t="s">
        <v>2084</v>
      </c>
      <c r="S454" s="71" t="s">
        <v>1763</v>
      </c>
      <c r="T454" s="71" t="s">
        <v>1764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CONFEITARIA</v>
      </c>
      <c r="C455" s="72" t="str">
        <f ca="1">IF(D455="Inativo","Inativo",IFERROR(VLOOKUP($G455,Conf!$F$19:$G$39,2,0),VLOOKUP($S455,Conf!$K:$M,3,0)))</f>
        <v>AUXILIAR</v>
      </c>
      <c r="D455" s="72" t="str">
        <f ca="1">IFERROR(IF(TODAY()-K455&gt;365,"Inativo",IF(J455=2,"Férias",IF(J455=7,"Demitido","Afastamento"))),VLOOKUP(J455,Conf!$H:$I,2,0))</f>
        <v>Férias</v>
      </c>
      <c r="E455" s="71">
        <v>6</v>
      </c>
      <c r="F455" s="71">
        <v>2162</v>
      </c>
      <c r="G455" s="71" t="s">
        <v>2085</v>
      </c>
      <c r="H455" s="71">
        <v>45</v>
      </c>
      <c r="I455" s="71" t="s">
        <v>306</v>
      </c>
      <c r="J455" s="71">
        <v>2</v>
      </c>
      <c r="K455" s="71" t="s">
        <v>471</v>
      </c>
      <c r="L455" s="71" t="s">
        <v>2086</v>
      </c>
      <c r="M455" s="71" t="s">
        <v>2087</v>
      </c>
      <c r="N455" s="71">
        <v>824140923</v>
      </c>
      <c r="Q455" s="71">
        <v>0</v>
      </c>
      <c r="R455" s="71" t="s">
        <v>2088</v>
      </c>
      <c r="S455" s="71" t="s">
        <v>1024</v>
      </c>
      <c r="T455" s="71" t="s">
        <v>1774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CONFEITARIA</v>
      </c>
      <c r="C456" s="72" t="str">
        <f ca="1">IF(D456="Inativo","Inativo",IFERROR(VLOOKUP($G456,Conf!$F$19:$G$39,2,0),VLOOKUP($S456,Conf!$K:$M,3,0)))</f>
        <v>CONFEITEIRO(A)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14</v>
      </c>
      <c r="G456" s="71" t="s">
        <v>1851</v>
      </c>
      <c r="H456" s="71">
        <v>189</v>
      </c>
      <c r="I456" s="71" t="s">
        <v>799</v>
      </c>
      <c r="J456" s="71">
        <v>1</v>
      </c>
      <c r="K456" s="71" t="s">
        <v>223</v>
      </c>
      <c r="L456" s="71" t="s">
        <v>1852</v>
      </c>
      <c r="M456" s="71" t="s">
        <v>471</v>
      </c>
      <c r="N456" s="71">
        <v>9698695923</v>
      </c>
      <c r="O456" s="71" t="s">
        <v>245</v>
      </c>
      <c r="P456" s="71" t="s">
        <v>246</v>
      </c>
      <c r="Q456" s="71">
        <v>0</v>
      </c>
      <c r="R456" s="71" t="s">
        <v>302</v>
      </c>
      <c r="S456" s="71" t="s">
        <v>1853</v>
      </c>
      <c r="T456" s="71" t="s">
        <v>304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CONFEITARIA</v>
      </c>
      <c r="C457" s="72" t="str">
        <f ca="1">IF(D457="Inativo","Inativo",IFERROR(VLOOKUP($G457,Conf!$F$19:$G$39,2,0),VLOOKUP($S457,Conf!$K:$M,3,0)))</f>
        <v>CONFEITEIRO(A)</v>
      </c>
      <c r="D457" s="72" t="str">
        <f ca="1">IFERROR(IF(TODAY()-K457&gt;365,"Inativo",IF(J457=2,"Férias",IF(J457=7,"Demitido","Afastamento"))),VLOOKUP(J457,Conf!$H:$I,2,0))</f>
        <v>Afastamento</v>
      </c>
      <c r="E457" s="71">
        <v>6</v>
      </c>
      <c r="F457" s="71">
        <v>2105</v>
      </c>
      <c r="G457" s="71" t="s">
        <v>1854</v>
      </c>
      <c r="H457" s="71">
        <v>71</v>
      </c>
      <c r="I457" s="71" t="s">
        <v>1844</v>
      </c>
      <c r="J457" s="71">
        <v>3</v>
      </c>
      <c r="K457" s="71" t="s">
        <v>840</v>
      </c>
      <c r="L457" s="71" t="s">
        <v>1855</v>
      </c>
      <c r="M457" s="71" t="s">
        <v>1856</v>
      </c>
      <c r="N457" s="71">
        <v>12957272938</v>
      </c>
      <c r="Q457" s="71">
        <v>0</v>
      </c>
      <c r="R457" s="71" t="s">
        <v>1857</v>
      </c>
      <c r="S457" s="71" t="s">
        <v>310</v>
      </c>
      <c r="T457" s="71" t="s">
        <v>1858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DEPOSITO</v>
      </c>
      <c r="C458" s="72" t="str">
        <f ca="1">IF(D458="Inativo","Inativo",IFERROR(VLOOKUP($G458,Conf!$F$19:$G$39,2,0),VLOOKUP($S458,Conf!$K:$M,3,0)))</f>
        <v>RECEBEDOR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2072</v>
      </c>
      <c r="G458" s="71" t="s">
        <v>1859</v>
      </c>
      <c r="H458" s="71">
        <v>5</v>
      </c>
      <c r="I458" s="71" t="s">
        <v>822</v>
      </c>
      <c r="J458" s="71">
        <v>1</v>
      </c>
      <c r="K458" s="71" t="s">
        <v>223</v>
      </c>
      <c r="L458" s="71" t="s">
        <v>1860</v>
      </c>
      <c r="M458" s="71" t="s">
        <v>1861</v>
      </c>
      <c r="N458" s="71">
        <v>4467901922</v>
      </c>
      <c r="Q458" s="71">
        <v>0</v>
      </c>
      <c r="R458" s="71" t="s">
        <v>1862</v>
      </c>
      <c r="S458" s="71" t="s">
        <v>1140</v>
      </c>
      <c r="T458" s="71" t="s">
        <v>1556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DEPOSITO</v>
      </c>
      <c r="C459" s="72" t="str">
        <f ca="1">IF(D459="Inativo","Inativo",IFERROR(VLOOKUP($G459,Conf!$F$19:$G$39,2,0),VLOOKUP($S459,Conf!$K:$M,3,0)))</f>
        <v>CONFERENTE</v>
      </c>
      <c r="D459" s="72" t="str">
        <f ca="1">IFERROR(IF(TODAY()-K459&gt;365,"Inativo",IF(J459=2,"Férias",IF(J459=7,"Demitido","Afastamento"))),VLOOKUP(J459,Conf!$H:$I,2,0))</f>
        <v>Férias</v>
      </c>
      <c r="E459" s="71">
        <v>6</v>
      </c>
      <c r="F459" s="71">
        <v>1085</v>
      </c>
      <c r="G459" s="71" t="s">
        <v>1863</v>
      </c>
      <c r="H459" s="71">
        <v>5</v>
      </c>
      <c r="I459" s="71" t="s">
        <v>822</v>
      </c>
      <c r="J459" s="71">
        <v>2</v>
      </c>
      <c r="K459" s="71" t="s">
        <v>471</v>
      </c>
      <c r="L459" s="71" t="s">
        <v>1864</v>
      </c>
      <c r="M459" s="71" t="s">
        <v>1865</v>
      </c>
      <c r="N459" s="71">
        <v>9336545965</v>
      </c>
      <c r="Q459" s="71">
        <v>0</v>
      </c>
      <c r="R459" s="71" t="s">
        <v>1866</v>
      </c>
      <c r="S459" s="71" t="s">
        <v>330</v>
      </c>
      <c r="T459" s="71" t="s">
        <v>1561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DEPOSITO</v>
      </c>
      <c r="C460" s="72" t="str">
        <f ca="1">IF(D460="Inativo","Inativo",IFERROR(VLOOKUP($G460,Conf!$F$19:$G$39,2,0),VLOOKUP($S460,Conf!$K:$M,3,0)))</f>
        <v>CONFERENTE</v>
      </c>
      <c r="D460" s="72" t="str">
        <f ca="1">IFERROR(IF(TODAY()-K460&gt;365,"Inativo",IF(J460=2,"Férias",IF(J460=7,"Demitido","Afastamento"))),VLOOKUP(J460,Conf!$H:$I,2,0))</f>
        <v>Demitido</v>
      </c>
      <c r="E460" s="71">
        <v>6</v>
      </c>
      <c r="F460" s="71">
        <v>1193</v>
      </c>
      <c r="G460" s="71" t="s">
        <v>1867</v>
      </c>
      <c r="H460" s="71">
        <v>5</v>
      </c>
      <c r="I460" s="71" t="s">
        <v>822</v>
      </c>
      <c r="J460" s="71">
        <v>7</v>
      </c>
      <c r="K460" s="71" t="s">
        <v>999</v>
      </c>
      <c r="L460" s="71" t="s">
        <v>1868</v>
      </c>
      <c r="M460" s="71" t="s">
        <v>1869</v>
      </c>
      <c r="N460" s="71">
        <v>7297293970</v>
      </c>
      <c r="Q460" s="71">
        <v>0</v>
      </c>
      <c r="R460" s="71" t="s">
        <v>1866</v>
      </c>
      <c r="S460" s="71" t="s">
        <v>330</v>
      </c>
      <c r="T460" s="71" t="s">
        <v>1561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DEPOSITO</v>
      </c>
      <c r="C461" s="72" t="str">
        <f ca="1">IF(D461="Inativo","Inativo",IFERROR(VLOOKUP($G461,Conf!$F$19:$G$39,2,0),VLOOKUP($S461,Conf!$K:$M,3,0)))</f>
        <v>CONTROLADORIA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2164</v>
      </c>
      <c r="G461" s="71" t="s">
        <v>1870</v>
      </c>
      <c r="H461" s="71">
        <v>5</v>
      </c>
      <c r="I461" s="71" t="s">
        <v>822</v>
      </c>
      <c r="J461" s="71">
        <v>1</v>
      </c>
      <c r="K461" s="71" t="s">
        <v>223</v>
      </c>
      <c r="L461" s="71" t="s">
        <v>1871</v>
      </c>
      <c r="M461" s="71" t="s">
        <v>1872</v>
      </c>
      <c r="N461" s="71">
        <v>21903975883</v>
      </c>
      <c r="Q461" s="71">
        <v>0</v>
      </c>
      <c r="R461" s="71" t="s">
        <v>1873</v>
      </c>
      <c r="S461" s="71" t="s">
        <v>344</v>
      </c>
      <c r="T461" s="71" t="s">
        <v>1567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DEPOSITO</v>
      </c>
      <c r="C462" s="72" t="str">
        <f ca="1">IF(D462="Inativo","Inativo",IFERROR(VLOOKUP($G462,Conf!$F$19:$G$39,2,0),VLOOKUP($S462,Conf!$K:$M,3,0)))</f>
        <v>ENCARREGADO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12</v>
      </c>
      <c r="G462" s="71" t="s">
        <v>1867</v>
      </c>
      <c r="H462" s="71">
        <v>76</v>
      </c>
      <c r="I462" s="71" t="s">
        <v>3652</v>
      </c>
      <c r="J462" s="71">
        <v>1</v>
      </c>
      <c r="K462" s="71" t="s">
        <v>223</v>
      </c>
      <c r="L462" s="71" t="s">
        <v>1868</v>
      </c>
      <c r="M462" s="71" t="s">
        <v>688</v>
      </c>
      <c r="N462" s="71">
        <v>7297293970</v>
      </c>
      <c r="O462" s="71" t="s">
        <v>245</v>
      </c>
      <c r="P462" s="71" t="s">
        <v>246</v>
      </c>
      <c r="Q462" s="71">
        <v>0</v>
      </c>
      <c r="R462" s="71" t="s">
        <v>3653</v>
      </c>
      <c r="S462" s="71" t="s">
        <v>3654</v>
      </c>
      <c r="T462" s="71" t="s">
        <v>3655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ENTREGA</v>
      </c>
      <c r="C463" s="72" t="str">
        <f ca="1">IF(D463="Inativo","Inativo",IFERROR(VLOOKUP($G463,Conf!$F$19:$G$39,2,0),VLOOKUP($S463,Conf!$K:$M,3,0)))</f>
        <v>MOTORISTA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1554</v>
      </c>
      <c r="G463" s="71" t="s">
        <v>1874</v>
      </c>
      <c r="H463" s="71">
        <v>1</v>
      </c>
      <c r="I463" s="71" t="s">
        <v>1155</v>
      </c>
      <c r="J463" s="71">
        <v>1</v>
      </c>
      <c r="K463" s="71" t="s">
        <v>223</v>
      </c>
      <c r="L463" s="71" t="s">
        <v>1875</v>
      </c>
      <c r="M463" s="71" t="s">
        <v>1876</v>
      </c>
      <c r="N463" s="71">
        <v>6693195970</v>
      </c>
      <c r="Q463" s="71">
        <v>0</v>
      </c>
      <c r="R463" s="71" t="s">
        <v>1877</v>
      </c>
      <c r="S463" s="71" t="s">
        <v>361</v>
      </c>
      <c r="T463" s="71" t="s">
        <v>1878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AUXILIAR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1760</v>
      </c>
      <c r="G464" s="71" t="s">
        <v>1879</v>
      </c>
      <c r="H464" s="71">
        <v>1</v>
      </c>
      <c r="I464" s="71" t="s">
        <v>1155</v>
      </c>
      <c r="J464" s="71">
        <v>1</v>
      </c>
      <c r="K464" s="71" t="s">
        <v>223</v>
      </c>
      <c r="L464" s="71" t="s">
        <v>1880</v>
      </c>
      <c r="M464" s="71" t="s">
        <v>1881</v>
      </c>
      <c r="N464" s="71">
        <v>20529520982</v>
      </c>
      <c r="Q464" s="71">
        <v>0</v>
      </c>
      <c r="R464" s="71" t="s">
        <v>1882</v>
      </c>
      <c r="S464" s="71" t="s">
        <v>368</v>
      </c>
      <c r="T464" s="71" t="s">
        <v>1697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ENCARREGADO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918</v>
      </c>
      <c r="G465" s="71" t="s">
        <v>1883</v>
      </c>
      <c r="H465" s="71">
        <v>382</v>
      </c>
      <c r="I465" s="71" t="s">
        <v>473</v>
      </c>
      <c r="J465" s="71">
        <v>1</v>
      </c>
      <c r="K465" s="71" t="s">
        <v>223</v>
      </c>
      <c r="L465" s="71" t="s">
        <v>1884</v>
      </c>
      <c r="M465" s="71" t="s">
        <v>1885</v>
      </c>
      <c r="N465" s="71">
        <v>85978450153</v>
      </c>
      <c r="Q465" s="71">
        <v>0</v>
      </c>
      <c r="R465" s="71" t="s">
        <v>1886</v>
      </c>
      <c r="S465" s="71" t="s">
        <v>394</v>
      </c>
      <c r="T465" s="71" t="s">
        <v>1585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FISCAL DE CAIXA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2234</v>
      </c>
      <c r="G466" s="71" t="s">
        <v>1887</v>
      </c>
      <c r="H466" s="71">
        <v>524</v>
      </c>
      <c r="I466" s="71" t="s">
        <v>222</v>
      </c>
      <c r="J466" s="71">
        <v>1</v>
      </c>
      <c r="K466" s="71" t="s">
        <v>223</v>
      </c>
      <c r="L466" s="71" t="s">
        <v>1888</v>
      </c>
      <c r="M466" s="71" t="s">
        <v>828</v>
      </c>
      <c r="N466" s="71">
        <v>16538281966</v>
      </c>
      <c r="Q466" s="71">
        <v>0</v>
      </c>
      <c r="R466" s="71" t="s">
        <v>1889</v>
      </c>
      <c r="S466" s="71" t="s">
        <v>404</v>
      </c>
      <c r="T466" s="71" t="s">
        <v>1589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IF(D467="Inativo","Inativo",IFERROR(VLOOKUP($G467,Conf!$F$19:$G$39,2,0),VLOOKUP($S467,Conf!$K:$M,3,0)))</f>
        <v>FISCAL DE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2252</v>
      </c>
      <c r="G467" s="71" t="s">
        <v>1890</v>
      </c>
      <c r="H467" s="71">
        <v>529</v>
      </c>
      <c r="I467" s="71" t="s">
        <v>222</v>
      </c>
      <c r="J467" s="71">
        <v>1</v>
      </c>
      <c r="K467" s="71" t="s">
        <v>223</v>
      </c>
      <c r="L467" s="71" t="s">
        <v>1891</v>
      </c>
      <c r="M467" s="71" t="s">
        <v>1892</v>
      </c>
      <c r="N467" s="71">
        <v>9355437919</v>
      </c>
      <c r="Q467" s="71">
        <v>0</v>
      </c>
      <c r="R467" s="71" t="s">
        <v>1889</v>
      </c>
      <c r="S467" s="71" t="s">
        <v>404</v>
      </c>
      <c r="T467" s="71" t="s">
        <v>1589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IF(D468="Inativo","Inativo",IFERROR(VLOOKUP($G468,Conf!$F$19:$G$39,2,0),VLOOKUP($S468,Conf!$K:$M,3,0)))</f>
        <v>FISCAL DE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1658</v>
      </c>
      <c r="G468" s="71" t="s">
        <v>1893</v>
      </c>
      <c r="H468" s="71">
        <v>44</v>
      </c>
      <c r="I468" s="71" t="s">
        <v>550</v>
      </c>
      <c r="J468" s="71">
        <v>1</v>
      </c>
      <c r="K468" s="71" t="s">
        <v>223</v>
      </c>
      <c r="L468" s="71" t="s">
        <v>1894</v>
      </c>
      <c r="M468" s="71" t="s">
        <v>1895</v>
      </c>
      <c r="N468" s="71">
        <v>10914210998</v>
      </c>
      <c r="Q468" s="71">
        <v>0</v>
      </c>
      <c r="R468" s="71" t="s">
        <v>1889</v>
      </c>
      <c r="S468" s="71" t="s">
        <v>404</v>
      </c>
      <c r="T468" s="71" t="s">
        <v>1589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IF(D469="Inativo","Inativo",IFERROR(VLOOKUP($G469,Conf!$F$19:$G$39,2,0),VLOOKUP($S469,Conf!$K:$M,3,0)))</f>
        <v>FISCAL DE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1695</v>
      </c>
      <c r="G469" s="71" t="s">
        <v>1896</v>
      </c>
      <c r="H469" s="71">
        <v>486</v>
      </c>
      <c r="I469" s="71" t="s">
        <v>550</v>
      </c>
      <c r="J469" s="71">
        <v>1</v>
      </c>
      <c r="K469" s="71" t="s">
        <v>223</v>
      </c>
      <c r="L469" s="71" t="s">
        <v>1897</v>
      </c>
      <c r="M469" s="71" t="s">
        <v>1898</v>
      </c>
      <c r="N469" s="71">
        <v>2685702300</v>
      </c>
      <c r="Q469" s="71">
        <v>0</v>
      </c>
      <c r="R469" s="71" t="s">
        <v>1889</v>
      </c>
      <c r="S469" s="71" t="s">
        <v>404</v>
      </c>
      <c r="T469" s="71" t="s">
        <v>1589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IF(D470="Inativo","Inativo",IFERROR(VLOOKUP($G470,Conf!$F$19:$G$39,2,0),VLOOKUP($S470,Conf!$K:$M,3,0)))</f>
        <v>OPERADOR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2121</v>
      </c>
      <c r="G470" s="71" t="s">
        <v>1899</v>
      </c>
      <c r="H470" s="71">
        <v>402</v>
      </c>
      <c r="I470" s="71" t="s">
        <v>1748</v>
      </c>
      <c r="J470" s="71">
        <v>1</v>
      </c>
      <c r="K470" s="71" t="s">
        <v>223</v>
      </c>
      <c r="L470" s="71" t="s">
        <v>1900</v>
      </c>
      <c r="M470" s="71" t="s">
        <v>253</v>
      </c>
      <c r="N470" s="71">
        <v>56669011920</v>
      </c>
      <c r="Q470" s="71">
        <v>0</v>
      </c>
      <c r="R470" s="71" t="s">
        <v>1901</v>
      </c>
      <c r="S470" s="71" t="s">
        <v>413</v>
      </c>
      <c r="T470" s="71" t="s">
        <v>1580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IF(D471="Inativo","Inativo",IFERROR(VLOOKUP($G471,Conf!$F$19:$G$39,2,0),VLOOKUP($S471,Conf!$K:$M,3,0)))</f>
        <v>OPERADOR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1334</v>
      </c>
      <c r="G471" s="71" t="s">
        <v>1902</v>
      </c>
      <c r="H471" s="71">
        <v>380</v>
      </c>
      <c r="I471" s="71" t="s">
        <v>473</v>
      </c>
      <c r="J471" s="71">
        <v>1</v>
      </c>
      <c r="K471" s="71" t="s">
        <v>223</v>
      </c>
      <c r="L471" s="71" t="s">
        <v>1903</v>
      </c>
      <c r="M471" s="71" t="s">
        <v>1904</v>
      </c>
      <c r="N471" s="71">
        <v>87833891991</v>
      </c>
      <c r="Q471" s="71">
        <v>0</v>
      </c>
      <c r="R471" s="71" t="s">
        <v>1901</v>
      </c>
      <c r="S471" s="71" t="s">
        <v>413</v>
      </c>
      <c r="T471" s="71" t="s">
        <v>1580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IF(D472="Inativo","Inativo",IFERROR(VLOOKUP($G472,Conf!$F$19:$G$39,2,0),VLOOKUP($S472,Conf!$K:$M,3,0)))</f>
        <v>OPERADOR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2352</v>
      </c>
      <c r="G472" s="71" t="s">
        <v>1905</v>
      </c>
      <c r="H472" s="71">
        <v>47</v>
      </c>
      <c r="I472" s="71" t="s">
        <v>222</v>
      </c>
      <c r="J472" s="71">
        <v>1</v>
      </c>
      <c r="K472" s="71" t="s">
        <v>223</v>
      </c>
      <c r="L472" s="71" t="s">
        <v>1906</v>
      </c>
      <c r="M472" s="71" t="s">
        <v>1414</v>
      </c>
      <c r="N472" s="71">
        <v>804925259</v>
      </c>
      <c r="O472" s="71" t="s">
        <v>245</v>
      </c>
      <c r="P472" s="71" t="s">
        <v>246</v>
      </c>
      <c r="Q472" s="71">
        <v>0</v>
      </c>
      <c r="R472" s="71" t="s">
        <v>1901</v>
      </c>
      <c r="S472" s="71" t="s">
        <v>413</v>
      </c>
      <c r="T472" s="71" t="s">
        <v>1580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IF(D473="Inativo","Inativo",IFERROR(VLOOKUP($G473,Conf!$F$19:$G$39,2,0),VLOOKUP($S473,Conf!$K:$M,3,0)))</f>
        <v>OPERADOR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2434</v>
      </c>
      <c r="G473" s="71" t="s">
        <v>3677</v>
      </c>
      <c r="H473" s="71">
        <v>47</v>
      </c>
      <c r="I473" s="71" t="s">
        <v>222</v>
      </c>
      <c r="J473" s="71">
        <v>1</v>
      </c>
      <c r="K473" s="71" t="s">
        <v>223</v>
      </c>
      <c r="L473" s="71" t="s">
        <v>3678</v>
      </c>
      <c r="M473" s="71" t="s">
        <v>3674</v>
      </c>
      <c r="N473" s="71">
        <v>7100888921</v>
      </c>
      <c r="O473" s="71" t="s">
        <v>245</v>
      </c>
      <c r="P473" s="71" t="s">
        <v>246</v>
      </c>
      <c r="Q473" s="71">
        <v>0</v>
      </c>
      <c r="R473" s="71" t="s">
        <v>1901</v>
      </c>
      <c r="S473" s="71" t="s">
        <v>413</v>
      </c>
      <c r="T473" s="71" t="s">
        <v>1580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IF(D474="Inativo","Inativo",IFERROR(VLOOKUP($G474,Conf!$F$19:$G$39,2,0),VLOOKUP($S474,Conf!$K:$M,3,0)))</f>
        <v>OPERADOR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2416</v>
      </c>
      <c r="G474" s="71" t="s">
        <v>1907</v>
      </c>
      <c r="H474" s="71">
        <v>47</v>
      </c>
      <c r="I474" s="71" t="s">
        <v>222</v>
      </c>
      <c r="J474" s="71">
        <v>1</v>
      </c>
      <c r="K474" s="71" t="s">
        <v>223</v>
      </c>
      <c r="L474" s="71" t="s">
        <v>1908</v>
      </c>
      <c r="M474" s="71" t="s">
        <v>417</v>
      </c>
      <c r="N474" s="71">
        <v>7996897930</v>
      </c>
      <c r="O474" s="71" t="s">
        <v>245</v>
      </c>
      <c r="P474" s="71" t="s">
        <v>246</v>
      </c>
      <c r="Q474" s="71">
        <v>0</v>
      </c>
      <c r="R474" s="71" t="s">
        <v>1901</v>
      </c>
      <c r="S474" s="71" t="s">
        <v>413</v>
      </c>
      <c r="T474" s="71" t="s">
        <v>1580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IF(D475="Inativo","Inativo",IFERROR(VLOOKUP($G475,Conf!$F$19:$G$39,2,0),VLOOKUP($S475,Conf!$K:$M,3,0)))</f>
        <v>OPERADOR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2317</v>
      </c>
      <c r="G475" s="71" t="s">
        <v>1909</v>
      </c>
      <c r="H475" s="71">
        <v>530</v>
      </c>
      <c r="I475" s="71" t="s">
        <v>222</v>
      </c>
      <c r="J475" s="71">
        <v>1</v>
      </c>
      <c r="K475" s="71" t="s">
        <v>223</v>
      </c>
      <c r="L475" s="71" t="s">
        <v>1910</v>
      </c>
      <c r="M475" s="71" t="s">
        <v>1911</v>
      </c>
      <c r="N475" s="71">
        <v>3256075916</v>
      </c>
      <c r="Q475" s="71">
        <v>0</v>
      </c>
      <c r="R475" s="71" t="s">
        <v>1901</v>
      </c>
      <c r="S475" s="71" t="s">
        <v>413</v>
      </c>
      <c r="T475" s="71" t="s">
        <v>1580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IF(D476="Inativo","Inativo",IFERROR(VLOOKUP($G476,Conf!$F$19:$G$39,2,0),VLOOKUP($S476,Conf!$K:$M,3,0)))</f>
        <v>OPERADOR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2165</v>
      </c>
      <c r="G476" s="71" t="s">
        <v>1912</v>
      </c>
      <c r="H476" s="71">
        <v>289</v>
      </c>
      <c r="I476" s="71" t="s">
        <v>230</v>
      </c>
      <c r="J476" s="71">
        <v>1</v>
      </c>
      <c r="K476" s="71" t="s">
        <v>223</v>
      </c>
      <c r="L476" s="71" t="s">
        <v>1913</v>
      </c>
      <c r="M476" s="71" t="s">
        <v>1717</v>
      </c>
      <c r="N476" s="71">
        <v>20074029800</v>
      </c>
      <c r="Q476" s="71">
        <v>0</v>
      </c>
      <c r="R476" s="71" t="s">
        <v>1901</v>
      </c>
      <c r="S476" s="71" t="s">
        <v>413</v>
      </c>
      <c r="T476" s="71" t="s">
        <v>1580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IF(D477="Inativo","Inativo",IFERROR(VLOOKUP($G477,Conf!$F$19:$G$39,2,0),VLOOKUP($S477,Conf!$K:$M,3,0)))</f>
        <v>OPERADOR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2422</v>
      </c>
      <c r="G477" s="71" t="s">
        <v>1914</v>
      </c>
      <c r="H477" s="71">
        <v>531</v>
      </c>
      <c r="I477" s="71" t="s">
        <v>222</v>
      </c>
      <c r="J477" s="71">
        <v>1</v>
      </c>
      <c r="K477" s="71" t="s">
        <v>223</v>
      </c>
      <c r="L477" s="71" t="s">
        <v>1915</v>
      </c>
      <c r="M477" s="71" t="s">
        <v>797</v>
      </c>
      <c r="N477" s="71">
        <v>14724791900</v>
      </c>
      <c r="O477" s="71" t="s">
        <v>245</v>
      </c>
      <c r="P477" s="71" t="s">
        <v>246</v>
      </c>
      <c r="Q477" s="71">
        <v>0</v>
      </c>
      <c r="R477" s="71" t="s">
        <v>1901</v>
      </c>
      <c r="S477" s="71" t="s">
        <v>413</v>
      </c>
      <c r="T477" s="71" t="s">
        <v>1580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IF(D478="Inativo","Inativo",IFERROR(VLOOKUP($G478,Conf!$F$19:$G$39,2,0),VLOOKUP($S478,Conf!$K:$M,3,0)))</f>
        <v>OPERADOR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2365</v>
      </c>
      <c r="G478" s="71" t="s">
        <v>1916</v>
      </c>
      <c r="H478" s="71">
        <v>523</v>
      </c>
      <c r="I478" s="71" t="s">
        <v>222</v>
      </c>
      <c r="J478" s="71">
        <v>1</v>
      </c>
      <c r="K478" s="71" t="s">
        <v>223</v>
      </c>
      <c r="L478" s="71" t="s">
        <v>1917</v>
      </c>
      <c r="M478" s="71" t="s">
        <v>623</v>
      </c>
      <c r="N478" s="71">
        <v>5594895795</v>
      </c>
      <c r="O478" s="71" t="s">
        <v>245</v>
      </c>
      <c r="P478" s="71" t="s">
        <v>246</v>
      </c>
      <c r="Q478" s="71">
        <v>0</v>
      </c>
      <c r="R478" s="71" t="s">
        <v>1901</v>
      </c>
      <c r="S478" s="71" t="s">
        <v>413</v>
      </c>
      <c r="T478" s="71" t="s">
        <v>1580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IF(D479="Inativo","Inativo",IFERROR(VLOOKUP($G479,Conf!$F$19:$G$39,2,0),VLOOKUP($S479,Conf!$K:$M,3,0)))</f>
        <v>OPERADOR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2405</v>
      </c>
      <c r="G479" s="71" t="s">
        <v>1918</v>
      </c>
      <c r="H479" s="71">
        <v>526</v>
      </c>
      <c r="I479" s="71" t="s">
        <v>222</v>
      </c>
      <c r="J479" s="71">
        <v>1</v>
      </c>
      <c r="K479" s="71" t="s">
        <v>223</v>
      </c>
      <c r="L479" s="71" t="s">
        <v>1919</v>
      </c>
      <c r="M479" s="71" t="s">
        <v>1920</v>
      </c>
      <c r="N479" s="71">
        <v>11501750950</v>
      </c>
      <c r="O479" s="71" t="s">
        <v>245</v>
      </c>
      <c r="P479" s="71" t="s">
        <v>246</v>
      </c>
      <c r="Q479" s="71">
        <v>0</v>
      </c>
      <c r="R479" s="71" t="s">
        <v>1901</v>
      </c>
      <c r="S479" s="71" t="s">
        <v>413</v>
      </c>
      <c r="T479" s="71" t="s">
        <v>1580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IF(D480="Inativo","Inativo",IFERROR(VLOOKUP($G480,Conf!$F$19:$G$39,2,0),VLOOKUP($S480,Conf!$K:$M,3,0)))</f>
        <v>OPERADOR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2412</v>
      </c>
      <c r="G480" s="71" t="s">
        <v>1921</v>
      </c>
      <c r="H480" s="71">
        <v>47</v>
      </c>
      <c r="I480" s="71" t="s">
        <v>222</v>
      </c>
      <c r="J480" s="71">
        <v>1</v>
      </c>
      <c r="K480" s="71" t="s">
        <v>223</v>
      </c>
      <c r="L480" s="71" t="s">
        <v>1922</v>
      </c>
      <c r="M480" s="71" t="s">
        <v>538</v>
      </c>
      <c r="N480" s="71">
        <v>6777028927</v>
      </c>
      <c r="O480" s="71" t="s">
        <v>245</v>
      </c>
      <c r="P480" s="71" t="s">
        <v>246</v>
      </c>
      <c r="Q480" s="71">
        <v>0</v>
      </c>
      <c r="R480" s="71" t="s">
        <v>1901</v>
      </c>
      <c r="S480" s="71" t="s">
        <v>413</v>
      </c>
      <c r="T480" s="71" t="s">
        <v>1580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FRENTE DE CAIXA</v>
      </c>
      <c r="C481" s="72" t="str">
        <f ca="1">IF(D481="Inativo","Inativo",IFERROR(VLOOKUP($G481,Conf!$F$19:$G$39,2,0),VLOOKUP($S481,Conf!$K:$M,3,0)))</f>
        <v>OPERADOR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2021</v>
      </c>
      <c r="G481" s="71" t="s">
        <v>1923</v>
      </c>
      <c r="H481" s="71">
        <v>376</v>
      </c>
      <c r="I481" s="71" t="s">
        <v>473</v>
      </c>
      <c r="J481" s="71">
        <v>1</v>
      </c>
      <c r="K481" s="71" t="s">
        <v>223</v>
      </c>
      <c r="L481" s="71" t="s">
        <v>1924</v>
      </c>
      <c r="M481" s="71" t="s">
        <v>1925</v>
      </c>
      <c r="N481" s="71">
        <v>23328569863</v>
      </c>
      <c r="Q481" s="71">
        <v>0</v>
      </c>
      <c r="R481" s="71" t="s">
        <v>1901</v>
      </c>
      <c r="S481" s="71" t="s">
        <v>413</v>
      </c>
      <c r="T481" s="71" t="s">
        <v>1580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FRENTE DE CAIXA</v>
      </c>
      <c r="C482" s="72" t="str">
        <f ca="1">IF(D482="Inativo","Inativo",IFERROR(VLOOKUP($G482,Conf!$F$19:$G$39,2,0),VLOOKUP($S482,Conf!$K:$M,3,0)))</f>
        <v>OPERADOR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2337</v>
      </c>
      <c r="G482" s="71" t="s">
        <v>1926</v>
      </c>
      <c r="H482" s="71">
        <v>520</v>
      </c>
      <c r="I482" s="71" t="s">
        <v>222</v>
      </c>
      <c r="J482" s="71">
        <v>1</v>
      </c>
      <c r="K482" s="71" t="s">
        <v>223</v>
      </c>
      <c r="L482" s="71" t="s">
        <v>1927</v>
      </c>
      <c r="M482" s="71" t="s">
        <v>1487</v>
      </c>
      <c r="N482" s="71">
        <v>10356311996</v>
      </c>
      <c r="O482" s="71" t="s">
        <v>245</v>
      </c>
      <c r="P482" s="71" t="s">
        <v>246</v>
      </c>
      <c r="Q482" s="71">
        <v>0</v>
      </c>
      <c r="R482" s="71" t="s">
        <v>1901</v>
      </c>
      <c r="S482" s="71" t="s">
        <v>413</v>
      </c>
      <c r="T482" s="71" t="s">
        <v>1580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FRENTE DE CAIXA</v>
      </c>
      <c r="C483" s="72" t="str">
        <f ca="1">IF(D483="Inativo","Inativo",IFERROR(VLOOKUP($G483,Conf!$F$19:$G$39,2,0),VLOOKUP($S483,Conf!$K:$M,3,0)))</f>
        <v>OPERADOR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2297</v>
      </c>
      <c r="G483" s="71" t="s">
        <v>1928</v>
      </c>
      <c r="H483" s="71">
        <v>522</v>
      </c>
      <c r="I483" s="71" t="s">
        <v>222</v>
      </c>
      <c r="J483" s="71">
        <v>1</v>
      </c>
      <c r="K483" s="71" t="s">
        <v>223</v>
      </c>
      <c r="L483" s="71" t="s">
        <v>1929</v>
      </c>
      <c r="M483" s="71" t="s">
        <v>1930</v>
      </c>
      <c r="N483" s="71">
        <v>12710048957</v>
      </c>
      <c r="Q483" s="71">
        <v>0</v>
      </c>
      <c r="R483" s="71" t="s">
        <v>1901</v>
      </c>
      <c r="S483" s="71" t="s">
        <v>413</v>
      </c>
      <c r="T483" s="71" t="s">
        <v>1580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FRENTE DE CAIXA</v>
      </c>
      <c r="C484" s="72" t="str">
        <f ca="1">IF(D484="Inativo","Inativo",IFERROR(VLOOKUP($G484,Conf!$F$19:$G$39,2,0),VLOOKUP($S484,Conf!$K:$M,3,0)))</f>
        <v>OPERADOR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2433</v>
      </c>
      <c r="G484" s="71" t="s">
        <v>3675</v>
      </c>
      <c r="H484" s="71">
        <v>47</v>
      </c>
      <c r="I484" s="71" t="s">
        <v>222</v>
      </c>
      <c r="J484" s="71">
        <v>1</v>
      </c>
      <c r="K484" s="71" t="s">
        <v>223</v>
      </c>
      <c r="L484" s="71" t="s">
        <v>3676</v>
      </c>
      <c r="M484" s="71" t="s">
        <v>3633</v>
      </c>
      <c r="N484" s="71">
        <v>34159890890</v>
      </c>
      <c r="O484" s="71" t="s">
        <v>245</v>
      </c>
      <c r="P484" s="71" t="s">
        <v>246</v>
      </c>
      <c r="Q484" s="71">
        <v>0</v>
      </c>
      <c r="R484" s="71" t="s">
        <v>1901</v>
      </c>
      <c r="S484" s="71" t="s">
        <v>413</v>
      </c>
      <c r="T484" s="71" t="s">
        <v>1580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FRENTE DE CAIXA</v>
      </c>
      <c r="C485" s="72" t="str">
        <f ca="1">IF(D485="Inativo","Inativo",IFERROR(VLOOKUP($G485,Conf!$F$19:$G$39,2,0),VLOOKUP($S485,Conf!$K:$M,3,0)))</f>
        <v>OPERADOR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2399</v>
      </c>
      <c r="G485" s="71" t="s">
        <v>1931</v>
      </c>
      <c r="H485" s="71">
        <v>525</v>
      </c>
      <c r="I485" s="71" t="s">
        <v>222</v>
      </c>
      <c r="J485" s="71">
        <v>1</v>
      </c>
      <c r="K485" s="71" t="s">
        <v>223</v>
      </c>
      <c r="L485" s="71" t="s">
        <v>1932</v>
      </c>
      <c r="M485" s="71" t="s">
        <v>434</v>
      </c>
      <c r="N485" s="71">
        <v>15052587902</v>
      </c>
      <c r="O485" s="71" t="s">
        <v>245</v>
      </c>
      <c r="P485" s="71" t="s">
        <v>246</v>
      </c>
      <c r="Q485" s="71">
        <v>0</v>
      </c>
      <c r="R485" s="71" t="s">
        <v>1901</v>
      </c>
      <c r="S485" s="71" t="s">
        <v>413</v>
      </c>
      <c r="T485" s="71" t="s">
        <v>1580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FRENTE DE CAIXA</v>
      </c>
      <c r="C486" s="72" t="str">
        <f ca="1">IF(D486="Inativo","Inativo",IFERROR(VLOOKUP($G486,Conf!$F$19:$G$39,2,0),VLOOKUP($S486,Conf!$K:$M,3,0)))</f>
        <v>OPERADOR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1783</v>
      </c>
      <c r="G486" s="71" t="s">
        <v>1933</v>
      </c>
      <c r="H486" s="71">
        <v>446</v>
      </c>
      <c r="I486" s="71" t="s">
        <v>1934</v>
      </c>
      <c r="J486" s="71">
        <v>1</v>
      </c>
      <c r="K486" s="71" t="s">
        <v>223</v>
      </c>
      <c r="L486" s="71" t="s">
        <v>1935</v>
      </c>
      <c r="M486" s="71" t="s">
        <v>1936</v>
      </c>
      <c r="N486" s="71">
        <v>2186042975</v>
      </c>
      <c r="Q486" s="71">
        <v>0</v>
      </c>
      <c r="R486" s="71" t="s">
        <v>1901</v>
      </c>
      <c r="S486" s="71" t="s">
        <v>413</v>
      </c>
      <c r="T486" s="71" t="s">
        <v>1580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FRENTE DE CAIXA</v>
      </c>
      <c r="C487" s="72" t="str">
        <f ca="1">IF(D487="Inativo","Inativo",IFERROR(VLOOKUP($G487,Conf!$F$19:$G$39,2,0),VLOOKUP($S487,Conf!$K:$M,3,0)))</f>
        <v>OPERADOR</v>
      </c>
      <c r="D487" s="72" t="str">
        <f ca="1">IFERROR(IF(TODAY()-K487&gt;365,"Inativo",IF(J487=2,"Férias",IF(J487=7,"Demitido","Afastamento"))),VLOOKUP(J487,Conf!$H:$I,2,0))</f>
        <v>Demitido</v>
      </c>
      <c r="E487" s="71">
        <v>6</v>
      </c>
      <c r="F487" s="71">
        <v>2353</v>
      </c>
      <c r="G487" s="71" t="s">
        <v>1937</v>
      </c>
      <c r="H487" s="71">
        <v>520</v>
      </c>
      <c r="I487" s="71" t="s">
        <v>222</v>
      </c>
      <c r="J487" s="71">
        <v>7</v>
      </c>
      <c r="K487" s="71" t="s">
        <v>301</v>
      </c>
      <c r="L487" s="71" t="s">
        <v>1938</v>
      </c>
      <c r="M487" s="71" t="s">
        <v>1414</v>
      </c>
      <c r="N487" s="71">
        <v>760473935</v>
      </c>
      <c r="O487" s="71" t="s">
        <v>245</v>
      </c>
      <c r="P487" s="71" t="s">
        <v>246</v>
      </c>
      <c r="Q487" s="71">
        <v>0</v>
      </c>
      <c r="R487" s="71" t="s">
        <v>1901</v>
      </c>
      <c r="S487" s="71" t="s">
        <v>413</v>
      </c>
      <c r="T487" s="71" t="s">
        <v>1580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FRENTE DE CAIXA</v>
      </c>
      <c r="C488" s="72" t="str">
        <f ca="1">IF(D488="Inativo","Inativo",IFERROR(VLOOKUP($G488,Conf!$F$19:$G$39,2,0),VLOOKUP($S488,Conf!$K:$M,3,0)))</f>
        <v>OPERADOR</v>
      </c>
      <c r="D488" s="72" t="str">
        <f ca="1">IFERROR(IF(TODAY()-K488&gt;365,"Inativo",IF(J488=2,"Férias",IF(J488=7,"Demitido","Afastamento"))),VLOOKUP(J488,Conf!$H:$I,2,0))</f>
        <v>Demitido</v>
      </c>
      <c r="E488" s="71">
        <v>6</v>
      </c>
      <c r="F488" s="71">
        <v>2359</v>
      </c>
      <c r="G488" s="71" t="s">
        <v>1939</v>
      </c>
      <c r="H488" s="71">
        <v>522</v>
      </c>
      <c r="I488" s="71" t="s">
        <v>222</v>
      </c>
      <c r="J488" s="71">
        <v>7</v>
      </c>
      <c r="K488" s="71" t="s">
        <v>3679</v>
      </c>
      <c r="L488" s="71" t="s">
        <v>1940</v>
      </c>
      <c r="M488" s="71" t="s">
        <v>738</v>
      </c>
      <c r="N488" s="71">
        <v>14930532990</v>
      </c>
      <c r="O488" s="71" t="s">
        <v>245</v>
      </c>
      <c r="P488" s="71" t="s">
        <v>246</v>
      </c>
      <c r="Q488" s="71">
        <v>0</v>
      </c>
      <c r="R488" s="71" t="s">
        <v>1901</v>
      </c>
      <c r="S488" s="71" t="s">
        <v>413</v>
      </c>
      <c r="T488" s="71" t="s">
        <v>1580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FRENTE DE CAIXA</v>
      </c>
      <c r="C489" s="72" t="str">
        <f ca="1">IF(D489="Inativo","Inativo",IFERROR(VLOOKUP($G489,Conf!$F$19:$G$39,2,0),VLOOKUP($S489,Conf!$K:$M,3,0)))</f>
        <v>OPERADOR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2407</v>
      </c>
      <c r="G489" s="71" t="s">
        <v>1941</v>
      </c>
      <c r="H489" s="71">
        <v>931</v>
      </c>
      <c r="I489" s="71" t="s">
        <v>222</v>
      </c>
      <c r="J489" s="71">
        <v>1</v>
      </c>
      <c r="K489" s="71" t="s">
        <v>223</v>
      </c>
      <c r="L489" s="71" t="s">
        <v>1942</v>
      </c>
      <c r="M489" s="71" t="s">
        <v>916</v>
      </c>
      <c r="N489" s="71">
        <v>5990524900</v>
      </c>
      <c r="O489" s="71" t="s">
        <v>245</v>
      </c>
      <c r="P489" s="71" t="s">
        <v>246</v>
      </c>
      <c r="Q489" s="71">
        <v>0</v>
      </c>
      <c r="R489" s="71" t="s">
        <v>1901</v>
      </c>
      <c r="S489" s="71" t="s">
        <v>413</v>
      </c>
      <c r="T489" s="71" t="s">
        <v>1580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FRENTE DE CAIXA</v>
      </c>
      <c r="C490" s="72" t="str">
        <f ca="1">IF(D490="Inativo","Inativo",IFERROR(VLOOKUP($G490,Conf!$F$19:$G$39,2,0),VLOOKUP($S490,Conf!$K:$M,3,0)))</f>
        <v>OPERADOR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1483</v>
      </c>
      <c r="G490" s="71" t="s">
        <v>1943</v>
      </c>
      <c r="H490" s="71">
        <v>47</v>
      </c>
      <c r="I490" s="71" t="s">
        <v>222</v>
      </c>
      <c r="J490" s="71">
        <v>1</v>
      </c>
      <c r="K490" s="71" t="s">
        <v>223</v>
      </c>
      <c r="L490" s="71" t="s">
        <v>1944</v>
      </c>
      <c r="M490" s="71" t="s">
        <v>1945</v>
      </c>
      <c r="N490" s="71">
        <v>7129141964</v>
      </c>
      <c r="Q490" s="71">
        <v>0</v>
      </c>
      <c r="R490" s="71" t="s">
        <v>1901</v>
      </c>
      <c r="S490" s="71" t="s">
        <v>413</v>
      </c>
      <c r="T490" s="71" t="s">
        <v>1580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FRENTE DE CAIXA</v>
      </c>
      <c r="C491" s="72" t="str">
        <f ca="1">IF(D491="Inativo","Inativo",IFERROR(VLOOKUP($G491,Conf!$F$19:$G$39,2,0),VLOOKUP($S491,Conf!$K:$M,3,0)))</f>
        <v>OPERADOR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2168</v>
      </c>
      <c r="G491" s="71" t="s">
        <v>1946</v>
      </c>
      <c r="H491" s="71">
        <v>769</v>
      </c>
      <c r="I491" s="71" t="s">
        <v>1547</v>
      </c>
      <c r="J491" s="71">
        <v>1</v>
      </c>
      <c r="K491" s="71" t="s">
        <v>223</v>
      </c>
      <c r="L491" s="71" t="s">
        <v>1947</v>
      </c>
      <c r="M491" s="71" t="s">
        <v>1717</v>
      </c>
      <c r="N491" s="71">
        <v>3925928944</v>
      </c>
      <c r="Q491" s="71">
        <v>0</v>
      </c>
      <c r="R491" s="71" t="s">
        <v>1901</v>
      </c>
      <c r="S491" s="71" t="s">
        <v>413</v>
      </c>
      <c r="T491" s="71" t="s">
        <v>1580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FRENTE DE CAIXA</v>
      </c>
      <c r="C492" s="72" t="str">
        <f ca="1">IF(D492="Inativo","Inativo",IFERROR(VLOOKUP($G492,Conf!$F$19:$G$39,2,0),VLOOKUP($S492,Conf!$K:$M,3,0)))</f>
        <v>OPERADOR</v>
      </c>
      <c r="D492" s="72" t="str">
        <f ca="1">IFERROR(IF(TODAY()-K492&gt;365,"Inativo",IF(J492=2,"Férias",IF(J492=7,"Demitido","Afastamento"))),VLOOKUP(J492,Conf!$H:$I,2,0))</f>
        <v>Férias</v>
      </c>
      <c r="E492" s="71">
        <v>6</v>
      </c>
      <c r="F492" s="71">
        <v>2236</v>
      </c>
      <c r="G492" s="71" t="s">
        <v>1948</v>
      </c>
      <c r="H492" s="71">
        <v>520</v>
      </c>
      <c r="I492" s="71" t="s">
        <v>222</v>
      </c>
      <c r="J492" s="71">
        <v>2</v>
      </c>
      <c r="K492" s="71" t="s">
        <v>471</v>
      </c>
      <c r="L492" s="71" t="s">
        <v>1949</v>
      </c>
      <c r="M492" s="71" t="s">
        <v>1950</v>
      </c>
      <c r="N492" s="71">
        <v>3885813440</v>
      </c>
      <c r="Q492" s="71">
        <v>0</v>
      </c>
      <c r="R492" s="71" t="s">
        <v>1901</v>
      </c>
      <c r="S492" s="71" t="s">
        <v>413</v>
      </c>
      <c r="T492" s="71" t="s">
        <v>1580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FRIOS</v>
      </c>
      <c r="C493" s="72" t="str">
        <f ca="1">IF(D493="Inativo","Inativo",IFERROR(VLOOKUP($G493,Conf!$F$19:$G$39,2,0),VLOOKUP($S493,Conf!$K:$M,3,0)))</f>
        <v>BALCONISTA</v>
      </c>
      <c r="D493" s="72" t="str">
        <f ca="1">IFERROR(IF(TODAY()-K493&gt;365,"Inativo",IF(J493=2,"Férias",IF(J493=7,"Demitido","Afastamento"))),VLOOKUP(J493,Conf!$H:$I,2,0))</f>
        <v>Afastamento</v>
      </c>
      <c r="E493" s="71">
        <v>6</v>
      </c>
      <c r="F493" s="71">
        <v>2064</v>
      </c>
      <c r="G493" s="71" t="s">
        <v>1951</v>
      </c>
      <c r="H493" s="71">
        <v>485</v>
      </c>
      <c r="I493" s="71" t="s">
        <v>550</v>
      </c>
      <c r="J493" s="71">
        <v>6</v>
      </c>
      <c r="K493" s="71" t="s">
        <v>388</v>
      </c>
      <c r="L493" s="71" t="s">
        <v>1952</v>
      </c>
      <c r="M493" s="71" t="s">
        <v>905</v>
      </c>
      <c r="N493" s="71">
        <v>14482852910</v>
      </c>
      <c r="Q493" s="71">
        <v>0</v>
      </c>
      <c r="R493" s="71" t="s">
        <v>1953</v>
      </c>
      <c r="S493" s="71" t="s">
        <v>505</v>
      </c>
      <c r="T493" s="71" t="s">
        <v>1647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FRIOS</v>
      </c>
      <c r="C494" s="72" t="str">
        <f ca="1">IF(D494="Inativo","Inativo",IFERROR(VLOOKUP($G494,Conf!$F$19:$G$39,2,0),VLOOKUP($S494,Conf!$K:$M,3,0)))</f>
        <v>ENCARREGADO</v>
      </c>
      <c r="D494" s="72" t="str">
        <f ca="1">IFERROR(IF(TODAY()-K494&gt;365,"Inativo",IF(J494=2,"Férias",IF(J494=7,"Demitido","Afastamento"))),VLOOKUP(J494,Conf!$H:$I,2,0))</f>
        <v>Afastamento</v>
      </c>
      <c r="E494" s="71">
        <v>6</v>
      </c>
      <c r="F494" s="71">
        <v>1447</v>
      </c>
      <c r="G494" s="71" t="s">
        <v>1954</v>
      </c>
      <c r="H494" s="71">
        <v>458</v>
      </c>
      <c r="I494" s="71" t="s">
        <v>1251</v>
      </c>
      <c r="J494" s="71">
        <v>14</v>
      </c>
      <c r="K494" s="71" t="s">
        <v>3642</v>
      </c>
      <c r="L494" s="71" t="s">
        <v>1955</v>
      </c>
      <c r="M494" s="71" t="s">
        <v>1956</v>
      </c>
      <c r="N494" s="71">
        <v>85770240598</v>
      </c>
      <c r="Q494" s="71">
        <v>0</v>
      </c>
      <c r="R494" s="71" t="s">
        <v>1957</v>
      </c>
      <c r="S494" s="71" t="s">
        <v>1657</v>
      </c>
      <c r="T494" s="71" t="s">
        <v>1658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FRIOS</v>
      </c>
      <c r="C495" s="72" t="str">
        <f ca="1">IF(D495="Inativo","Inativo",IFERROR(VLOOKUP($G495,Conf!$F$19:$G$39,2,0),VLOOKUP($S495,Conf!$K:$M,3,0)))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13</v>
      </c>
      <c r="G495" s="71" t="s">
        <v>1958</v>
      </c>
      <c r="H495" s="71">
        <v>47</v>
      </c>
      <c r="I495" s="71" t="s">
        <v>222</v>
      </c>
      <c r="J495" s="71">
        <v>1</v>
      </c>
      <c r="K495" s="71" t="s">
        <v>223</v>
      </c>
      <c r="L495" s="71" t="s">
        <v>1959</v>
      </c>
      <c r="M495" s="71" t="s">
        <v>1960</v>
      </c>
      <c r="N495" s="71">
        <v>9563109902</v>
      </c>
      <c r="O495" s="71" t="s">
        <v>245</v>
      </c>
      <c r="P495" s="71" t="s">
        <v>246</v>
      </c>
      <c r="Q495" s="71">
        <v>0</v>
      </c>
      <c r="R495" s="71" t="s">
        <v>1961</v>
      </c>
      <c r="S495" s="71" t="s">
        <v>1962</v>
      </c>
      <c r="T495" s="71" t="s">
        <v>1963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FRIOS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2281</v>
      </c>
      <c r="G496" s="71" t="s">
        <v>1964</v>
      </c>
      <c r="H496" s="71">
        <v>528</v>
      </c>
      <c r="I496" s="71" t="s">
        <v>222</v>
      </c>
      <c r="J496" s="71">
        <v>7</v>
      </c>
      <c r="K496" s="71" t="s">
        <v>239</v>
      </c>
      <c r="L496" s="71" t="s">
        <v>1965</v>
      </c>
      <c r="M496" s="71" t="s">
        <v>281</v>
      </c>
      <c r="N496" s="71">
        <v>70102209219</v>
      </c>
      <c r="Q496" s="71">
        <v>0</v>
      </c>
      <c r="R496" s="71" t="s">
        <v>1966</v>
      </c>
      <c r="S496" s="71" t="s">
        <v>1229</v>
      </c>
      <c r="T496" s="71" t="s">
        <v>1967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FRIOS</v>
      </c>
      <c r="C497" s="72" t="str">
        <f ca="1">IF(D497="Inativo","Inativo",IFERROR(VLOOKUP($G497,Conf!$F$19:$G$39,2,0),VLOOKUP($S497,Conf!$K:$M,3,0)))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2255</v>
      </c>
      <c r="G497" s="71" t="s">
        <v>1968</v>
      </c>
      <c r="H497" s="71">
        <v>527</v>
      </c>
      <c r="I497" s="71" t="s">
        <v>222</v>
      </c>
      <c r="J497" s="71">
        <v>1</v>
      </c>
      <c r="K497" s="71" t="s">
        <v>223</v>
      </c>
      <c r="L497" s="71" t="s">
        <v>1969</v>
      </c>
      <c r="M497" s="71" t="s">
        <v>1970</v>
      </c>
      <c r="N497" s="71">
        <v>21372607862</v>
      </c>
      <c r="Q497" s="71">
        <v>0</v>
      </c>
      <c r="R497" s="71" t="s">
        <v>1966</v>
      </c>
      <c r="S497" s="71" t="s">
        <v>1229</v>
      </c>
      <c r="T497" s="71" t="s">
        <v>1967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FRIOS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2394</v>
      </c>
      <c r="G498" s="71" t="s">
        <v>1971</v>
      </c>
      <c r="H498" s="71">
        <v>526</v>
      </c>
      <c r="I498" s="71" t="s">
        <v>222</v>
      </c>
      <c r="J498" s="71">
        <v>1</v>
      </c>
      <c r="K498" s="71" t="s">
        <v>223</v>
      </c>
      <c r="L498" s="71" t="s">
        <v>1972</v>
      </c>
      <c r="M498" s="71" t="s">
        <v>655</v>
      </c>
      <c r="N498" s="71">
        <v>6784351975</v>
      </c>
      <c r="O498" s="71" t="s">
        <v>245</v>
      </c>
      <c r="P498" s="71" t="s">
        <v>246</v>
      </c>
      <c r="Q498" s="71">
        <v>0</v>
      </c>
      <c r="R498" s="71" t="s">
        <v>1973</v>
      </c>
      <c r="S498" s="71" t="s">
        <v>918</v>
      </c>
      <c r="T498" s="71" t="s">
        <v>1974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HORTIFRUTI</v>
      </c>
      <c r="C499" s="72" t="str">
        <f ca="1">IF(D499="Inativo","Inativo",IFERROR(VLOOKUP($G499,Conf!$F$19:$G$39,2,0),VLOOKUP($S499,Conf!$K:$M,3,0)))</f>
        <v>ENCARREGADO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996</v>
      </c>
      <c r="G499" s="71" t="s">
        <v>1975</v>
      </c>
      <c r="H499" s="71">
        <v>44</v>
      </c>
      <c r="I499" s="71" t="s">
        <v>550</v>
      </c>
      <c r="J499" s="71">
        <v>1</v>
      </c>
      <c r="K499" s="71" t="s">
        <v>223</v>
      </c>
      <c r="L499" s="71" t="s">
        <v>1976</v>
      </c>
      <c r="M499" s="71" t="s">
        <v>1977</v>
      </c>
      <c r="N499" s="71">
        <v>10356448940</v>
      </c>
      <c r="Q499" s="71">
        <v>0</v>
      </c>
      <c r="R499" s="71" t="s">
        <v>1978</v>
      </c>
      <c r="S499" s="71" t="s">
        <v>924</v>
      </c>
      <c r="T499" s="71" t="s">
        <v>1668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HORTIFRUTI</v>
      </c>
      <c r="C500" s="72" t="str">
        <f ca="1">IF(D500="Inativo","Inativo",IFERROR(VLOOKUP($G500,Conf!$F$19:$G$39,2,0),VLOOKUP($S500,Conf!$K:$M,3,0)))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827</v>
      </c>
      <c r="G500" s="71" t="s">
        <v>1979</v>
      </c>
      <c r="H500" s="71">
        <v>47</v>
      </c>
      <c r="I500" s="71" t="s">
        <v>222</v>
      </c>
      <c r="J500" s="71">
        <v>1</v>
      </c>
      <c r="K500" s="71" t="s">
        <v>223</v>
      </c>
      <c r="L500" s="71" t="s">
        <v>1980</v>
      </c>
      <c r="M500" s="71" t="s">
        <v>1981</v>
      </c>
      <c r="N500" s="71">
        <v>6288067954</v>
      </c>
      <c r="Q500" s="71">
        <v>0</v>
      </c>
      <c r="R500" s="71" t="s">
        <v>1982</v>
      </c>
      <c r="S500" s="71" t="s">
        <v>554</v>
      </c>
      <c r="T500" s="71" t="s">
        <v>1673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HORTIFRUTI</v>
      </c>
      <c r="C501" s="72" t="str">
        <f ca="1">IF(D501="Inativo","Inativo",IFERROR(VLOOKUP($G501,Conf!$F$19:$G$39,2,0),VLOOKUP($S501,Conf!$K:$M,3,0)))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2371</v>
      </c>
      <c r="G501" s="71" t="s">
        <v>1983</v>
      </c>
      <c r="H501" s="71">
        <v>47</v>
      </c>
      <c r="I501" s="71" t="s">
        <v>222</v>
      </c>
      <c r="J501" s="71">
        <v>1</v>
      </c>
      <c r="K501" s="71" t="s">
        <v>223</v>
      </c>
      <c r="L501" s="71" t="s">
        <v>1984</v>
      </c>
      <c r="M501" s="71" t="s">
        <v>1820</v>
      </c>
      <c r="N501" s="71">
        <v>8047146904</v>
      </c>
      <c r="O501" s="71" t="s">
        <v>245</v>
      </c>
      <c r="P501" s="71" t="s">
        <v>246</v>
      </c>
      <c r="Q501" s="71">
        <v>0</v>
      </c>
      <c r="R501" s="71" t="s">
        <v>1982</v>
      </c>
      <c r="S501" s="71" t="s">
        <v>554</v>
      </c>
      <c r="T501" s="71" t="s">
        <v>1673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HORTIFRUTI</v>
      </c>
      <c r="C502" s="72" t="str">
        <f ca="1">IF(D502="Inativo","Inativo",IFERROR(VLOOKUP($G502,Conf!$F$19:$G$39,2,0),VLOOKUP($S502,Conf!$K:$M,3,0)))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10</v>
      </c>
      <c r="G502" s="71" t="s">
        <v>1985</v>
      </c>
      <c r="H502" s="71">
        <v>47</v>
      </c>
      <c r="I502" s="71" t="s">
        <v>222</v>
      </c>
      <c r="J502" s="71">
        <v>1</v>
      </c>
      <c r="K502" s="71" t="s">
        <v>223</v>
      </c>
      <c r="L502" s="71" t="s">
        <v>1986</v>
      </c>
      <c r="M502" s="71" t="s">
        <v>322</v>
      </c>
      <c r="N502" s="71">
        <v>7538807926</v>
      </c>
      <c r="O502" s="71" t="s">
        <v>245</v>
      </c>
      <c r="P502" s="71" t="s">
        <v>246</v>
      </c>
      <c r="Q502" s="71">
        <v>0</v>
      </c>
      <c r="R502" s="71" t="s">
        <v>539</v>
      </c>
      <c r="S502" s="71" t="s">
        <v>1987</v>
      </c>
      <c r="T502" s="71" t="s">
        <v>541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HORTIFRUTI</v>
      </c>
      <c r="C503" s="72" t="str">
        <f ca="1">IF(D503="Inativo","Inativo",IFERROR(VLOOKUP($G503,Conf!$F$19:$G$39,2,0),VLOOKUP($S503,Conf!$K:$M,3,0)))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2370</v>
      </c>
      <c r="G503" s="71" t="s">
        <v>1988</v>
      </c>
      <c r="H503" s="71">
        <v>523</v>
      </c>
      <c r="I503" s="71" t="s">
        <v>222</v>
      </c>
      <c r="J503" s="71">
        <v>1</v>
      </c>
      <c r="K503" s="71" t="s">
        <v>223</v>
      </c>
      <c r="L503" s="71" t="s">
        <v>1989</v>
      </c>
      <c r="M503" s="71" t="s">
        <v>465</v>
      </c>
      <c r="N503" s="71">
        <v>7782693101</v>
      </c>
      <c r="O503" s="71" t="s">
        <v>245</v>
      </c>
      <c r="P503" s="71" t="s">
        <v>246</v>
      </c>
      <c r="Q503" s="71">
        <v>0</v>
      </c>
      <c r="R503" s="71" t="s">
        <v>1982</v>
      </c>
      <c r="S503" s="71" t="s">
        <v>554</v>
      </c>
      <c r="T503" s="71" t="s">
        <v>1673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HORTIFRUTI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2290</v>
      </c>
      <c r="G504" s="71" t="s">
        <v>1990</v>
      </c>
      <c r="H504" s="71">
        <v>47</v>
      </c>
      <c r="I504" s="71" t="s">
        <v>222</v>
      </c>
      <c r="J504" s="71">
        <v>1</v>
      </c>
      <c r="K504" s="71" t="s">
        <v>223</v>
      </c>
      <c r="L504" s="71" t="s">
        <v>1991</v>
      </c>
      <c r="M504" s="71" t="s">
        <v>1992</v>
      </c>
      <c r="N504" s="71">
        <v>568637992</v>
      </c>
      <c r="Q504" s="71">
        <v>0</v>
      </c>
      <c r="R504" s="71" t="s">
        <v>1982</v>
      </c>
      <c r="S504" s="71" t="s">
        <v>554</v>
      </c>
      <c r="T504" s="71" t="s">
        <v>1673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Inativo</v>
      </c>
      <c r="C505" s="72" t="str">
        <f ca="1">IF(D505="Inativo","Inativo",IFERROR(VLOOKUP($G505,Conf!$F$19:$G$39,2,0),VLOOKUP($S505,Conf!$K:$M,3,0)))</f>
        <v>Inativo</v>
      </c>
      <c r="D505" s="72" t="str">
        <f ca="1">IFERROR(IF(TODAY()-K505&gt;365,"Inativo",IF(J505=2,"Férias",IF(J505=7,"Demitido","Afastamento"))),VLOOKUP(J505,Conf!$H:$I,2,0))</f>
        <v>Inativo</v>
      </c>
      <c r="E505" s="71">
        <v>6</v>
      </c>
      <c r="F505" s="71">
        <v>708</v>
      </c>
      <c r="G505" s="71" t="s">
        <v>1993</v>
      </c>
      <c r="H505" s="71">
        <v>10</v>
      </c>
      <c r="I505" s="71" t="s">
        <v>963</v>
      </c>
      <c r="J505" s="71">
        <v>22</v>
      </c>
      <c r="K505" s="71" t="s">
        <v>1994</v>
      </c>
      <c r="L505" s="71" t="s">
        <v>1995</v>
      </c>
      <c r="M505" s="71" t="s">
        <v>1996</v>
      </c>
      <c r="N505" s="71">
        <v>52798658934</v>
      </c>
      <c r="Q505" s="71">
        <v>0</v>
      </c>
      <c r="R505" s="71" t="s">
        <v>1997</v>
      </c>
      <c r="S505" s="71" t="s">
        <v>1503</v>
      </c>
      <c r="T505" s="71" t="s">
        <v>1998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Inativo</v>
      </c>
      <c r="C506" s="72" t="str">
        <f ca="1">IF(D506="Inativo","Inativo",IFERROR(VLOOKUP($G506,Conf!$F$19:$G$39,2,0),VLOOKUP($S506,Conf!$K:$M,3,0)))</f>
        <v>Inativo</v>
      </c>
      <c r="D506" s="72" t="str">
        <f ca="1">IFERROR(IF(TODAY()-K506&gt;365,"Inativo",IF(J506=2,"Férias",IF(J506=7,"Demitido","Afastamento"))),VLOOKUP(J506,Conf!$H:$I,2,0))</f>
        <v>Inativo</v>
      </c>
      <c r="E506" s="71">
        <v>6</v>
      </c>
      <c r="F506" s="71">
        <v>740</v>
      </c>
      <c r="G506" s="71" t="s">
        <v>1999</v>
      </c>
      <c r="H506" s="71">
        <v>82</v>
      </c>
      <c r="I506" s="71" t="s">
        <v>2000</v>
      </c>
      <c r="J506" s="71">
        <v>22</v>
      </c>
      <c r="K506" s="71" t="s">
        <v>1675</v>
      </c>
      <c r="L506" s="71" t="s">
        <v>2001</v>
      </c>
      <c r="M506" s="71" t="s">
        <v>2002</v>
      </c>
      <c r="N506" s="71">
        <v>3178009906</v>
      </c>
      <c r="Q506" s="71">
        <v>0</v>
      </c>
      <c r="R506" s="71" t="s">
        <v>2003</v>
      </c>
      <c r="S506" s="71" t="s">
        <v>661</v>
      </c>
      <c r="T506" s="71" t="s">
        <v>1723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Inativo</v>
      </c>
      <c r="C507" s="72" t="str">
        <f ca="1">IF(D507="Inativo","Inativo",IFERROR(VLOOKUP($G507,Conf!$F$19:$G$39,2,0),VLOOKUP($S507,Conf!$K:$M,3,0)))</f>
        <v>Inativo</v>
      </c>
      <c r="D507" s="72" t="str">
        <f ca="1">IFERROR(IF(TODAY()-K507&gt;365,"Inativo",IF(J507=2,"Férias",IF(J507=7,"Demitido","Afastamento"))),VLOOKUP(J507,Conf!$H:$I,2,0))</f>
        <v>Inativo</v>
      </c>
      <c r="E507" s="71">
        <v>6</v>
      </c>
      <c r="F507" s="71">
        <v>938</v>
      </c>
      <c r="G507" s="71" t="s">
        <v>2004</v>
      </c>
      <c r="H507" s="71">
        <v>6</v>
      </c>
      <c r="I507" s="71" t="s">
        <v>230</v>
      </c>
      <c r="J507" s="71">
        <v>22</v>
      </c>
      <c r="K507" s="71" t="s">
        <v>2005</v>
      </c>
      <c r="L507" s="71" t="s">
        <v>2006</v>
      </c>
      <c r="M507" s="71" t="s">
        <v>2007</v>
      </c>
      <c r="N507" s="71">
        <v>60092505953</v>
      </c>
      <c r="Q507" s="71">
        <v>0</v>
      </c>
      <c r="R507" s="71" t="s">
        <v>1821</v>
      </c>
      <c r="S507" s="71" t="s">
        <v>235</v>
      </c>
      <c r="T507" s="71" t="s">
        <v>1517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LIMPEZA</v>
      </c>
      <c r="C508" s="72" t="str">
        <f ca="1">IF(D508="Inativo","Inativo",IFERROR(VLOOKUP($G508,Conf!$F$19:$G$39,2,0),VLOOKUP($S508,Conf!$K:$M,3,0)))</f>
        <v>ZELADOR(A)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1916</v>
      </c>
      <c r="G508" s="71" t="s">
        <v>2008</v>
      </c>
      <c r="H508" s="71">
        <v>451</v>
      </c>
      <c r="I508" s="71" t="s">
        <v>1251</v>
      </c>
      <c r="J508" s="71">
        <v>1</v>
      </c>
      <c r="K508" s="71" t="s">
        <v>223</v>
      </c>
      <c r="L508" s="71" t="s">
        <v>2009</v>
      </c>
      <c r="M508" s="71" t="s">
        <v>2010</v>
      </c>
      <c r="N508" s="71">
        <v>920443958</v>
      </c>
      <c r="Q508" s="71">
        <v>0</v>
      </c>
      <c r="R508" s="71" t="s">
        <v>2011</v>
      </c>
      <c r="S508" s="71" t="s">
        <v>588</v>
      </c>
      <c r="T508" s="71" t="s">
        <v>1685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LIMPEZA</v>
      </c>
      <c r="C509" s="72" t="str">
        <f ca="1">IF(D509="Inativo","Inativo",IFERROR(VLOOKUP($G509,Conf!$F$19:$G$39,2,0),VLOOKUP($S509,Conf!$K:$M,3,0)))</f>
        <v>ZELADOR(A)</v>
      </c>
      <c r="D509" s="72" t="str">
        <f ca="1">IFERROR(IF(TODAY()-K509&gt;365,"Inativo",IF(J509=2,"Férias",IF(J509=7,"Demitido","Afastamento"))),VLOOKUP(J509,Conf!$H:$I,2,0))</f>
        <v>Férias</v>
      </c>
      <c r="E509" s="71">
        <v>6</v>
      </c>
      <c r="F509" s="71">
        <v>1606</v>
      </c>
      <c r="G509" s="71" t="s">
        <v>2012</v>
      </c>
      <c r="H509" s="71">
        <v>626</v>
      </c>
      <c r="I509" s="71" t="s">
        <v>850</v>
      </c>
      <c r="J509" s="71">
        <v>2</v>
      </c>
      <c r="K509" s="71" t="s">
        <v>471</v>
      </c>
      <c r="L509" s="71" t="s">
        <v>2013</v>
      </c>
      <c r="M509" s="71" t="s">
        <v>2014</v>
      </c>
      <c r="N509" s="71">
        <v>81824688920</v>
      </c>
      <c r="Q509" s="71">
        <v>0</v>
      </c>
      <c r="R509" s="71" t="s">
        <v>2011</v>
      </c>
      <c r="S509" s="71" t="s">
        <v>588</v>
      </c>
      <c r="T509" s="71" t="s">
        <v>1685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LOJA</v>
      </c>
      <c r="C510" s="72" t="str">
        <f ca="1">IF(D510="Inativo","Inativo",IFERROR(VLOOKUP($G510,Conf!$F$19:$G$39,2,0),VLOOKUP($S510,Conf!$K:$M,3,0)))</f>
        <v>APRENDIZ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2387</v>
      </c>
      <c r="G510" s="71" t="s">
        <v>2015</v>
      </c>
      <c r="H510" s="71">
        <v>977</v>
      </c>
      <c r="I510" s="71" t="s">
        <v>1449</v>
      </c>
      <c r="J510" s="71">
        <v>1</v>
      </c>
      <c r="K510" s="71" t="s">
        <v>223</v>
      </c>
      <c r="L510" s="71" t="s">
        <v>2016</v>
      </c>
      <c r="M510" s="71" t="s">
        <v>604</v>
      </c>
      <c r="N510" s="71">
        <v>15068289906</v>
      </c>
      <c r="O510" s="71" t="s">
        <v>245</v>
      </c>
      <c r="P510" s="71" t="s">
        <v>246</v>
      </c>
      <c r="Q510" s="71">
        <v>0</v>
      </c>
      <c r="R510" s="71" t="s">
        <v>2017</v>
      </c>
      <c r="S510" s="71" t="s">
        <v>606</v>
      </c>
      <c r="T510" s="71" t="s">
        <v>2018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LOJA</v>
      </c>
      <c r="C511" s="72" t="str">
        <f ca="1">IF(D511="Inativo","Inativo",IFERROR(VLOOKUP($G511,Conf!$F$19:$G$39,2,0),VLOOKUP($S511,Conf!$K:$M,3,0)))</f>
        <v>APRENDIZ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2386</v>
      </c>
      <c r="G511" s="71" t="s">
        <v>2019</v>
      </c>
      <c r="H511" s="71">
        <v>977</v>
      </c>
      <c r="I511" s="71" t="s">
        <v>1449</v>
      </c>
      <c r="J511" s="71">
        <v>1</v>
      </c>
      <c r="K511" s="71" t="s">
        <v>223</v>
      </c>
      <c r="L511" s="71" t="s">
        <v>2020</v>
      </c>
      <c r="M511" s="71" t="s">
        <v>604</v>
      </c>
      <c r="N511" s="71">
        <v>13350830900</v>
      </c>
      <c r="O511" s="71" t="s">
        <v>245</v>
      </c>
      <c r="P511" s="71" t="s">
        <v>246</v>
      </c>
      <c r="Q511" s="71">
        <v>0</v>
      </c>
      <c r="R511" s="71" t="s">
        <v>2017</v>
      </c>
      <c r="S511" s="71" t="s">
        <v>606</v>
      </c>
      <c r="T511" s="71" t="s">
        <v>2018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LOJA</v>
      </c>
      <c r="C512" s="72" t="str">
        <f ca="1">IF(D512="Inativo","Inativo",IFERROR(VLOOKUP($G512,Conf!$F$19:$G$39,2,0),VLOOKUP($S512,Conf!$K:$M,3,0)))</f>
        <v>APRENDIZ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2392</v>
      </c>
      <c r="G512" s="71" t="s">
        <v>2021</v>
      </c>
      <c r="H512" s="71">
        <v>977</v>
      </c>
      <c r="I512" s="71" t="s">
        <v>1449</v>
      </c>
      <c r="J512" s="71">
        <v>1</v>
      </c>
      <c r="K512" s="71" t="s">
        <v>223</v>
      </c>
      <c r="L512" s="71" t="s">
        <v>2022</v>
      </c>
      <c r="M512" s="71" t="s">
        <v>604</v>
      </c>
      <c r="N512" s="71">
        <v>15046227908</v>
      </c>
      <c r="O512" s="71" t="s">
        <v>245</v>
      </c>
      <c r="P512" s="71" t="s">
        <v>246</v>
      </c>
      <c r="Q512" s="71">
        <v>0</v>
      </c>
      <c r="R512" s="71" t="s">
        <v>2017</v>
      </c>
      <c r="S512" s="71" t="s">
        <v>606</v>
      </c>
      <c r="T512" s="71" t="s">
        <v>2018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LOJA</v>
      </c>
      <c r="C513" s="72" t="str">
        <f ca="1">IF(D513="Inativo","Inativo",IFERROR(VLOOKUP($G513,Conf!$F$19:$G$39,2,0),VLOOKUP($S513,Conf!$K:$M,3,0)))</f>
        <v>APRENDIZ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2391</v>
      </c>
      <c r="G513" s="71" t="s">
        <v>2023</v>
      </c>
      <c r="H513" s="71">
        <v>977</v>
      </c>
      <c r="I513" s="71" t="s">
        <v>1449</v>
      </c>
      <c r="J513" s="71">
        <v>1</v>
      </c>
      <c r="K513" s="71" t="s">
        <v>223</v>
      </c>
      <c r="L513" s="71" t="s">
        <v>2024</v>
      </c>
      <c r="M513" s="71" t="s">
        <v>604</v>
      </c>
      <c r="N513" s="71">
        <v>14592028996</v>
      </c>
      <c r="O513" s="71" t="s">
        <v>245</v>
      </c>
      <c r="P513" s="71" t="s">
        <v>246</v>
      </c>
      <c r="Q513" s="71">
        <v>0</v>
      </c>
      <c r="R513" s="71" t="s">
        <v>2017</v>
      </c>
      <c r="S513" s="71" t="s">
        <v>606</v>
      </c>
      <c r="T513" s="71" t="s">
        <v>2018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LOJA</v>
      </c>
      <c r="C514" s="72" t="str">
        <f ca="1">IF(D514="Inativo","Inativo",IFERROR(VLOOKUP($G514,Conf!$F$19:$G$39,2,0),VLOOKUP($S514,Conf!$K:$M,3,0)))</f>
        <v>APRENDIZ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2389</v>
      </c>
      <c r="G514" s="71" t="s">
        <v>2025</v>
      </c>
      <c r="H514" s="71">
        <v>977</v>
      </c>
      <c r="I514" s="71" t="s">
        <v>1449</v>
      </c>
      <c r="J514" s="71">
        <v>1</v>
      </c>
      <c r="K514" s="71" t="s">
        <v>223</v>
      </c>
      <c r="L514" s="71" t="s">
        <v>2026</v>
      </c>
      <c r="M514" s="71" t="s">
        <v>604</v>
      </c>
      <c r="N514" s="71">
        <v>13561002951</v>
      </c>
      <c r="O514" s="71" t="s">
        <v>245</v>
      </c>
      <c r="P514" s="71" t="s">
        <v>246</v>
      </c>
      <c r="Q514" s="71">
        <v>0</v>
      </c>
      <c r="R514" s="71" t="s">
        <v>2017</v>
      </c>
      <c r="S514" s="71" t="s">
        <v>606</v>
      </c>
      <c r="T514" s="71" t="s">
        <v>2018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LOJA</v>
      </c>
      <c r="C515" s="72" t="str">
        <f ca="1">IF(D515="Inativo","Inativo",IFERROR(VLOOKUP($G515,Conf!$F$19:$G$39,2,0),VLOOKUP($S515,Conf!$K:$M,3,0)))</f>
        <v>CARTAZISTA</v>
      </c>
      <c r="D515" s="72" t="str">
        <f ca="1">IFERROR(IF(TODAY()-K515&gt;365,"Inativo",IF(J515=2,"Férias",IF(J515=7,"Demitido","Afastamento"))),VLOOKUP(J515,Conf!$H:$I,2,0))</f>
        <v>Férias</v>
      </c>
      <c r="E515" s="71">
        <v>6</v>
      </c>
      <c r="F515" s="71">
        <v>955</v>
      </c>
      <c r="G515" s="71" t="s">
        <v>2027</v>
      </c>
      <c r="H515" s="71">
        <v>45</v>
      </c>
      <c r="I515" s="71" t="s">
        <v>306</v>
      </c>
      <c r="J515" s="71">
        <v>2</v>
      </c>
      <c r="K515" s="71" t="s">
        <v>471</v>
      </c>
      <c r="L515" s="71" t="s">
        <v>2028</v>
      </c>
      <c r="M515" s="71" t="s">
        <v>2029</v>
      </c>
      <c r="N515" s="71">
        <v>7126540973</v>
      </c>
      <c r="Q515" s="71">
        <v>0</v>
      </c>
      <c r="R515" s="71" t="s">
        <v>2030</v>
      </c>
      <c r="S515" s="71" t="s">
        <v>2031</v>
      </c>
      <c r="T515" s="71" t="s">
        <v>2032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VENDAS</v>
      </c>
      <c r="C516" s="72" t="str">
        <f ca="1">IF(D516="Inativo","Inativo",IFERROR(VLOOKUP($G516,Conf!$F$19:$G$39,2,0),VLOOKUP($S516,Conf!$K:$M,3,0)))</f>
        <v>E-COMMERCE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2313</v>
      </c>
      <c r="G516" s="71" t="s">
        <v>2033</v>
      </c>
      <c r="H516" s="71">
        <v>47</v>
      </c>
      <c r="I516" s="71" t="s">
        <v>222</v>
      </c>
      <c r="J516" s="71">
        <v>1</v>
      </c>
      <c r="K516" s="71" t="s">
        <v>223</v>
      </c>
      <c r="L516" s="71" t="s">
        <v>2034</v>
      </c>
      <c r="M516" s="71" t="s">
        <v>2035</v>
      </c>
      <c r="N516" s="71">
        <v>9243161105</v>
      </c>
      <c r="Q516" s="71">
        <v>0</v>
      </c>
      <c r="R516" s="71" t="s">
        <v>2036</v>
      </c>
      <c r="S516" s="71" t="s">
        <v>2037</v>
      </c>
      <c r="T516" s="71" t="s">
        <v>1601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LOJA</v>
      </c>
      <c r="C517" s="72" t="str">
        <f ca="1">IF(D517="Inativo","Inativo",IFERROR(VLOOKUP($G517,Conf!$F$19:$G$39,2,0),VLOOKUP($S517,Conf!$K:$M,3,0)))</f>
        <v>ENCARREGADO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3</v>
      </c>
      <c r="G517" s="71" t="s">
        <v>2038</v>
      </c>
      <c r="H517" s="71">
        <v>47</v>
      </c>
      <c r="I517" s="71" t="s">
        <v>222</v>
      </c>
      <c r="J517" s="71">
        <v>1</v>
      </c>
      <c r="K517" s="71" t="s">
        <v>223</v>
      </c>
      <c r="L517" s="71" t="s">
        <v>2039</v>
      </c>
      <c r="M517" s="71" t="s">
        <v>1084</v>
      </c>
      <c r="N517" s="71">
        <v>9390037913</v>
      </c>
      <c r="O517" s="71" t="s">
        <v>245</v>
      </c>
      <c r="P517" s="71" t="s">
        <v>246</v>
      </c>
      <c r="Q517" s="71">
        <v>0</v>
      </c>
      <c r="R517" s="71" t="s">
        <v>2040</v>
      </c>
      <c r="S517" s="71" t="s">
        <v>2041</v>
      </c>
      <c r="T517" s="71" t="s">
        <v>2042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LOJA</v>
      </c>
      <c r="C518" s="72" t="str">
        <f ca="1">IF(D518="Inativo","Inativo",IFERROR(VLOOKUP($G518,Conf!$F$19:$G$39,2,0),VLOOKUP($S518,Conf!$K:$M,3,0)))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</v>
      </c>
      <c r="G518" s="71" t="s">
        <v>2045</v>
      </c>
      <c r="H518" s="71">
        <v>47</v>
      </c>
      <c r="I518" s="71" t="s">
        <v>222</v>
      </c>
      <c r="J518" s="71">
        <v>1</v>
      </c>
      <c r="K518" s="71" t="s">
        <v>223</v>
      </c>
      <c r="L518" s="71" t="s">
        <v>2046</v>
      </c>
      <c r="M518" s="71" t="s">
        <v>449</v>
      </c>
      <c r="N518" s="71">
        <v>9233339912</v>
      </c>
      <c r="O518" s="71" t="s">
        <v>245</v>
      </c>
      <c r="P518" s="71" t="s">
        <v>246</v>
      </c>
      <c r="Q518" s="71">
        <v>0</v>
      </c>
      <c r="R518" s="71" t="s">
        <v>648</v>
      </c>
      <c r="S518" s="71" t="s">
        <v>2047</v>
      </c>
      <c r="T518" s="71" t="s">
        <v>612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LOJA</v>
      </c>
      <c r="C519" s="72" t="str">
        <f ca="1">IF(D519="Inativo","Inativo",IFERROR(VLOOKUP($G519,Conf!$F$19:$G$39,2,0),VLOOKUP($S519,Conf!$K:$M,3,0)))</f>
        <v>REPOSITOR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2176</v>
      </c>
      <c r="G519" s="71" t="s">
        <v>2048</v>
      </c>
      <c r="H519" s="71">
        <v>577</v>
      </c>
      <c r="I519" s="71" t="s">
        <v>2049</v>
      </c>
      <c r="J519" s="71">
        <v>1</v>
      </c>
      <c r="K519" s="71" t="s">
        <v>223</v>
      </c>
      <c r="L519" s="71" t="s">
        <v>2050</v>
      </c>
      <c r="M519" s="71" t="s">
        <v>2051</v>
      </c>
      <c r="N519" s="71">
        <v>56952198920</v>
      </c>
      <c r="Q519" s="71">
        <v>0</v>
      </c>
      <c r="R519" s="71" t="s">
        <v>2052</v>
      </c>
      <c r="S519" s="71" t="s">
        <v>2053</v>
      </c>
      <c r="T519" s="71" t="s">
        <v>2054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LOJA</v>
      </c>
      <c r="C520" s="72" t="str">
        <f ca="1">IF(D520="Inativo","Inativo",IFERROR(VLOOKUP($G520,Conf!$F$19:$G$39,2,0),VLOOKUP($S520,Conf!$K:$M,3,0)))</f>
        <v>REPOSITOR</v>
      </c>
      <c r="D520" s="72" t="str">
        <f ca="1">IFERROR(IF(TODAY()-K520&gt;365,"Inativo",IF(J520=2,"Férias",IF(J520=7,"Demitido","Afastamento"))),VLOOKUP(J520,Conf!$H:$I,2,0))</f>
        <v>Demitido</v>
      </c>
      <c r="E520" s="71">
        <v>6</v>
      </c>
      <c r="F520" s="71">
        <v>2400</v>
      </c>
      <c r="G520" s="71" t="s">
        <v>2055</v>
      </c>
      <c r="H520" s="71">
        <v>530</v>
      </c>
      <c r="I520" s="71" t="s">
        <v>222</v>
      </c>
      <c r="J520" s="71">
        <v>7</v>
      </c>
      <c r="K520" s="71" t="s">
        <v>3679</v>
      </c>
      <c r="L520" s="71" t="s">
        <v>2056</v>
      </c>
      <c r="M520" s="71" t="s">
        <v>434</v>
      </c>
      <c r="N520" s="71">
        <v>15676529997</v>
      </c>
      <c r="O520" s="71" t="s">
        <v>245</v>
      </c>
      <c r="P520" s="71" t="s">
        <v>246</v>
      </c>
      <c r="Q520" s="71">
        <v>0</v>
      </c>
      <c r="R520" s="71" t="s">
        <v>2003</v>
      </c>
      <c r="S520" s="71" t="s">
        <v>661</v>
      </c>
      <c r="T520" s="71" t="s">
        <v>1723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LOJA</v>
      </c>
      <c r="C521" s="72" t="str">
        <f ca="1">IF(D521="Inativo","Inativo",IFERROR(VLOOKUP($G521,Conf!$F$19:$G$39,2,0),VLOOKUP($S521,Conf!$K:$M,3,0)))</f>
        <v>REPOSITOR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4</v>
      </c>
      <c r="G521" s="71" t="s">
        <v>2057</v>
      </c>
      <c r="H521" s="71">
        <v>47</v>
      </c>
      <c r="I521" s="71" t="s">
        <v>222</v>
      </c>
      <c r="J521" s="71">
        <v>1</v>
      </c>
      <c r="K521" s="71" t="s">
        <v>223</v>
      </c>
      <c r="L521" s="71" t="s">
        <v>2058</v>
      </c>
      <c r="M521" s="71" t="s">
        <v>273</v>
      </c>
      <c r="N521" s="71">
        <v>13340153337</v>
      </c>
      <c r="O521" s="71" t="s">
        <v>245</v>
      </c>
      <c r="P521" s="71" t="s">
        <v>246</v>
      </c>
      <c r="Q521" s="71">
        <v>0</v>
      </c>
      <c r="R521" s="71" t="s">
        <v>648</v>
      </c>
      <c r="S521" s="71" t="s">
        <v>2047</v>
      </c>
      <c r="T521" s="71" t="s">
        <v>612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LOJA</v>
      </c>
      <c r="C522" s="72" t="str">
        <f ca="1">IF(D522="Inativo","Inativo",IFERROR(VLOOKUP($G522,Conf!$F$19:$G$39,2,0),VLOOKUP($S522,Conf!$K:$M,3,0)))</f>
        <v>REPOSITOR</v>
      </c>
      <c r="D522" s="72" t="str">
        <f ca="1">IFERROR(IF(TODAY()-K522&gt;365,"Inativo",IF(J522=2,"Férias",IF(J522=7,"Demitido","Afastamento"))),VLOOKUP(J522,Conf!$H:$I,2,0))</f>
        <v>Ativos</v>
      </c>
      <c r="E522" s="71">
        <v>6</v>
      </c>
      <c r="F522" s="71">
        <v>17</v>
      </c>
      <c r="G522" s="71" t="s">
        <v>3658</v>
      </c>
      <c r="H522" s="71">
        <v>47</v>
      </c>
      <c r="I522" s="71" t="s">
        <v>222</v>
      </c>
      <c r="J522" s="71">
        <v>1</v>
      </c>
      <c r="K522" s="71" t="s">
        <v>223</v>
      </c>
      <c r="L522" s="71" t="s">
        <v>3659</v>
      </c>
      <c r="M522" s="71" t="s">
        <v>3660</v>
      </c>
      <c r="N522" s="71">
        <v>71278622225</v>
      </c>
      <c r="O522" s="71" t="s">
        <v>245</v>
      </c>
      <c r="P522" s="71" t="s">
        <v>246</v>
      </c>
      <c r="Q522" s="71">
        <v>0</v>
      </c>
      <c r="R522" s="71" t="s">
        <v>648</v>
      </c>
      <c r="S522" s="71" t="s">
        <v>2047</v>
      </c>
      <c r="T522" s="71" t="s">
        <v>612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LOJA</v>
      </c>
      <c r="C523" s="72" t="str">
        <f ca="1">IF(D523="Inativo","Inativo",IFERROR(VLOOKUP($G523,Conf!$F$19:$G$39,2,0),VLOOKUP($S523,Conf!$K:$M,3,0)))</f>
        <v>REPOSITOR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15</v>
      </c>
      <c r="G523" s="71" t="s">
        <v>2059</v>
      </c>
      <c r="H523" s="71">
        <v>47</v>
      </c>
      <c r="I523" s="71" t="s">
        <v>222</v>
      </c>
      <c r="J523" s="71">
        <v>1</v>
      </c>
      <c r="K523" s="71" t="s">
        <v>223</v>
      </c>
      <c r="L523" s="71" t="s">
        <v>2060</v>
      </c>
      <c r="M523" s="71" t="s">
        <v>471</v>
      </c>
      <c r="N523" s="71">
        <v>6036873930</v>
      </c>
      <c r="O523" s="71" t="s">
        <v>245</v>
      </c>
      <c r="P523" s="71" t="s">
        <v>246</v>
      </c>
      <c r="Q523" s="71">
        <v>0</v>
      </c>
      <c r="R523" s="71" t="s">
        <v>648</v>
      </c>
      <c r="S523" s="71" t="s">
        <v>2047</v>
      </c>
      <c r="T523" s="71" t="s">
        <v>612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LOJA</v>
      </c>
      <c r="C524" s="72" t="str">
        <f ca="1">IF(D524="Inativo","Inativo",IFERROR(VLOOKUP($G524,Conf!$F$19:$G$39,2,0),VLOOKUP($S524,Conf!$K:$M,3,0)))</f>
        <v>REPOSITOR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2383</v>
      </c>
      <c r="G524" s="71" t="s">
        <v>2061</v>
      </c>
      <c r="H524" s="71">
        <v>527</v>
      </c>
      <c r="I524" s="71" t="s">
        <v>222</v>
      </c>
      <c r="J524" s="71">
        <v>1</v>
      </c>
      <c r="K524" s="71" t="s">
        <v>223</v>
      </c>
      <c r="L524" s="71" t="s">
        <v>2062</v>
      </c>
      <c r="M524" s="71" t="s">
        <v>2063</v>
      </c>
      <c r="N524" s="71">
        <v>12809782954</v>
      </c>
      <c r="O524" s="71" t="s">
        <v>245</v>
      </c>
      <c r="P524" s="71" t="s">
        <v>246</v>
      </c>
      <c r="Q524" s="71">
        <v>0</v>
      </c>
      <c r="R524" s="71" t="s">
        <v>2003</v>
      </c>
      <c r="S524" s="71" t="s">
        <v>661</v>
      </c>
      <c r="T524" s="71" t="s">
        <v>1723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LOJA</v>
      </c>
      <c r="C525" s="72" t="str">
        <f ca="1">IF(D525="Inativo","Inativo",IFERROR(VLOOKUP($G525,Conf!$F$19:$G$39,2,0),VLOOKUP($S525,Conf!$K:$M,3,0)))</f>
        <v>REPOSITOR</v>
      </c>
      <c r="D525" s="72" t="str">
        <f ca="1">IFERROR(IF(TODAY()-K525&gt;365,"Inativo",IF(J525=2,"Férias",IF(J525=7,"Demitido","Afastamento"))),VLOOKUP(J525,Conf!$H:$I,2,0))</f>
        <v>Demitido</v>
      </c>
      <c r="E525" s="71">
        <v>6</v>
      </c>
      <c r="F525" s="71">
        <v>2368</v>
      </c>
      <c r="G525" s="71" t="s">
        <v>2064</v>
      </c>
      <c r="H525" s="71">
        <v>150</v>
      </c>
      <c r="I525" s="71" t="s">
        <v>2065</v>
      </c>
      <c r="J525" s="71">
        <v>7</v>
      </c>
      <c r="K525" s="71" t="s">
        <v>231</v>
      </c>
      <c r="L525" s="71" t="s">
        <v>2066</v>
      </c>
      <c r="M525" s="71" t="s">
        <v>1495</v>
      </c>
      <c r="N525" s="71">
        <v>13799402900</v>
      </c>
      <c r="O525" s="71" t="s">
        <v>245</v>
      </c>
      <c r="P525" s="71" t="s">
        <v>246</v>
      </c>
      <c r="Q525" s="71">
        <v>0</v>
      </c>
      <c r="R525" s="71" t="s">
        <v>2003</v>
      </c>
      <c r="S525" s="71" t="s">
        <v>661</v>
      </c>
      <c r="T525" s="71" t="s">
        <v>1723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LOJA</v>
      </c>
      <c r="C526" s="72" t="str">
        <f ca="1">IF(D526="Inativo","Inativo",IFERROR(VLOOKUP($G526,Conf!$F$19:$G$39,2,0),VLOOKUP($S526,Conf!$K:$M,3,0)))</f>
        <v>REPOSITOR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16</v>
      </c>
      <c r="G526" s="71" t="s">
        <v>3656</v>
      </c>
      <c r="H526" s="71">
        <v>47</v>
      </c>
      <c r="I526" s="71" t="s">
        <v>222</v>
      </c>
      <c r="J526" s="71">
        <v>1</v>
      </c>
      <c r="K526" s="71" t="s">
        <v>223</v>
      </c>
      <c r="L526" s="71" t="s">
        <v>3657</v>
      </c>
      <c r="M526" s="71" t="s">
        <v>3642</v>
      </c>
      <c r="N526" s="71">
        <v>7947967962</v>
      </c>
      <c r="O526" s="71" t="s">
        <v>245</v>
      </c>
      <c r="P526" s="71" t="s">
        <v>246</v>
      </c>
      <c r="Q526" s="71">
        <v>0</v>
      </c>
      <c r="R526" s="71" t="s">
        <v>648</v>
      </c>
      <c r="S526" s="71" t="s">
        <v>2047</v>
      </c>
      <c r="T526" s="71" t="s">
        <v>612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LOJA</v>
      </c>
      <c r="C527" s="72" t="str">
        <f ca="1">IF(D527="Inativo","Inativo",IFERROR(VLOOKUP($G527,Conf!$F$19:$G$39,2,0),VLOOKUP($S527,Conf!$K:$M,3,0)))</f>
        <v>REPOSITOR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7</v>
      </c>
      <c r="G527" s="71" t="s">
        <v>2067</v>
      </c>
      <c r="H527" s="71">
        <v>47</v>
      </c>
      <c r="I527" s="71" t="s">
        <v>222</v>
      </c>
      <c r="J527" s="71">
        <v>1</v>
      </c>
      <c r="K527" s="71" t="s">
        <v>223</v>
      </c>
      <c r="L527" s="71" t="s">
        <v>2068</v>
      </c>
      <c r="M527" s="71" t="s">
        <v>2069</v>
      </c>
      <c r="N527" s="71">
        <v>94622477904</v>
      </c>
      <c r="O527" s="71" t="s">
        <v>245</v>
      </c>
      <c r="P527" s="71" t="s">
        <v>246</v>
      </c>
      <c r="Q527" s="71">
        <v>0</v>
      </c>
      <c r="R527" s="71" t="s">
        <v>648</v>
      </c>
      <c r="S527" s="71" t="s">
        <v>2047</v>
      </c>
      <c r="T527" s="71" t="s">
        <v>612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LOJA</v>
      </c>
      <c r="C528" s="72" t="str">
        <f ca="1">IF(D528="Inativo","Inativo",IFERROR(VLOOKUP($G528,Conf!$F$19:$G$39,2,0),VLOOKUP($S528,Conf!$K:$M,3,0)))</f>
        <v>REPOSITOR</v>
      </c>
      <c r="D528" s="72" t="str">
        <f ca="1">IFERROR(IF(TODAY()-K528&gt;365,"Inativo",IF(J528=2,"Férias",IF(J528=7,"Demitido","Afastamento"))),VLOOKUP(J528,Conf!$H:$I,2,0))</f>
        <v>Ativos</v>
      </c>
      <c r="E528" s="71">
        <v>6</v>
      </c>
      <c r="F528" s="71">
        <v>2138</v>
      </c>
      <c r="G528" s="71" t="s">
        <v>2070</v>
      </c>
      <c r="H528" s="71">
        <v>505</v>
      </c>
      <c r="I528" s="71" t="s">
        <v>306</v>
      </c>
      <c r="J528" s="71">
        <v>1</v>
      </c>
      <c r="K528" s="71" t="s">
        <v>223</v>
      </c>
      <c r="L528" s="71" t="s">
        <v>2071</v>
      </c>
      <c r="M528" s="71" t="s">
        <v>2072</v>
      </c>
      <c r="N528" s="71">
        <v>5869177057</v>
      </c>
      <c r="Q528" s="71">
        <v>0</v>
      </c>
      <c r="R528" s="71" t="s">
        <v>2003</v>
      </c>
      <c r="S528" s="71" t="s">
        <v>661</v>
      </c>
      <c r="T528" s="71" t="s">
        <v>1723</v>
      </c>
    </row>
    <row r="529" spans="1:20" x14ac:dyDescent="0.3">
      <c r="A529" s="72">
        <f>IFERROR(VLOOKUP($G529,Conf!$B:$C,2,0),E529)</f>
        <v>6</v>
      </c>
      <c r="B529" s="72" t="str">
        <f ca="1">IF(D529="Inativo","Inativo",VLOOKUP($S529,Conf!$K:$M,2,0))</f>
        <v>LOJA</v>
      </c>
      <c r="C529" s="72" t="str">
        <f ca="1">IF(D529="Inativo","Inativo",IFERROR(VLOOKUP($G529,Conf!$F$19:$G$39,2,0),VLOOKUP($S529,Conf!$K:$M,3,0)))</f>
        <v>REPOSITOR</v>
      </c>
      <c r="D529" s="72" t="str">
        <f ca="1">IFERROR(IF(TODAY()-K529&gt;365,"Inativo",IF(J529=2,"Férias",IF(J529=7,"Demitido","Afastamento"))),VLOOKUP(J529,Conf!$H:$I,2,0))</f>
        <v>Ativos</v>
      </c>
      <c r="E529" s="71">
        <v>6</v>
      </c>
      <c r="F529" s="71">
        <v>2401</v>
      </c>
      <c r="G529" s="71" t="s">
        <v>2073</v>
      </c>
      <c r="H529" s="71">
        <v>47</v>
      </c>
      <c r="I529" s="71" t="s">
        <v>222</v>
      </c>
      <c r="J529" s="71">
        <v>1</v>
      </c>
      <c r="K529" s="71" t="s">
        <v>223</v>
      </c>
      <c r="L529" s="71" t="s">
        <v>2074</v>
      </c>
      <c r="M529" s="71" t="s">
        <v>2075</v>
      </c>
      <c r="N529" s="71">
        <v>14566776913</v>
      </c>
      <c r="O529" s="71" t="s">
        <v>245</v>
      </c>
      <c r="P529" s="71" t="s">
        <v>246</v>
      </c>
      <c r="Q529" s="71">
        <v>0</v>
      </c>
      <c r="R529" s="71" t="s">
        <v>2003</v>
      </c>
      <c r="S529" s="71" t="s">
        <v>661</v>
      </c>
      <c r="T529" s="71" t="s">
        <v>1723</v>
      </c>
    </row>
    <row r="530" spans="1:20" x14ac:dyDescent="0.3">
      <c r="A530" s="72">
        <f>IFERROR(VLOOKUP($G530,Conf!$B:$C,2,0),E530)</f>
        <v>6</v>
      </c>
      <c r="B530" s="72" t="str">
        <f ca="1">IF(D530="Inativo","Inativo",VLOOKUP($S530,Conf!$K:$M,2,0))</f>
        <v>LOJA</v>
      </c>
      <c r="C530" s="72" t="str">
        <f ca="1">IF(D530="Inativo","Inativo",IFERROR(VLOOKUP($G530,Conf!$F$19:$G$39,2,0),VLOOKUP($S530,Conf!$K:$M,3,0)))</f>
        <v>REPOSITOR</v>
      </c>
      <c r="D530" s="72" t="str">
        <f ca="1">IFERROR(IF(TODAY()-K530&gt;365,"Inativo",IF(J530=2,"Férias",IF(J530=7,"Demitido","Afastamento"))),VLOOKUP(J530,Conf!$H:$I,2,0))</f>
        <v>Ativos</v>
      </c>
      <c r="E530" s="71">
        <v>6</v>
      </c>
      <c r="F530" s="71">
        <v>2375</v>
      </c>
      <c r="G530" s="71" t="s">
        <v>2076</v>
      </c>
      <c r="H530" s="71">
        <v>523</v>
      </c>
      <c r="I530" s="71" t="s">
        <v>222</v>
      </c>
      <c r="J530" s="71">
        <v>1</v>
      </c>
      <c r="K530" s="71" t="s">
        <v>223</v>
      </c>
      <c r="L530" s="71" t="s">
        <v>2077</v>
      </c>
      <c r="M530" s="71" t="s">
        <v>439</v>
      </c>
      <c r="N530" s="71">
        <v>14092747993</v>
      </c>
      <c r="O530" s="71" t="s">
        <v>245</v>
      </c>
      <c r="P530" s="71" t="s">
        <v>246</v>
      </c>
      <c r="Q530" s="71">
        <v>0</v>
      </c>
      <c r="R530" s="71" t="s">
        <v>2003</v>
      </c>
      <c r="S530" s="71" t="s">
        <v>661</v>
      </c>
      <c r="T530" s="71" t="s">
        <v>1723</v>
      </c>
    </row>
    <row r="531" spans="1:20" x14ac:dyDescent="0.3">
      <c r="A531" s="72">
        <f>IFERROR(VLOOKUP($G531,Conf!$B:$C,2,0),E531)</f>
        <v>6</v>
      </c>
      <c r="B531" s="72" t="str">
        <f ca="1">IF(D531="Inativo","Inativo",VLOOKUP($S531,Conf!$K:$M,2,0))</f>
        <v>LOJA</v>
      </c>
      <c r="C531" s="72" t="str">
        <f ca="1">IF(D531="Inativo","Inativo",IFERROR(VLOOKUP($G531,Conf!$F$19:$G$39,2,0),VLOOKUP($S531,Conf!$K:$M,3,0)))</f>
        <v>REPOSITOR</v>
      </c>
      <c r="D531" s="72" t="str">
        <f ca="1">IFERROR(IF(TODAY()-K531&gt;365,"Inativo",IF(J531=2,"Férias",IF(J531=7,"Demitido","Afastamento"))),VLOOKUP(J531,Conf!$H:$I,2,0))</f>
        <v>Demitido</v>
      </c>
      <c r="E531" s="71">
        <v>6</v>
      </c>
      <c r="F531" s="71">
        <v>2285</v>
      </c>
      <c r="G531" s="71" t="s">
        <v>2078</v>
      </c>
      <c r="H531" s="71">
        <v>527</v>
      </c>
      <c r="I531" s="71" t="s">
        <v>222</v>
      </c>
      <c r="J531" s="71">
        <v>7</v>
      </c>
      <c r="K531" s="71" t="s">
        <v>840</v>
      </c>
      <c r="L531" s="71" t="s">
        <v>2079</v>
      </c>
      <c r="M531" s="71" t="s">
        <v>2080</v>
      </c>
      <c r="N531" s="71">
        <v>9792135928</v>
      </c>
      <c r="Q531" s="71">
        <v>0</v>
      </c>
      <c r="R531" s="71" t="s">
        <v>2003</v>
      </c>
      <c r="S531" s="71" t="s">
        <v>661</v>
      </c>
      <c r="T531" s="71" t="s">
        <v>1723</v>
      </c>
    </row>
    <row r="532" spans="1:20" x14ac:dyDescent="0.3">
      <c r="A532" s="72">
        <f>IFERROR(VLOOKUP($G532,Conf!$B:$C,2,0),E532)</f>
        <v>6</v>
      </c>
      <c r="B532" s="72" t="str">
        <f ca="1">IF(D532="Inativo","Inativo",VLOOKUP($S532,Conf!$K:$M,2,0))</f>
        <v>PADARIA</v>
      </c>
      <c r="C532" s="72" t="str">
        <f ca="1">IF(D532="Inativo","Inativo",IFERROR(VLOOKUP($G532,Conf!$F$19:$G$39,2,0),VLOOKUP($S532,Conf!$K:$M,3,0)))</f>
        <v>BALCONISTA</v>
      </c>
      <c r="D532" s="72" t="str">
        <f ca="1">IFERROR(IF(TODAY()-K532&gt;365,"Inativo",IF(J532=2,"Férias",IF(J532=7,"Demitido","Afastamento"))),VLOOKUP(J532,Conf!$H:$I,2,0))</f>
        <v>Ativos</v>
      </c>
      <c r="E532" s="71">
        <v>6</v>
      </c>
      <c r="F532" s="71">
        <v>707</v>
      </c>
      <c r="G532" s="71" t="s">
        <v>2089</v>
      </c>
      <c r="H532" s="71">
        <v>47</v>
      </c>
      <c r="I532" s="71" t="s">
        <v>222</v>
      </c>
      <c r="J532" s="71">
        <v>1</v>
      </c>
      <c r="K532" s="71" t="s">
        <v>223</v>
      </c>
      <c r="L532" s="71" t="s">
        <v>2090</v>
      </c>
      <c r="M532" s="71" t="s">
        <v>1996</v>
      </c>
      <c r="N532" s="71">
        <v>80888135904</v>
      </c>
      <c r="Q532" s="71">
        <v>0</v>
      </c>
      <c r="R532" s="71" t="s">
        <v>1997</v>
      </c>
      <c r="S532" s="71" t="s">
        <v>1503</v>
      </c>
      <c r="T532" s="71" t="s">
        <v>1998</v>
      </c>
    </row>
    <row r="533" spans="1:20" x14ac:dyDescent="0.3">
      <c r="A533" s="72">
        <f>IFERROR(VLOOKUP($G533,Conf!$B:$C,2,0),E533)</f>
        <v>6</v>
      </c>
      <c r="B533" s="72" t="str">
        <f ca="1">IF(D533="Inativo","Inativo",VLOOKUP($S533,Conf!$K:$M,2,0))</f>
        <v>PADARIA</v>
      </c>
      <c r="C533" s="72" t="str">
        <f ca="1">IF(D533="Inativo","Inativo",IFERROR(VLOOKUP($G533,Conf!$F$19:$G$39,2,0),VLOOKUP($S533,Conf!$K:$M,3,0)))</f>
        <v>AUXILIAR</v>
      </c>
      <c r="D533" s="72" t="str">
        <f ca="1">IFERROR(IF(TODAY()-K533&gt;365,"Inativo",IF(J533=2,"Férias",IF(J533=7,"Demitido","Afastamento"))),VLOOKUP(J533,Conf!$H:$I,2,0))</f>
        <v>Ativos</v>
      </c>
      <c r="E533" s="71">
        <v>6</v>
      </c>
      <c r="F533" s="71">
        <v>2082</v>
      </c>
      <c r="G533" s="71" t="s">
        <v>2091</v>
      </c>
      <c r="H533" s="71">
        <v>528</v>
      </c>
      <c r="I533" s="71" t="s">
        <v>222</v>
      </c>
      <c r="J533" s="71">
        <v>1</v>
      </c>
      <c r="K533" s="71" t="s">
        <v>223</v>
      </c>
      <c r="L533" s="71" t="s">
        <v>2092</v>
      </c>
      <c r="M533" s="71" t="s">
        <v>2093</v>
      </c>
      <c r="N533" s="71">
        <v>11243904992</v>
      </c>
      <c r="Q533" s="71">
        <v>0</v>
      </c>
      <c r="R533" s="71" t="s">
        <v>2094</v>
      </c>
      <c r="S533" s="71" t="s">
        <v>574</v>
      </c>
      <c r="T533" s="71" t="s">
        <v>2095</v>
      </c>
    </row>
    <row r="534" spans="1:20" x14ac:dyDescent="0.3">
      <c r="A534" s="72">
        <f>IFERROR(VLOOKUP($G534,Conf!$B:$C,2,0),E534)</f>
        <v>6</v>
      </c>
      <c r="B534" s="72" t="str">
        <f ca="1">IF(D534="Inativo","Inativo",VLOOKUP($S534,Conf!$K:$M,2,0))</f>
        <v>PADARIA</v>
      </c>
      <c r="C534" s="72" t="str">
        <f ca="1">IF(D534="Inativo","Inativo",IFERROR(VLOOKUP($G534,Conf!$F$19:$G$39,2,0),VLOOKUP($S534,Conf!$K:$M,3,0)))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71">
        <v>6</v>
      </c>
      <c r="F534" s="71">
        <v>2</v>
      </c>
      <c r="G534" s="71" t="s">
        <v>2096</v>
      </c>
      <c r="H534" s="71">
        <v>648</v>
      </c>
      <c r="I534" s="71" t="s">
        <v>444</v>
      </c>
      <c r="J534" s="71">
        <v>1</v>
      </c>
      <c r="K534" s="71" t="s">
        <v>223</v>
      </c>
      <c r="L534" s="71" t="s">
        <v>2097</v>
      </c>
      <c r="M534" s="71" t="s">
        <v>449</v>
      </c>
      <c r="N534" s="71">
        <v>36399450934</v>
      </c>
      <c r="O534" s="71" t="s">
        <v>245</v>
      </c>
      <c r="P534" s="71" t="s">
        <v>246</v>
      </c>
      <c r="Q534" s="71">
        <v>0</v>
      </c>
      <c r="R534" s="71" t="s">
        <v>699</v>
      </c>
      <c r="S534" s="71" t="s">
        <v>2098</v>
      </c>
      <c r="T534" s="71" t="s">
        <v>228</v>
      </c>
    </row>
    <row r="535" spans="1:20" x14ac:dyDescent="0.3">
      <c r="A535" s="72">
        <f>IFERROR(VLOOKUP($G535,Conf!$B:$C,2,0),E535)</f>
        <v>6</v>
      </c>
      <c r="B535" s="72" t="str">
        <f ca="1">IF(D535="Inativo","Inativo",VLOOKUP($S535,Conf!$K:$M,2,0))</f>
        <v>PADARIA</v>
      </c>
      <c r="C535" s="72" t="str">
        <f ca="1">IF(D535="Inativo","Inativo",IFERROR(VLOOKUP($G535,Conf!$F$19:$G$39,2,0),VLOOKUP($S535,Conf!$K:$M,3,0)))</f>
        <v>AUXILIAR</v>
      </c>
      <c r="D535" s="72" t="str">
        <f ca="1">IFERROR(IF(TODAY()-K535&gt;365,"Inativo",IF(J535=2,"Férias",IF(J535=7,"Demitido","Afastamento"))),VLOOKUP(J535,Conf!$H:$I,2,0))</f>
        <v>Ativos</v>
      </c>
      <c r="E535" s="71">
        <v>6</v>
      </c>
      <c r="F535" s="71">
        <v>5</v>
      </c>
      <c r="G535" s="71" t="s">
        <v>2099</v>
      </c>
      <c r="H535" s="71">
        <v>23</v>
      </c>
      <c r="I535" s="71" t="s">
        <v>1748</v>
      </c>
      <c r="J535" s="71">
        <v>1</v>
      </c>
      <c r="K535" s="71" t="s">
        <v>223</v>
      </c>
      <c r="L535" s="71" t="s">
        <v>2100</v>
      </c>
      <c r="M535" s="71" t="s">
        <v>538</v>
      </c>
      <c r="N535" s="71">
        <v>13339724318</v>
      </c>
      <c r="O535" s="71" t="s">
        <v>245</v>
      </c>
      <c r="P535" s="71" t="s">
        <v>246</v>
      </c>
      <c r="Q535" s="71">
        <v>0</v>
      </c>
      <c r="R535" s="71" t="s">
        <v>699</v>
      </c>
      <c r="S535" s="71" t="s">
        <v>2098</v>
      </c>
      <c r="T535" s="71" t="s">
        <v>228</v>
      </c>
    </row>
    <row r="536" spans="1:20" x14ac:dyDescent="0.3">
      <c r="A536" s="72">
        <f>IFERROR(VLOOKUP($G536,Conf!$B:$C,2,0),E536)</f>
        <v>6</v>
      </c>
      <c r="B536" s="72" t="str">
        <f ca="1">IF(D536="Inativo","Inativo",VLOOKUP($S536,Conf!$K:$M,2,0))</f>
        <v>PADARIA</v>
      </c>
      <c r="C536" s="72" t="str">
        <f ca="1">IF(D536="Inativo","Inativo",IFERROR(VLOOKUP($G536,Conf!$F$19:$G$39,2,0),VLOOKUP($S536,Conf!$K:$M,3,0)))</f>
        <v>AUXILIAR</v>
      </c>
      <c r="D536" s="72" t="str">
        <f ca="1">IFERROR(IF(TODAY()-K536&gt;365,"Inativo",IF(J536=2,"Férias",IF(J536=7,"Demitido","Afastamento"))),VLOOKUP(J536,Conf!$H:$I,2,0))</f>
        <v>Ativos</v>
      </c>
      <c r="E536" s="71">
        <v>6</v>
      </c>
      <c r="F536" s="71">
        <v>2127</v>
      </c>
      <c r="G536" s="71" t="s">
        <v>2101</v>
      </c>
      <c r="H536" s="71">
        <v>571</v>
      </c>
      <c r="I536" s="71" t="s">
        <v>2049</v>
      </c>
      <c r="J536" s="71">
        <v>1</v>
      </c>
      <c r="K536" s="71" t="s">
        <v>223</v>
      </c>
      <c r="L536" s="71" t="s">
        <v>2102</v>
      </c>
      <c r="M536" s="71" t="s">
        <v>2103</v>
      </c>
      <c r="N536" s="71">
        <v>5740734932</v>
      </c>
      <c r="Q536" s="71">
        <v>0</v>
      </c>
      <c r="R536" s="71" t="s">
        <v>2094</v>
      </c>
      <c r="S536" s="71" t="s">
        <v>574</v>
      </c>
      <c r="T536" s="71" t="s">
        <v>2095</v>
      </c>
    </row>
    <row r="537" spans="1:20" x14ac:dyDescent="0.3">
      <c r="A537" s="72">
        <f>IFERROR(VLOOKUP($G537,Conf!$B:$C,2,0),E537)</f>
        <v>6</v>
      </c>
      <c r="B537" s="72" t="str">
        <f ca="1">IF(D537="Inativo","Inativo",VLOOKUP($S537,Conf!$K:$M,2,0))</f>
        <v>PADARIA</v>
      </c>
      <c r="C537" s="72" t="str">
        <f ca="1">IF(D537="Inativo","Inativo",IFERROR(VLOOKUP($G537,Conf!$F$19:$G$39,2,0),VLOOKUP($S537,Conf!$K:$M,3,0)))</f>
        <v>BALCONISTA</v>
      </c>
      <c r="D537" s="72" t="str">
        <f ca="1">IFERROR(IF(TODAY()-K537&gt;365,"Inativo",IF(J537=2,"Férias",IF(J537=7,"Demitido","Afastamento"))),VLOOKUP(J537,Conf!$H:$I,2,0))</f>
        <v>Ativos</v>
      </c>
      <c r="E537" s="71">
        <v>6</v>
      </c>
      <c r="F537" s="71">
        <v>2254</v>
      </c>
      <c r="G537" s="71" t="s">
        <v>2104</v>
      </c>
      <c r="H537" s="71">
        <v>726</v>
      </c>
      <c r="I537" s="71" t="s">
        <v>839</v>
      </c>
      <c r="J537" s="71">
        <v>1</v>
      </c>
      <c r="K537" s="71" t="s">
        <v>223</v>
      </c>
      <c r="L537" s="71" t="s">
        <v>2105</v>
      </c>
      <c r="M537" s="71" t="s">
        <v>1970</v>
      </c>
      <c r="N537" s="71">
        <v>2832281990</v>
      </c>
      <c r="Q537" s="71">
        <v>0</v>
      </c>
      <c r="R537" s="71" t="s">
        <v>1997</v>
      </c>
      <c r="S537" s="71" t="s">
        <v>1503</v>
      </c>
      <c r="T537" s="71" t="s">
        <v>1998</v>
      </c>
    </row>
    <row r="538" spans="1:20" x14ac:dyDescent="0.3">
      <c r="A538" s="72">
        <f>IFERROR(VLOOKUP($G538,Conf!$B:$C,2,0),E538)</f>
        <v>6</v>
      </c>
      <c r="B538" s="72" t="str">
        <f ca="1">IF(D538="Inativo","Inativo",VLOOKUP($S538,Conf!$K:$M,2,0))</f>
        <v>PADARIA</v>
      </c>
      <c r="C538" s="72" t="str">
        <f ca="1">IF(D538="Inativo","Inativo",IFERROR(VLOOKUP($G538,Conf!$F$19:$G$39,2,0),VLOOKUP($S538,Conf!$K:$M,3,0)))</f>
        <v>BALCONISTA</v>
      </c>
      <c r="D538" s="72" t="str">
        <f ca="1">IFERROR(IF(TODAY()-K538&gt;365,"Inativo",IF(J538=2,"Férias",IF(J538=7,"Demitido","Afastamento"))),VLOOKUP(J538,Conf!$H:$I,2,0))</f>
        <v>Ativos</v>
      </c>
      <c r="E538" s="71">
        <v>6</v>
      </c>
      <c r="F538" s="71">
        <v>2284</v>
      </c>
      <c r="G538" s="71" t="s">
        <v>2106</v>
      </c>
      <c r="H538" s="71">
        <v>521</v>
      </c>
      <c r="I538" s="71" t="s">
        <v>222</v>
      </c>
      <c r="J538" s="71">
        <v>1</v>
      </c>
      <c r="K538" s="71" t="s">
        <v>223</v>
      </c>
      <c r="L538" s="71" t="s">
        <v>2107</v>
      </c>
      <c r="M538" s="71" t="s">
        <v>1629</v>
      </c>
      <c r="N538" s="71">
        <v>2095896980</v>
      </c>
      <c r="Q538" s="71">
        <v>0</v>
      </c>
      <c r="R538" s="71" t="s">
        <v>1997</v>
      </c>
      <c r="S538" s="71" t="s">
        <v>1503</v>
      </c>
      <c r="T538" s="71" t="s">
        <v>1998</v>
      </c>
    </row>
    <row r="539" spans="1:20" x14ac:dyDescent="0.3">
      <c r="A539" s="72">
        <f>IFERROR(VLOOKUP($G539,Conf!$B:$C,2,0),E539)</f>
        <v>6</v>
      </c>
      <c r="B539" s="72" t="str">
        <f ca="1">IF(D539="Inativo","Inativo",VLOOKUP($S539,Conf!$K:$M,2,0))</f>
        <v>PADARIA</v>
      </c>
      <c r="C539" s="72" t="str">
        <f ca="1">IF(D539="Inativo","Inativo",IFERROR(VLOOKUP($G539,Conf!$F$19:$G$39,2,0),VLOOKUP($S539,Conf!$K:$M,3,0)))</f>
        <v>BALCONISTA</v>
      </c>
      <c r="D539" s="72" t="str">
        <f ca="1">IFERROR(IF(TODAY()-K539&gt;365,"Inativo",IF(J539=2,"Férias",IF(J539=7,"Demitido","Afastamento"))),VLOOKUP(J539,Conf!$H:$I,2,0))</f>
        <v>Afastamento</v>
      </c>
      <c r="E539" s="71">
        <v>6</v>
      </c>
      <c r="F539" s="71">
        <v>9</v>
      </c>
      <c r="G539" s="71" t="s">
        <v>2108</v>
      </c>
      <c r="H539" s="71">
        <v>47</v>
      </c>
      <c r="I539" s="71" t="s">
        <v>222</v>
      </c>
      <c r="J539" s="71">
        <v>14</v>
      </c>
      <c r="K539" s="71" t="s">
        <v>3661</v>
      </c>
      <c r="L539" s="71" t="s">
        <v>2109</v>
      </c>
      <c r="M539" s="71" t="s">
        <v>2110</v>
      </c>
      <c r="N539" s="71">
        <v>12369908971</v>
      </c>
      <c r="O539" s="71" t="s">
        <v>245</v>
      </c>
      <c r="P539" s="71" t="s">
        <v>246</v>
      </c>
      <c r="Q539" s="71">
        <v>0</v>
      </c>
      <c r="R539" s="71" t="s">
        <v>720</v>
      </c>
      <c r="S539" s="71" t="s">
        <v>2111</v>
      </c>
      <c r="T539" s="71" t="s">
        <v>722</v>
      </c>
    </row>
    <row r="540" spans="1:20" x14ac:dyDescent="0.3">
      <c r="A540" s="72">
        <f>IFERROR(VLOOKUP($G540,Conf!$B:$C,2,0),E540)</f>
        <v>6</v>
      </c>
      <c r="B540" s="72" t="str">
        <f ca="1">IF(D540="Inativo","Inativo",VLOOKUP($S540,Conf!$K:$M,2,0))</f>
        <v>PADARIA</v>
      </c>
      <c r="C540" s="72" t="str">
        <f ca="1">IF(D540="Inativo","Inativo",IFERROR(VLOOKUP($G540,Conf!$F$19:$G$39,2,0),VLOOKUP($S540,Conf!$K:$M,3,0)))</f>
        <v>BALCONISTA</v>
      </c>
      <c r="D540" s="72" t="str">
        <f ca="1">IFERROR(IF(TODAY()-K540&gt;365,"Inativo",IF(J540=2,"Férias",IF(J540=7,"Demitido","Afastamento"))),VLOOKUP(J540,Conf!$H:$I,2,0))</f>
        <v>Ativos</v>
      </c>
      <c r="E540" s="71">
        <v>6</v>
      </c>
      <c r="F540" s="71">
        <v>2205</v>
      </c>
      <c r="G540" s="71" t="s">
        <v>2112</v>
      </c>
      <c r="H540" s="71">
        <v>522</v>
      </c>
      <c r="I540" s="71" t="s">
        <v>222</v>
      </c>
      <c r="J540" s="71">
        <v>1</v>
      </c>
      <c r="K540" s="71" t="s">
        <v>223</v>
      </c>
      <c r="L540" s="71" t="s">
        <v>2113</v>
      </c>
      <c r="M540" s="71" t="s">
        <v>442</v>
      </c>
      <c r="N540" s="71">
        <v>49109308920</v>
      </c>
      <c r="Q540" s="71">
        <v>0</v>
      </c>
      <c r="R540" s="71" t="s">
        <v>1997</v>
      </c>
      <c r="S540" s="71" t="s">
        <v>1503</v>
      </c>
      <c r="T540" s="71" t="s">
        <v>1998</v>
      </c>
    </row>
    <row r="541" spans="1:20" x14ac:dyDescent="0.3">
      <c r="A541" s="72">
        <f>IFERROR(VLOOKUP($G541,Conf!$B:$C,2,0),E541)</f>
        <v>6</v>
      </c>
      <c r="B541" s="72" t="str">
        <f ca="1">IF(D541="Inativo","Inativo",VLOOKUP($S541,Conf!$K:$M,2,0))</f>
        <v>PADARIA</v>
      </c>
      <c r="C541" s="72" t="str">
        <f ca="1">IF(D541="Inativo","Inativo",IFERROR(VLOOKUP($G541,Conf!$F$19:$G$39,2,0),VLOOKUP($S541,Conf!$K:$M,3,0)))</f>
        <v>BALCONISTA</v>
      </c>
      <c r="D541" s="72" t="str">
        <f ca="1">IFERROR(IF(TODAY()-K541&gt;365,"Inativo",IF(J541=2,"Férias",IF(J541=7,"Demitido","Afastamento"))),VLOOKUP(J541,Conf!$H:$I,2,0))</f>
        <v>Demitido</v>
      </c>
      <c r="E541" s="71">
        <v>6</v>
      </c>
      <c r="F541" s="71">
        <v>8</v>
      </c>
      <c r="G541" s="71" t="s">
        <v>2114</v>
      </c>
      <c r="H541" s="71">
        <v>47</v>
      </c>
      <c r="I541" s="71" t="s">
        <v>222</v>
      </c>
      <c r="J541" s="71">
        <v>7</v>
      </c>
      <c r="K541" s="71" t="s">
        <v>840</v>
      </c>
      <c r="L541" s="71" t="s">
        <v>2115</v>
      </c>
      <c r="M541" s="71" t="s">
        <v>2110</v>
      </c>
      <c r="N541" s="71">
        <v>1116678950</v>
      </c>
      <c r="O541" s="71" t="s">
        <v>245</v>
      </c>
      <c r="P541" s="71" t="s">
        <v>246</v>
      </c>
      <c r="Q541" s="71">
        <v>0</v>
      </c>
      <c r="R541" s="71" t="s">
        <v>720</v>
      </c>
      <c r="S541" s="71" t="s">
        <v>2111</v>
      </c>
      <c r="T541" s="71" t="s">
        <v>722</v>
      </c>
    </row>
    <row r="542" spans="1:20" x14ac:dyDescent="0.3">
      <c r="A542" s="72">
        <f>IFERROR(VLOOKUP($G542,Conf!$B:$C,2,0),E542)</f>
        <v>6</v>
      </c>
      <c r="B542" s="72" t="str">
        <f ca="1">IF(D542="Inativo","Inativo",VLOOKUP($S542,Conf!$K:$M,2,0))</f>
        <v>ROTISSERIA</v>
      </c>
      <c r="C542" s="72" t="str">
        <f ca="1">IF(D542="Inativo","Inativo",IFERROR(VLOOKUP($G542,Conf!$F$19:$G$39,2,0),VLOOKUP($S542,Conf!$K:$M,3,0)))</f>
        <v>AUXILIAR</v>
      </c>
      <c r="D542" s="72" t="str">
        <f ca="1">IFERROR(IF(TODAY()-K542&gt;365,"Inativo",IF(J542=2,"Férias",IF(J542=7,"Demitido","Afastamento"))),VLOOKUP(J542,Conf!$H:$I,2,0))</f>
        <v>Ativos</v>
      </c>
      <c r="E542" s="71">
        <v>6</v>
      </c>
      <c r="F542" s="71">
        <v>1749</v>
      </c>
      <c r="G542" s="71" t="s">
        <v>2116</v>
      </c>
      <c r="H542" s="71">
        <v>6</v>
      </c>
      <c r="I542" s="71" t="s">
        <v>230</v>
      </c>
      <c r="J542" s="71">
        <v>1</v>
      </c>
      <c r="K542" s="71" t="s">
        <v>223</v>
      </c>
      <c r="L542" s="71" t="s">
        <v>2117</v>
      </c>
      <c r="M542" s="71" t="s">
        <v>2118</v>
      </c>
      <c r="N542" s="71">
        <v>4705031903</v>
      </c>
      <c r="Q542" s="71">
        <v>0</v>
      </c>
      <c r="R542" s="71" t="s">
        <v>2119</v>
      </c>
      <c r="S542" s="71" t="s">
        <v>2120</v>
      </c>
      <c r="T542" s="71" t="s">
        <v>2121</v>
      </c>
    </row>
    <row r="543" spans="1:20" x14ac:dyDescent="0.3">
      <c r="A543" s="72">
        <f>IFERROR(VLOOKUP($G543,Conf!$B:$C,2,0),E543)</f>
        <v>6</v>
      </c>
      <c r="B543" s="72" t="str">
        <f ca="1">IF(D543="Inativo","Inativo",VLOOKUP($S543,Conf!$K:$M,2,0))</f>
        <v>PADARIA</v>
      </c>
      <c r="C543" s="72" t="str">
        <f ca="1">IF(D543="Inativo","Inativo",IFERROR(VLOOKUP($G543,Conf!$F$19:$G$39,2,0),VLOOKUP($S543,Conf!$K:$M,3,0)))</f>
        <v>ENCARREGADO</v>
      </c>
      <c r="D543" s="72" t="str">
        <f ca="1">IFERROR(IF(TODAY()-K543&gt;365,"Inativo",IF(J543=2,"Férias",IF(J543=7,"Demitido","Afastamento"))),VLOOKUP(J543,Conf!$H:$I,2,0))</f>
        <v>Ativos</v>
      </c>
      <c r="E543" s="71">
        <v>6</v>
      </c>
      <c r="F543" s="71">
        <v>735</v>
      </c>
      <c r="G543" s="71" t="s">
        <v>2122</v>
      </c>
      <c r="H543" s="71">
        <v>541</v>
      </c>
      <c r="I543" s="71" t="s">
        <v>287</v>
      </c>
      <c r="J543" s="71">
        <v>1</v>
      </c>
      <c r="K543" s="71" t="s">
        <v>223</v>
      </c>
      <c r="L543" s="71" t="s">
        <v>2123</v>
      </c>
      <c r="M543" s="71" t="s">
        <v>2002</v>
      </c>
      <c r="N543" s="71">
        <v>3654807976</v>
      </c>
      <c r="Q543" s="71">
        <v>0</v>
      </c>
      <c r="R543" s="71" t="s">
        <v>2124</v>
      </c>
      <c r="S543" s="71" t="s">
        <v>1059</v>
      </c>
      <c r="T543" s="71" t="s">
        <v>1801</v>
      </c>
    </row>
    <row r="544" spans="1:20" x14ac:dyDescent="0.3">
      <c r="A544" s="72">
        <f>IFERROR(VLOOKUP($G544,Conf!$B:$C,2,0),E544)</f>
        <v>6</v>
      </c>
      <c r="B544" s="72" t="str">
        <f ca="1">IF(D544="Inativo","Inativo",VLOOKUP($S544,Conf!$K:$M,2,0))</f>
        <v>PADARIA</v>
      </c>
      <c r="C544" s="72" t="str">
        <f ca="1">IF(D544="Inativo","Inativo",IFERROR(VLOOKUP($G544,Conf!$F$19:$G$39,2,0),VLOOKUP($S544,Conf!$K:$M,3,0)))</f>
        <v>ENCARREGADO</v>
      </c>
      <c r="D544" s="72" t="str">
        <f ca="1">IFERROR(IF(TODAY()-K544&gt;365,"Inativo",IF(J544=2,"Férias",IF(J544=7,"Demitido","Afastamento"))),VLOOKUP(J544,Conf!$H:$I,2,0))</f>
        <v>Ativos</v>
      </c>
      <c r="E544" s="71">
        <v>6</v>
      </c>
      <c r="F544" s="71">
        <v>976</v>
      </c>
      <c r="G544" s="71" t="s">
        <v>2125</v>
      </c>
      <c r="H544" s="71">
        <v>45</v>
      </c>
      <c r="I544" s="71" t="s">
        <v>306</v>
      </c>
      <c r="J544" s="71">
        <v>1</v>
      </c>
      <c r="K544" s="71" t="s">
        <v>223</v>
      </c>
      <c r="L544" s="71" t="s">
        <v>2126</v>
      </c>
      <c r="M544" s="71" t="s">
        <v>2127</v>
      </c>
      <c r="N544" s="71">
        <v>68967560982</v>
      </c>
      <c r="Q544" s="71">
        <v>0</v>
      </c>
      <c r="R544" s="71" t="s">
        <v>2128</v>
      </c>
      <c r="S544" s="71" t="s">
        <v>2129</v>
      </c>
      <c r="T544" s="71" t="s">
        <v>2130</v>
      </c>
    </row>
    <row r="545" spans="1:20" x14ac:dyDescent="0.3">
      <c r="A545" s="72">
        <f>IFERROR(VLOOKUP($G545,Conf!$B:$C,2,0),E545)</f>
        <v>6</v>
      </c>
      <c r="B545" s="72" t="str">
        <f ca="1">IF(D545="Inativo","Inativo",VLOOKUP($S545,Conf!$K:$M,2,0))</f>
        <v>PADARIA</v>
      </c>
      <c r="C545" s="72" t="str">
        <f ca="1">IF(D545="Inativo","Inativo",IFERROR(VLOOKUP($G545,Conf!$F$19:$G$39,2,0),VLOOKUP($S545,Conf!$K:$M,3,0)))</f>
        <v>SALGADEIRO(A)</v>
      </c>
      <c r="D545" s="72" t="str">
        <f ca="1">IFERROR(IF(TODAY()-K545&gt;365,"Inativo",IF(J545=2,"Férias",IF(J545=7,"Demitido","Afastamento"))),VLOOKUP(J545,Conf!$H:$I,2,0))</f>
        <v>Ativos</v>
      </c>
      <c r="E545" s="71">
        <v>6</v>
      </c>
      <c r="F545" s="71">
        <v>1603</v>
      </c>
      <c r="G545" s="71" t="s">
        <v>2131</v>
      </c>
      <c r="H545" s="71">
        <v>166</v>
      </c>
      <c r="I545" s="71" t="s">
        <v>347</v>
      </c>
      <c r="J545" s="71">
        <v>1</v>
      </c>
      <c r="K545" s="71" t="s">
        <v>223</v>
      </c>
      <c r="L545" s="71" t="s">
        <v>2132</v>
      </c>
      <c r="M545" s="71" t="s">
        <v>2133</v>
      </c>
      <c r="N545" s="71">
        <v>5409922913</v>
      </c>
      <c r="Q545" s="71">
        <v>0</v>
      </c>
      <c r="R545" s="71" t="s">
        <v>2134</v>
      </c>
      <c r="S545" s="71" t="s">
        <v>1071</v>
      </c>
      <c r="T545" s="71" t="s">
        <v>2135</v>
      </c>
    </row>
    <row r="546" spans="1:20" x14ac:dyDescent="0.3">
      <c r="A546" s="72">
        <f>IFERROR(VLOOKUP($G546,Conf!$B:$C,2,0),E546)</f>
        <v>6</v>
      </c>
      <c r="B546" s="72" t="str">
        <f ca="1">IF(D546="Inativo","Inativo",VLOOKUP($S546,Conf!$K:$M,2,0))</f>
        <v>PADARIA</v>
      </c>
      <c r="C546" s="72" t="str">
        <f ca="1">IF(D546="Inativo","Inativo",IFERROR(VLOOKUP($G546,Conf!$F$19:$G$39,2,0),VLOOKUP($S546,Conf!$K:$M,3,0)))</f>
        <v>PADEIRO(A)</v>
      </c>
      <c r="D546" s="72" t="str">
        <f ca="1">IFERROR(IF(TODAY()-K546&gt;365,"Inativo",IF(J546=2,"Férias",IF(J546=7,"Demitido","Afastamento"))),VLOOKUP(J546,Conf!$H:$I,2,0))</f>
        <v>Demitido</v>
      </c>
      <c r="E546" s="71">
        <v>6</v>
      </c>
      <c r="F546" s="71">
        <v>2140</v>
      </c>
      <c r="G546" s="71" t="s">
        <v>2136</v>
      </c>
      <c r="H546" s="71">
        <v>45</v>
      </c>
      <c r="I546" s="71" t="s">
        <v>306</v>
      </c>
      <c r="J546" s="71">
        <v>7</v>
      </c>
      <c r="K546" s="71" t="s">
        <v>3679</v>
      </c>
      <c r="L546" s="71" t="s">
        <v>2137</v>
      </c>
      <c r="M546" s="71" t="s">
        <v>2138</v>
      </c>
      <c r="N546" s="71">
        <v>80154298972</v>
      </c>
      <c r="Q546" s="71">
        <v>0</v>
      </c>
      <c r="R546" s="71" t="s">
        <v>2139</v>
      </c>
      <c r="S546" s="71" t="s">
        <v>752</v>
      </c>
      <c r="T546" s="71" t="s">
        <v>1812</v>
      </c>
    </row>
    <row r="547" spans="1:20" x14ac:dyDescent="0.3">
      <c r="A547" s="72">
        <f>IFERROR(VLOOKUP($G547,Conf!$B:$C,2,0),E547)</f>
        <v>6</v>
      </c>
      <c r="B547" s="72" t="str">
        <f ca="1">IF(D547="Inativo","Inativo",VLOOKUP($S547,Conf!$K:$M,2,0))</f>
        <v>PADARIA</v>
      </c>
      <c r="C547" s="72" t="str">
        <f ca="1">IF(D547="Inativo","Inativo",IFERROR(VLOOKUP($G547,Conf!$F$19:$G$39,2,0),VLOOKUP($S547,Conf!$K:$M,3,0)))</f>
        <v>PADEIRO(A)</v>
      </c>
      <c r="D547" s="72" t="str">
        <f ca="1">IFERROR(IF(TODAY()-K547&gt;365,"Inativo",IF(J547=2,"Férias",IF(J547=7,"Demitido","Afastamento"))),VLOOKUP(J547,Conf!$H:$I,2,0))</f>
        <v>Ativos</v>
      </c>
      <c r="E547" s="71">
        <v>6</v>
      </c>
      <c r="F547" s="71">
        <v>2358</v>
      </c>
      <c r="G547" s="71" t="s">
        <v>2140</v>
      </c>
      <c r="H547" s="71">
        <v>45</v>
      </c>
      <c r="I547" s="71" t="s">
        <v>306</v>
      </c>
      <c r="J547" s="71">
        <v>1</v>
      </c>
      <c r="K547" s="71" t="s">
        <v>223</v>
      </c>
      <c r="L547" s="71" t="s">
        <v>2141</v>
      </c>
      <c r="M547" s="71" t="s">
        <v>483</v>
      </c>
      <c r="N547" s="71">
        <v>49358217871</v>
      </c>
      <c r="O547" s="71" t="s">
        <v>245</v>
      </c>
      <c r="P547" s="71" t="s">
        <v>246</v>
      </c>
      <c r="Q547" s="71">
        <v>0</v>
      </c>
      <c r="R547" s="71" t="s">
        <v>2139</v>
      </c>
      <c r="S547" s="71" t="s">
        <v>752</v>
      </c>
      <c r="T547" s="71" t="s">
        <v>1812</v>
      </c>
    </row>
    <row r="548" spans="1:20" x14ac:dyDescent="0.3">
      <c r="A548" s="72">
        <f>IFERROR(VLOOKUP($G548,Conf!$B:$C,2,0),E548)</f>
        <v>6</v>
      </c>
      <c r="B548" s="72" t="str">
        <f ca="1">IF(D548="Inativo","Inativo",VLOOKUP($S548,Conf!$K:$M,2,0))</f>
        <v>PORTARIA</v>
      </c>
      <c r="C548" s="72" t="str">
        <f ca="1">IF(D548="Inativo","Inativo",IFERROR(VLOOKUP($G548,Conf!$F$19:$G$39,2,0),VLOOKUP($S548,Conf!$K:$M,3,0)))</f>
        <v>PORTEIRO</v>
      </c>
      <c r="D548" s="72" t="str">
        <f ca="1">IFERROR(IF(TODAY()-K548&gt;365,"Inativo",IF(J548=2,"Férias",IF(J548=7,"Demitido","Afastamento"))),VLOOKUP(J548,Conf!$H:$I,2,0))</f>
        <v>Ativos</v>
      </c>
      <c r="E548" s="71">
        <v>6</v>
      </c>
      <c r="F548" s="71">
        <v>2227</v>
      </c>
      <c r="G548" s="71" t="s">
        <v>2142</v>
      </c>
      <c r="H548" s="71">
        <v>47</v>
      </c>
      <c r="I548" s="71" t="s">
        <v>222</v>
      </c>
      <c r="J548" s="71">
        <v>1</v>
      </c>
      <c r="K548" s="71" t="s">
        <v>223</v>
      </c>
      <c r="L548" s="71" t="s">
        <v>2143</v>
      </c>
      <c r="M548" s="71" t="s">
        <v>1370</v>
      </c>
      <c r="N548" s="71">
        <v>5598074818</v>
      </c>
      <c r="Q548" s="71">
        <v>0</v>
      </c>
      <c r="R548" s="71" t="s">
        <v>2144</v>
      </c>
      <c r="S548" s="71" t="s">
        <v>1816</v>
      </c>
      <c r="T548" s="71" t="s">
        <v>1817</v>
      </c>
    </row>
    <row r="549" spans="1:20" x14ac:dyDescent="0.3">
      <c r="A549" s="72">
        <f>IFERROR(VLOOKUP($G549,Conf!$B:$C,2,0),E549)</f>
        <v>6</v>
      </c>
      <c r="B549" s="72" t="str">
        <f ca="1">IF(D549="Inativo","Inativo",VLOOKUP($S549,Conf!$K:$M,2,0))</f>
        <v>PORTARIA</v>
      </c>
      <c r="C549" s="72" t="str">
        <f ca="1">IF(D549="Inativo","Inativo",IFERROR(VLOOKUP($G549,Conf!$F$19:$G$39,2,0),VLOOKUP($S549,Conf!$K:$M,3,0)))</f>
        <v>PORTEIRO</v>
      </c>
      <c r="D549" s="72" t="str">
        <f ca="1">IFERROR(IF(TODAY()-K549&gt;365,"Inativo",IF(J549=2,"Férias",IF(J549=7,"Demitido","Afastamento"))),VLOOKUP(J549,Conf!$H:$I,2,0))</f>
        <v>Ativos</v>
      </c>
      <c r="E549" s="71">
        <v>6</v>
      </c>
      <c r="F549" s="71">
        <v>2327</v>
      </c>
      <c r="G549" s="71" t="s">
        <v>2145</v>
      </c>
      <c r="H549" s="71">
        <v>47</v>
      </c>
      <c r="I549" s="71" t="s">
        <v>222</v>
      </c>
      <c r="J549" s="71">
        <v>1</v>
      </c>
      <c r="K549" s="71" t="s">
        <v>223</v>
      </c>
      <c r="L549" s="71" t="s">
        <v>2146</v>
      </c>
      <c r="M549" s="71" t="s">
        <v>492</v>
      </c>
      <c r="N549" s="71">
        <v>73715980915</v>
      </c>
      <c r="Q549" s="71">
        <v>0</v>
      </c>
      <c r="R549" s="71" t="s">
        <v>2144</v>
      </c>
      <c r="S549" s="71" t="s">
        <v>1816</v>
      </c>
      <c r="T549" s="71" t="s">
        <v>1817</v>
      </c>
    </row>
    <row r="550" spans="1:20" x14ac:dyDescent="0.3">
      <c r="A550" s="72">
        <f>IFERROR(VLOOKUP($G550,Conf!$B:$C,2,0),E550)</f>
        <v>6</v>
      </c>
      <c r="B550" s="72" t="str">
        <f ca="1">IF(D550="Inativo","Inativo",VLOOKUP($S550,Conf!$K:$M,2,0))</f>
        <v>PORTARIA</v>
      </c>
      <c r="C550" s="72" t="str">
        <f ca="1">IF(D550="Inativo","Inativo",IFERROR(VLOOKUP($G550,Conf!$F$19:$G$39,2,0),VLOOKUP($S550,Conf!$K:$M,3,0)))</f>
        <v>PORTEIRO</v>
      </c>
      <c r="D550" s="72" t="str">
        <f ca="1">IFERROR(IF(TODAY()-K550&gt;365,"Inativo",IF(J550=2,"Férias",IF(J550=7,"Demitido","Afastamento"))),VLOOKUP(J550,Conf!$H:$I,2,0))</f>
        <v>Ativos</v>
      </c>
      <c r="E550" s="71">
        <v>6</v>
      </c>
      <c r="F550" s="71">
        <v>11</v>
      </c>
      <c r="G550" s="71" t="s">
        <v>2147</v>
      </c>
      <c r="H550" s="71">
        <v>47</v>
      </c>
      <c r="I550" s="71" t="s">
        <v>222</v>
      </c>
      <c r="J550" s="71">
        <v>1</v>
      </c>
      <c r="K550" s="71" t="s">
        <v>223</v>
      </c>
      <c r="L550" s="71" t="s">
        <v>2148</v>
      </c>
      <c r="M550" s="71" t="s">
        <v>231</v>
      </c>
      <c r="N550" s="71">
        <v>5869141028</v>
      </c>
      <c r="O550" s="71" t="s">
        <v>245</v>
      </c>
      <c r="P550" s="71" t="s">
        <v>246</v>
      </c>
      <c r="Q550" s="71">
        <v>0</v>
      </c>
      <c r="R550" s="71" t="s">
        <v>764</v>
      </c>
      <c r="S550" s="71" t="s">
        <v>2149</v>
      </c>
      <c r="T550" s="71" t="s">
        <v>693</v>
      </c>
    </row>
    <row r="551" spans="1:20" x14ac:dyDescent="0.3">
      <c r="A551" s="72">
        <f>IFERROR(VLOOKUP($G551,Conf!$B:$C,2,0),E551)</f>
        <v>6</v>
      </c>
      <c r="B551" s="72" t="str">
        <f ca="1">IF(D551="Inativo","Inativo",VLOOKUP($S551,Conf!$K:$M,2,0))</f>
        <v>ROTISSERIA</v>
      </c>
      <c r="C551" s="72" t="str">
        <f ca="1">IF(D551="Inativo","Inativo",IFERROR(VLOOKUP($G551,Conf!$F$19:$G$39,2,0),VLOOKUP($S551,Conf!$K:$M,3,0)))</f>
        <v>COZINHEIRO</v>
      </c>
      <c r="D551" s="72" t="str">
        <f ca="1">IFERROR(IF(TODAY()-K551&gt;365,"Inativo",IF(J551=2,"Férias",IF(J551=7,"Demitido","Afastamento"))),VLOOKUP(J551,Conf!$H:$I,2,0))</f>
        <v>Ativos</v>
      </c>
      <c r="E551" s="71">
        <v>6</v>
      </c>
      <c r="F551" s="71">
        <v>824</v>
      </c>
      <c r="G551" s="71" t="s">
        <v>2150</v>
      </c>
      <c r="H551" s="71">
        <v>503</v>
      </c>
      <c r="I551" s="71" t="s">
        <v>306</v>
      </c>
      <c r="J551" s="71">
        <v>1</v>
      </c>
      <c r="K551" s="71" t="s">
        <v>223</v>
      </c>
      <c r="L551" s="71" t="s">
        <v>2151</v>
      </c>
      <c r="M551" s="71" t="s">
        <v>2152</v>
      </c>
      <c r="N551" s="71">
        <v>767585917</v>
      </c>
      <c r="Q551" s="71">
        <v>0</v>
      </c>
      <c r="R551" s="71" t="s">
        <v>2153</v>
      </c>
      <c r="S551" s="71" t="s">
        <v>776</v>
      </c>
      <c r="T551" s="71" t="s">
        <v>2154</v>
      </c>
    </row>
    <row r="552" spans="1:20" x14ac:dyDescent="0.3">
      <c r="A552" s="72">
        <f>IFERROR(VLOOKUP($G552,Conf!$B:$C,2,0),E552)</f>
        <v>6</v>
      </c>
      <c r="B552" s="72" t="str">
        <f ca="1">IF(D552="Inativo","Inativo",VLOOKUP($S552,Conf!$K:$M,2,0))</f>
        <v>ROTISSERIA</v>
      </c>
      <c r="C552" s="72" t="str">
        <f ca="1">IF(D552="Inativo","Inativo",IFERROR(VLOOKUP($G552,Conf!$F$19:$G$39,2,0),VLOOKUP($S552,Conf!$K:$M,3,0)))</f>
        <v>COZINHEIRO</v>
      </c>
      <c r="D552" s="72" t="str">
        <f ca="1">IFERROR(IF(TODAY()-K552&gt;365,"Inativo",IF(J552=2,"Férias",IF(J552=7,"Demitido","Afastamento"))),VLOOKUP(J552,Conf!$H:$I,2,0))</f>
        <v>Afastamento</v>
      </c>
      <c r="E552" s="71">
        <v>6</v>
      </c>
      <c r="F552" s="71">
        <v>1622</v>
      </c>
      <c r="G552" s="71" t="s">
        <v>2155</v>
      </c>
      <c r="H552" s="71">
        <v>509</v>
      </c>
      <c r="I552" s="71" t="s">
        <v>2156</v>
      </c>
      <c r="J552" s="71">
        <v>3</v>
      </c>
      <c r="K552" s="71" t="s">
        <v>423</v>
      </c>
      <c r="L552" s="71" t="s">
        <v>2157</v>
      </c>
      <c r="M552" s="71" t="s">
        <v>2158</v>
      </c>
      <c r="N552" s="71">
        <v>3518810936</v>
      </c>
      <c r="Q552" s="71">
        <v>0</v>
      </c>
      <c r="R552" s="71" t="s">
        <v>2153</v>
      </c>
      <c r="S552" s="71" t="s">
        <v>776</v>
      </c>
      <c r="T552" s="71" t="s">
        <v>2154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AÇOUGUE</v>
      </c>
      <c r="C553" s="72" t="str">
        <f ca="1">IF(D553="Inativo","Inativo",IFERROR(VLOOKUP($G553,Conf!$F$19:$G$39,2,0),VLOOKUP($S553,Conf!$K:$M,3,0)))</f>
        <v>AÇOUGUEIRO</v>
      </c>
      <c r="D553" s="72" t="str">
        <f ca="1">IFERROR(IF(TODAY()-K553&gt;365,"Inativo",IF(J553=2,"Férias",IF(J553=7,"Demitido","Afastamento"))),VLOOKUP(J553,Conf!$H:$I,2,0))</f>
        <v>Demitido</v>
      </c>
      <c r="E553" s="71">
        <v>7</v>
      </c>
      <c r="F553" s="71">
        <v>172</v>
      </c>
      <c r="G553" s="71" t="s">
        <v>2159</v>
      </c>
      <c r="H553" s="71">
        <v>1013</v>
      </c>
      <c r="I553" s="71" t="s">
        <v>772</v>
      </c>
      <c r="J553" s="71">
        <v>7</v>
      </c>
      <c r="K553" s="71" t="s">
        <v>527</v>
      </c>
      <c r="L553" s="71" t="s">
        <v>2160</v>
      </c>
      <c r="M553" s="71" t="s">
        <v>2161</v>
      </c>
      <c r="N553" s="71">
        <v>80050214969</v>
      </c>
      <c r="Q553" s="71">
        <v>0</v>
      </c>
      <c r="R553" s="71" t="s">
        <v>2162</v>
      </c>
      <c r="S553" s="71" t="s">
        <v>2163</v>
      </c>
      <c r="T553" s="71" t="s">
        <v>2164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AÇOUGUE</v>
      </c>
      <c r="C554" s="72" t="str">
        <f ca="1">IF(D554="Inativo","Inativo",IFERROR(VLOOKUP($G554,Conf!$F$19:$G$39,2,0),VLOOKUP($S554,Conf!$K:$M,3,0)))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254</v>
      </c>
      <c r="G554" s="71" t="s">
        <v>2165</v>
      </c>
      <c r="H554" s="71">
        <v>943</v>
      </c>
      <c r="I554" s="71" t="s">
        <v>740</v>
      </c>
      <c r="J554" s="71">
        <v>1</v>
      </c>
      <c r="K554" s="71" t="s">
        <v>223</v>
      </c>
      <c r="L554" s="71" t="s">
        <v>2166</v>
      </c>
      <c r="M554" s="71" t="s">
        <v>2167</v>
      </c>
      <c r="N554" s="71">
        <v>14745206933</v>
      </c>
      <c r="Q554" s="71">
        <v>0</v>
      </c>
      <c r="R554" s="71" t="s">
        <v>2162</v>
      </c>
      <c r="S554" s="71" t="s">
        <v>2163</v>
      </c>
      <c r="T554" s="71" t="s">
        <v>2164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AÇOUGUE</v>
      </c>
      <c r="C555" s="72" t="str">
        <f ca="1">IF(D555="Inativo","Inativo",IFERROR(VLOOKUP($G555,Conf!$F$19:$G$39,2,0),VLOOKUP($S555,Conf!$K:$M,3,0)))</f>
        <v>AÇOUGUEIRO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258</v>
      </c>
      <c r="G555" s="71" t="s">
        <v>2168</v>
      </c>
      <c r="H555" s="71">
        <v>932</v>
      </c>
      <c r="I555" s="71" t="s">
        <v>222</v>
      </c>
      <c r="J555" s="71">
        <v>1</v>
      </c>
      <c r="K555" s="71" t="s">
        <v>223</v>
      </c>
      <c r="L555" s="71" t="s">
        <v>2169</v>
      </c>
      <c r="M555" s="71" t="s">
        <v>2170</v>
      </c>
      <c r="N555" s="71">
        <v>10485812924</v>
      </c>
      <c r="Q555" s="71">
        <v>0</v>
      </c>
      <c r="R555" s="71" t="s">
        <v>2162</v>
      </c>
      <c r="S555" s="71" t="s">
        <v>2163</v>
      </c>
      <c r="T555" s="71" t="s">
        <v>2164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AÇOUGUE</v>
      </c>
      <c r="C556" s="72" t="str">
        <f ca="1">IF(D556="Inativo","Inativo",IFERROR(VLOOKUP($G556,Conf!$F$19:$G$39,2,0),VLOOKUP($S556,Conf!$K:$M,3,0)))</f>
        <v>AÇOUGUEIRO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244</v>
      </c>
      <c r="G556" s="71" t="s">
        <v>2171</v>
      </c>
      <c r="H556" s="71">
        <v>919</v>
      </c>
      <c r="I556" s="71" t="s">
        <v>222</v>
      </c>
      <c r="J556" s="71">
        <v>1</v>
      </c>
      <c r="K556" s="71" t="s">
        <v>223</v>
      </c>
      <c r="L556" s="71" t="s">
        <v>2172</v>
      </c>
      <c r="M556" s="71" t="s">
        <v>1233</v>
      </c>
      <c r="N556" s="71">
        <v>14585271902</v>
      </c>
      <c r="Q556" s="71">
        <v>0</v>
      </c>
      <c r="R556" s="71" t="s">
        <v>2162</v>
      </c>
      <c r="S556" s="71" t="s">
        <v>2163</v>
      </c>
      <c r="T556" s="71" t="s">
        <v>2164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AÇOUGUE</v>
      </c>
      <c r="C557" s="72" t="str">
        <f ca="1">IF(D557="Inativo","Inativo",IFERROR(VLOOKUP($G557,Conf!$F$19:$G$39,2,0),VLOOKUP($S557,Conf!$K:$M,3,0)))</f>
        <v>AÇOUGUEIRO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222</v>
      </c>
      <c r="G557" s="71" t="s">
        <v>2173</v>
      </c>
      <c r="H557" s="71">
        <v>917</v>
      </c>
      <c r="I557" s="71" t="s">
        <v>222</v>
      </c>
      <c r="J557" s="71">
        <v>1</v>
      </c>
      <c r="K557" s="71" t="s">
        <v>223</v>
      </c>
      <c r="L557" s="71" t="s">
        <v>2174</v>
      </c>
      <c r="M557" s="71" t="s">
        <v>2175</v>
      </c>
      <c r="N557" s="71">
        <v>6612774967</v>
      </c>
      <c r="Q557" s="71">
        <v>0</v>
      </c>
      <c r="R557" s="71" t="s">
        <v>2162</v>
      </c>
      <c r="S557" s="71" t="s">
        <v>2163</v>
      </c>
      <c r="T557" s="71" t="s">
        <v>2164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AÇOUGUE</v>
      </c>
      <c r="C558" s="72" t="str">
        <f ca="1">IF(D558="Inativo","Inativo",IFERROR(VLOOKUP($G558,Conf!$F$19:$G$39,2,0),VLOOKUP($S558,Conf!$K:$M,3,0)))</f>
        <v>AÇOUGUEIRO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341</v>
      </c>
      <c r="G558" s="71" t="s">
        <v>2176</v>
      </c>
      <c r="H558" s="71">
        <v>47</v>
      </c>
      <c r="I558" s="71" t="s">
        <v>222</v>
      </c>
      <c r="J558" s="71">
        <v>1</v>
      </c>
      <c r="K558" s="71" t="s">
        <v>223</v>
      </c>
      <c r="L558" s="71" t="s">
        <v>2177</v>
      </c>
      <c r="M558" s="71" t="s">
        <v>231</v>
      </c>
      <c r="N558" s="71">
        <v>79533515953</v>
      </c>
      <c r="O558" s="71" t="s">
        <v>245</v>
      </c>
      <c r="P558" s="71" t="s">
        <v>246</v>
      </c>
      <c r="Q558" s="71">
        <v>0</v>
      </c>
      <c r="R558" s="71" t="s">
        <v>2162</v>
      </c>
      <c r="S558" s="71" t="s">
        <v>2163</v>
      </c>
      <c r="T558" s="71" t="s">
        <v>2164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AÇOUGUE</v>
      </c>
      <c r="C559" s="72" t="str">
        <f ca="1">IF(D559="Inativo","Inativo",IFERROR(VLOOKUP($G559,Conf!$F$19:$G$39,2,0),VLOOKUP($S559,Conf!$K:$M,3,0)))</f>
        <v>BALCONISTA</v>
      </c>
      <c r="D559" s="72" t="str">
        <f ca="1">IFERROR(IF(TODAY()-K559&gt;365,"Inativo",IF(J559=2,"Férias",IF(J559=7,"Demitido","Afastamento"))),VLOOKUP(J559,Conf!$H:$I,2,0))</f>
        <v>Demitido</v>
      </c>
      <c r="E559" s="71">
        <v>7</v>
      </c>
      <c r="F559" s="71">
        <v>329</v>
      </c>
      <c r="G559" s="71" t="s">
        <v>2178</v>
      </c>
      <c r="H559" s="71">
        <v>47</v>
      </c>
      <c r="I559" s="71" t="s">
        <v>222</v>
      </c>
      <c r="J559" s="71">
        <v>7</v>
      </c>
      <c r="K559" s="71" t="s">
        <v>3642</v>
      </c>
      <c r="L559" s="71" t="s">
        <v>2179</v>
      </c>
      <c r="M559" s="71" t="s">
        <v>916</v>
      </c>
      <c r="N559" s="71">
        <v>10444875930</v>
      </c>
      <c r="O559" s="71" t="s">
        <v>245</v>
      </c>
      <c r="P559" s="71" t="s">
        <v>246</v>
      </c>
      <c r="Q559" s="71">
        <v>0</v>
      </c>
      <c r="R559" s="71" t="s">
        <v>2180</v>
      </c>
      <c r="S559" s="71" t="s">
        <v>2181</v>
      </c>
      <c r="T559" s="71" t="s">
        <v>2182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AÇOUGUE</v>
      </c>
      <c r="C560" s="72" t="str">
        <f ca="1">IF(D560="Inativo","Inativo",IFERROR(VLOOKUP($G560,Conf!$F$19:$G$39,2,0),VLOOKUP($S560,Conf!$K:$M,3,0)))</f>
        <v>BALCONISTA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338</v>
      </c>
      <c r="G560" s="71" t="s">
        <v>2183</v>
      </c>
      <c r="H560" s="71">
        <v>47</v>
      </c>
      <c r="I560" s="71" t="s">
        <v>222</v>
      </c>
      <c r="J560" s="71">
        <v>1</v>
      </c>
      <c r="K560" s="71" t="s">
        <v>223</v>
      </c>
      <c r="L560" s="71" t="s">
        <v>2184</v>
      </c>
      <c r="M560" s="71" t="s">
        <v>322</v>
      </c>
      <c r="N560" s="71">
        <v>7855091947</v>
      </c>
      <c r="O560" s="71" t="s">
        <v>245</v>
      </c>
      <c r="P560" s="71" t="s">
        <v>246</v>
      </c>
      <c r="Q560" s="71">
        <v>0</v>
      </c>
      <c r="R560" s="71" t="s">
        <v>2180</v>
      </c>
      <c r="S560" s="71" t="s">
        <v>2181</v>
      </c>
      <c r="T560" s="71" t="s">
        <v>2182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AÇOUGUE</v>
      </c>
      <c r="C561" s="72" t="str">
        <f ca="1">IF(D561="Inativo","Inativo",IFERROR(VLOOKUP($G561,Conf!$F$19:$G$39,2,0),VLOOKUP($S561,Conf!$K:$M,3,0)))</f>
        <v>DESOSSADOR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267</v>
      </c>
      <c r="G561" s="71" t="s">
        <v>2185</v>
      </c>
      <c r="H561" s="71">
        <v>916</v>
      </c>
      <c r="I561" s="71" t="s">
        <v>222</v>
      </c>
      <c r="J561" s="71">
        <v>1</v>
      </c>
      <c r="K561" s="71" t="s">
        <v>223</v>
      </c>
      <c r="L561" s="71" t="s">
        <v>2186</v>
      </c>
      <c r="M561" s="71" t="s">
        <v>2187</v>
      </c>
      <c r="N561" s="71">
        <v>7521632990</v>
      </c>
      <c r="Q561" s="71">
        <v>0</v>
      </c>
      <c r="R561" s="71" t="s">
        <v>2188</v>
      </c>
      <c r="S561" s="71" t="s">
        <v>2189</v>
      </c>
      <c r="T561" s="71" t="s">
        <v>2190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AÇOUGUE</v>
      </c>
      <c r="C562" s="72" t="str">
        <f ca="1">IF(D562="Inativo","Inativo",IFERROR(VLOOKUP($G562,Conf!$F$19:$G$39,2,0),VLOOKUP($S562,Conf!$K:$M,3,0)))</f>
        <v>GERENTE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9</v>
      </c>
      <c r="G562" s="71" t="s">
        <v>2191</v>
      </c>
      <c r="H562" s="71">
        <v>6</v>
      </c>
      <c r="I562" s="71" t="s">
        <v>230</v>
      </c>
      <c r="J562" s="71">
        <v>1</v>
      </c>
      <c r="K562" s="71" t="s">
        <v>223</v>
      </c>
      <c r="L562" s="71" t="s">
        <v>2192</v>
      </c>
      <c r="M562" s="71" t="s">
        <v>2193</v>
      </c>
      <c r="N562" s="71">
        <v>7771751938</v>
      </c>
      <c r="Q562" s="71">
        <v>0</v>
      </c>
      <c r="R562" s="71" t="s">
        <v>2194</v>
      </c>
      <c r="S562" s="71" t="s">
        <v>2195</v>
      </c>
      <c r="T562" s="71" t="s">
        <v>2196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AÇOUGUE</v>
      </c>
      <c r="C563" s="72" t="str">
        <f ca="1">IF(D563="Inativo","Inativo",IFERROR(VLOOKUP($G563,Conf!$F$19:$G$39,2,0),VLOOKUP($S563,Conf!$K:$M,3,0)))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214</v>
      </c>
      <c r="G563" s="71" t="s">
        <v>2197</v>
      </c>
      <c r="H563" s="71">
        <v>856</v>
      </c>
      <c r="I563" s="71" t="s">
        <v>2198</v>
      </c>
      <c r="J563" s="71">
        <v>1</v>
      </c>
      <c r="K563" s="71" t="s">
        <v>223</v>
      </c>
      <c r="L563" s="71" t="s">
        <v>2199</v>
      </c>
      <c r="M563" s="71" t="s">
        <v>842</v>
      </c>
      <c r="N563" s="71">
        <v>15046529912</v>
      </c>
      <c r="Q563" s="71">
        <v>0</v>
      </c>
      <c r="R563" s="71" t="s">
        <v>2200</v>
      </c>
      <c r="S563" s="71" t="s">
        <v>2201</v>
      </c>
      <c r="T563" s="71" t="s">
        <v>2202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ADMINISTRATIVO</v>
      </c>
      <c r="C564" s="72" t="str">
        <f ca="1">IF(D564="Inativo","Inativo",IFERROR(VLOOKUP($G564,Conf!$F$19:$G$39,2,0),VLOOKUP($S564,Conf!$K:$M,3,0)))</f>
        <v>GERENTE</v>
      </c>
      <c r="D564" s="72" t="str">
        <f ca="1">IFERROR(IF(TODAY()-K564&gt;365,"Inativo",IF(J564=2,"Férias",IF(J564=7,"Demitido","Afastamento"))),VLOOKUP(J564,Conf!$H:$I,2,0))</f>
        <v>Férias</v>
      </c>
      <c r="E564" s="71">
        <v>7</v>
      </c>
      <c r="F564" s="71">
        <v>26</v>
      </c>
      <c r="G564" s="71" t="s">
        <v>2439</v>
      </c>
      <c r="H564" s="71">
        <v>16</v>
      </c>
      <c r="I564" s="71" t="s">
        <v>473</v>
      </c>
      <c r="J564" s="71">
        <v>2</v>
      </c>
      <c r="K564" s="71" t="s">
        <v>471</v>
      </c>
      <c r="L564" s="71" t="s">
        <v>2440</v>
      </c>
      <c r="M564" s="71" t="s">
        <v>2441</v>
      </c>
      <c r="N564" s="71">
        <v>7456428964</v>
      </c>
      <c r="Q564" s="71">
        <v>0</v>
      </c>
      <c r="R564" s="71" t="s">
        <v>642</v>
      </c>
      <c r="S564" s="71" t="s">
        <v>2442</v>
      </c>
      <c r="T564" s="71" t="s">
        <v>644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ADMINISTRATIVO</v>
      </c>
      <c r="C565" s="72" t="str">
        <f ca="1">IF(D565="Inativo","Inativo",IFERROR(VLOOKUP($G565,Conf!$F$19:$G$39,2,0),VLOOKUP($S565,Conf!$K:$M,3,0)))</f>
        <v>SUBGERENTE</v>
      </c>
      <c r="D565" s="72" t="str">
        <f ca="1">IFERROR(IF(TODAY()-K565&gt;365,"Inativo",IF(J565=2,"Férias",IF(J565=7,"Demitido","Afastamento"))),VLOOKUP(J565,Conf!$H:$I,2,0))</f>
        <v>Ativos</v>
      </c>
      <c r="E565" s="71">
        <v>1</v>
      </c>
      <c r="F565" s="71">
        <v>148</v>
      </c>
      <c r="G565" s="71" t="s">
        <v>2473</v>
      </c>
      <c r="H565" s="71">
        <v>12</v>
      </c>
      <c r="I565" s="71" t="s">
        <v>639</v>
      </c>
      <c r="J565" s="71">
        <v>1</v>
      </c>
      <c r="K565" s="71" t="s">
        <v>223</v>
      </c>
      <c r="L565" s="71" t="s">
        <v>2474</v>
      </c>
      <c r="M565" s="71" t="s">
        <v>1872</v>
      </c>
      <c r="N565" s="71">
        <v>1719480923</v>
      </c>
      <c r="Q565" s="71">
        <v>0</v>
      </c>
      <c r="R565" s="71" t="s">
        <v>691</v>
      </c>
      <c r="S565" s="71" t="s">
        <v>692</v>
      </c>
      <c r="T565" s="71" t="s">
        <v>381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CONFEITARIA</v>
      </c>
      <c r="C566" s="72" t="str">
        <f ca="1">IF(D566="Inativo","Inativo",IFERROR(VLOOKUP($G566,Conf!$F$19:$G$39,2,0),VLOOKUP($S566,Conf!$K:$M,3,0)))</f>
        <v>CONFEITEIRO(A)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182</v>
      </c>
      <c r="G566" s="71" t="s">
        <v>2203</v>
      </c>
      <c r="H566" s="71">
        <v>937</v>
      </c>
      <c r="I566" s="71" t="s">
        <v>740</v>
      </c>
      <c r="J566" s="71">
        <v>1</v>
      </c>
      <c r="K566" s="71" t="s">
        <v>223</v>
      </c>
      <c r="L566" s="71" t="s">
        <v>2204</v>
      </c>
      <c r="M566" s="71" t="s">
        <v>2205</v>
      </c>
      <c r="N566" s="71">
        <v>6565835926</v>
      </c>
      <c r="Q566" s="71">
        <v>0</v>
      </c>
      <c r="R566" s="71" t="s">
        <v>2206</v>
      </c>
      <c r="S566" s="71" t="s">
        <v>2207</v>
      </c>
      <c r="T566" s="71" t="s">
        <v>2208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CONFEITARIA</v>
      </c>
      <c r="C567" s="72" t="str">
        <f ca="1">IF(D567="Inativo","Inativo",IFERROR(VLOOKUP($G567,Conf!$F$19:$G$39,2,0),VLOOKUP($S567,Conf!$K:$M,3,0)))</f>
        <v>CONFEITEIRO(A)</v>
      </c>
      <c r="D567" s="72" t="str">
        <f ca="1">IFERROR(IF(TODAY()-K567&gt;365,"Inativo",IF(J567=2,"Férias",IF(J567=7,"Demitido","Afastamento"))),VLOOKUP(J567,Conf!$H:$I,2,0))</f>
        <v>Férias</v>
      </c>
      <c r="E567" s="71">
        <v>7</v>
      </c>
      <c r="F567" s="71">
        <v>110</v>
      </c>
      <c r="G567" s="71" t="s">
        <v>2209</v>
      </c>
      <c r="H567" s="71">
        <v>946</v>
      </c>
      <c r="I567" s="71" t="s">
        <v>740</v>
      </c>
      <c r="J567" s="71">
        <v>2</v>
      </c>
      <c r="K567" s="71" t="s">
        <v>3642</v>
      </c>
      <c r="L567" s="71" t="s">
        <v>2210</v>
      </c>
      <c r="M567" s="71" t="s">
        <v>2211</v>
      </c>
      <c r="N567" s="71">
        <v>7138258984</v>
      </c>
      <c r="Q567" s="71">
        <v>0</v>
      </c>
      <c r="R567" s="71" t="s">
        <v>2206</v>
      </c>
      <c r="S567" s="71" t="s">
        <v>2207</v>
      </c>
      <c r="T567" s="71" t="s">
        <v>2208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CONFEITARIA</v>
      </c>
      <c r="C568" s="72" t="str">
        <f ca="1">IF(D568="Inativo","Inativo",IFERROR(VLOOKUP($G568,Conf!$F$19:$G$39,2,0),VLOOKUP($S568,Conf!$K:$M,3,0)))</f>
        <v>CONFEITEIRO(A)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283</v>
      </c>
      <c r="G568" s="71" t="s">
        <v>2212</v>
      </c>
      <c r="H568" s="71">
        <v>966</v>
      </c>
      <c r="I568" s="71" t="s">
        <v>238</v>
      </c>
      <c r="J568" s="71">
        <v>1</v>
      </c>
      <c r="K568" s="71" t="s">
        <v>223</v>
      </c>
      <c r="L568" s="71" t="s">
        <v>2213</v>
      </c>
      <c r="M568" s="71" t="s">
        <v>1992</v>
      </c>
      <c r="N568" s="71">
        <v>10018519946</v>
      </c>
      <c r="Q568" s="71">
        <v>0</v>
      </c>
      <c r="R568" s="71" t="s">
        <v>2206</v>
      </c>
      <c r="S568" s="71" t="s">
        <v>2207</v>
      </c>
      <c r="T568" s="71" t="s">
        <v>2208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DEPOSITO</v>
      </c>
      <c r="C569" s="72" t="str">
        <f ca="1">IF(D569="Inativo","Inativo",IFERROR(VLOOKUP($G569,Conf!$F$19:$G$39,2,0),VLOOKUP($S569,Conf!$K:$M,3,0)))</f>
        <v>AUXILIAR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313</v>
      </c>
      <c r="G569" s="71" t="s">
        <v>2214</v>
      </c>
      <c r="H569" s="71">
        <v>9</v>
      </c>
      <c r="I569" s="71" t="s">
        <v>945</v>
      </c>
      <c r="J569" s="71">
        <v>1</v>
      </c>
      <c r="K569" s="71" t="s">
        <v>223</v>
      </c>
      <c r="L569" s="71" t="s">
        <v>2215</v>
      </c>
      <c r="M569" s="71" t="s">
        <v>1726</v>
      </c>
      <c r="N569" s="71">
        <v>10069618950</v>
      </c>
      <c r="Q569" s="71">
        <v>0</v>
      </c>
      <c r="R569" s="71" t="s">
        <v>751</v>
      </c>
      <c r="S569" s="71" t="s">
        <v>2216</v>
      </c>
      <c r="T569" s="71" t="s">
        <v>1512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DEPOSITO</v>
      </c>
      <c r="C570" s="72" t="str">
        <f ca="1">IF(D570="Inativo","Inativo",IFERROR(VLOOKUP($G570,Conf!$F$19:$G$39,2,0),VLOOKUP($S570,Conf!$K:$M,3,0)))</f>
        <v>AUXILIAR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48</v>
      </c>
      <c r="G570" s="71" t="s">
        <v>2217</v>
      </c>
      <c r="H570" s="71">
        <v>5</v>
      </c>
      <c r="I570" s="71" t="s">
        <v>822</v>
      </c>
      <c r="J570" s="71">
        <v>1</v>
      </c>
      <c r="K570" s="71" t="s">
        <v>223</v>
      </c>
      <c r="L570" s="71" t="s">
        <v>2218</v>
      </c>
      <c r="M570" s="71" t="s">
        <v>2219</v>
      </c>
      <c r="N570" s="71">
        <v>1783055960</v>
      </c>
      <c r="Q570" s="71">
        <v>0</v>
      </c>
      <c r="R570" s="71" t="s">
        <v>751</v>
      </c>
      <c r="S570" s="71" t="s">
        <v>2216</v>
      </c>
      <c r="T570" s="71" t="s">
        <v>1512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DEPOSITO</v>
      </c>
      <c r="C571" s="72" t="str">
        <f ca="1">IF(D571="Inativo","Inativo",IFERROR(VLOOKUP($G571,Conf!$F$19:$G$39,2,0),VLOOKUP($S571,Conf!$K:$M,3,0)))</f>
        <v>CONTROLADORIA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1173</v>
      </c>
      <c r="G571" s="71" t="s">
        <v>2220</v>
      </c>
      <c r="H571" s="71">
        <v>67</v>
      </c>
      <c r="I571" s="71" t="s">
        <v>287</v>
      </c>
      <c r="J571" s="71">
        <v>1</v>
      </c>
      <c r="K571" s="71" t="s">
        <v>223</v>
      </c>
      <c r="L571" s="71" t="s">
        <v>2221</v>
      </c>
      <c r="M571" s="71" t="s">
        <v>2222</v>
      </c>
      <c r="N571" s="71">
        <v>10589883950</v>
      </c>
      <c r="Q571" s="71">
        <v>0</v>
      </c>
      <c r="R571" s="71" t="s">
        <v>2223</v>
      </c>
      <c r="S571" s="71" t="s">
        <v>344</v>
      </c>
      <c r="T571" s="71" t="s">
        <v>2224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DEPOSITO</v>
      </c>
      <c r="C572" s="72" t="str">
        <f ca="1">IF(D572="Inativo","Inativo",IFERROR(VLOOKUP($G572,Conf!$F$19:$G$39,2,0),VLOOKUP($S572,Conf!$K:$M,3,0)))</f>
        <v>CONTROLADORIA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1671</v>
      </c>
      <c r="G572" s="71" t="s">
        <v>2225</v>
      </c>
      <c r="H572" s="71">
        <v>189</v>
      </c>
      <c r="I572" s="71" t="s">
        <v>799</v>
      </c>
      <c r="J572" s="71">
        <v>1</v>
      </c>
      <c r="K572" s="71" t="s">
        <v>223</v>
      </c>
      <c r="L572" s="71" t="s">
        <v>2226</v>
      </c>
      <c r="M572" s="71" t="s">
        <v>2227</v>
      </c>
      <c r="N572" s="71">
        <v>11946217913</v>
      </c>
      <c r="Q572" s="71">
        <v>0</v>
      </c>
      <c r="R572" s="71" t="s">
        <v>2223</v>
      </c>
      <c r="S572" s="71" t="s">
        <v>344</v>
      </c>
      <c r="T572" s="71" t="s">
        <v>2224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DEPOSITO</v>
      </c>
      <c r="C573" s="72" t="str">
        <f ca="1">IF(D573="Inativo","Inativo",IFERROR(VLOOKUP($G573,Conf!$F$19:$G$39,2,0),VLOOKUP($S573,Conf!$K:$M,3,0)))</f>
        <v>CONTROLADORIA</v>
      </c>
      <c r="D573" s="72" t="str">
        <f ca="1">IFERROR(IF(TODAY()-K573&gt;365,"Inativo",IF(J573=2,"Férias",IF(J573=7,"Demitido","Afastamento"))),VLOOKUP(J573,Conf!$H:$I,2,0))</f>
        <v>Férias</v>
      </c>
      <c r="E573" s="71">
        <v>7</v>
      </c>
      <c r="F573" s="71">
        <v>1249</v>
      </c>
      <c r="G573" s="71" t="s">
        <v>2228</v>
      </c>
      <c r="H573" s="71">
        <v>45</v>
      </c>
      <c r="I573" s="71" t="s">
        <v>306</v>
      </c>
      <c r="J573" s="71">
        <v>2</v>
      </c>
      <c r="K573" s="71" t="s">
        <v>3633</v>
      </c>
      <c r="L573" s="71" t="s">
        <v>2229</v>
      </c>
      <c r="M573" s="71" t="s">
        <v>2230</v>
      </c>
      <c r="N573" s="71">
        <v>10132878941</v>
      </c>
      <c r="Q573" s="71">
        <v>0</v>
      </c>
      <c r="R573" s="71" t="s">
        <v>2223</v>
      </c>
      <c r="S573" s="71" t="s">
        <v>344</v>
      </c>
      <c r="T573" s="71" t="s">
        <v>2224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DEPOSITO</v>
      </c>
      <c r="C574" s="72" t="str">
        <f ca="1">IF(D574="Inativo","Inativo",IFERROR(VLOOKUP($G574,Conf!$F$19:$G$39,2,0),VLOOKUP($S574,Conf!$K:$M,3,0)))</f>
        <v>GERENTE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242</v>
      </c>
      <c r="G574" s="71" t="s">
        <v>2231</v>
      </c>
      <c r="H574" s="71">
        <v>47</v>
      </c>
      <c r="I574" s="71" t="s">
        <v>222</v>
      </c>
      <c r="J574" s="71">
        <v>1</v>
      </c>
      <c r="K574" s="71" t="s">
        <v>223</v>
      </c>
      <c r="L574" s="71" t="s">
        <v>2232</v>
      </c>
      <c r="M574" s="71" t="s">
        <v>2233</v>
      </c>
      <c r="N574" s="71">
        <v>7003500981</v>
      </c>
      <c r="Q574" s="71">
        <v>0</v>
      </c>
      <c r="R574" s="71" t="s">
        <v>2234</v>
      </c>
      <c r="S574" s="71" t="s">
        <v>2235</v>
      </c>
      <c r="T574" s="71" t="s">
        <v>2236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ENTREGA</v>
      </c>
      <c r="C575" s="72" t="str">
        <f ca="1">IF(D575="Inativo","Inativo",IFERROR(VLOOKUP($G575,Conf!$F$19:$G$39,2,0),VLOOKUP($S575,Conf!$K:$M,3,0)))</f>
        <v>MOTORISTA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1641</v>
      </c>
      <c r="G575" s="71" t="s">
        <v>2237</v>
      </c>
      <c r="H575" s="71">
        <v>924</v>
      </c>
      <c r="I575" s="71" t="s">
        <v>222</v>
      </c>
      <c r="J575" s="71">
        <v>1</v>
      </c>
      <c r="K575" s="71" t="s">
        <v>223</v>
      </c>
      <c r="L575" s="71" t="s">
        <v>2238</v>
      </c>
      <c r="M575" s="71" t="s">
        <v>1150</v>
      </c>
      <c r="N575" s="71">
        <v>13752067969</v>
      </c>
      <c r="Q575" s="71">
        <v>0</v>
      </c>
      <c r="R575" s="71" t="s">
        <v>2239</v>
      </c>
      <c r="S575" s="71" t="s">
        <v>836</v>
      </c>
      <c r="T575" s="71" t="s">
        <v>2240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ENTREGA</v>
      </c>
      <c r="C576" s="72" t="str">
        <f ca="1">IF(D576="Inativo","Inativo",IFERROR(VLOOKUP($G576,Conf!$F$19:$G$39,2,0),VLOOKUP($S576,Conf!$K:$M,3,0)))</f>
        <v>MOTORISTA</v>
      </c>
      <c r="D576" s="72" t="str">
        <f ca="1">IFERROR(IF(TODAY()-K576&gt;365,"Inativo",IF(J576=2,"Férias",IF(J576=7,"Demitido","Afastamento"))),VLOOKUP(J576,Conf!$H:$I,2,0))</f>
        <v>Afastamento</v>
      </c>
      <c r="E576" s="71">
        <v>7</v>
      </c>
      <c r="F576" s="71">
        <v>1618</v>
      </c>
      <c r="G576" s="71" t="s">
        <v>2241</v>
      </c>
      <c r="H576" s="71">
        <v>8</v>
      </c>
      <c r="I576" s="71" t="s">
        <v>2198</v>
      </c>
      <c r="J576" s="71">
        <v>3</v>
      </c>
      <c r="K576" s="71" t="s">
        <v>2242</v>
      </c>
      <c r="L576" s="71" t="s">
        <v>2243</v>
      </c>
      <c r="M576" s="71" t="s">
        <v>2244</v>
      </c>
      <c r="N576" s="71">
        <v>61553328949</v>
      </c>
      <c r="Q576" s="71">
        <v>0</v>
      </c>
      <c r="R576" s="71" t="s">
        <v>2239</v>
      </c>
      <c r="S576" s="71" t="s">
        <v>836</v>
      </c>
      <c r="T576" s="71" t="s">
        <v>2240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ENTREGA</v>
      </c>
      <c r="C577" s="72" t="str">
        <f ca="1">IF(D577="Inativo","Inativo",IFERROR(VLOOKUP($G577,Conf!$F$19:$G$39,2,0),VLOOKUP($S577,Conf!$K:$M,3,0)))</f>
        <v>MOTORISTA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1445</v>
      </c>
      <c r="G577" s="71" t="s">
        <v>2245</v>
      </c>
      <c r="H577" s="71">
        <v>868</v>
      </c>
      <c r="I577" s="71" t="s">
        <v>364</v>
      </c>
      <c r="J577" s="71">
        <v>1</v>
      </c>
      <c r="K577" s="71" t="s">
        <v>223</v>
      </c>
      <c r="L577" s="71" t="s">
        <v>2246</v>
      </c>
      <c r="M577" s="71" t="s">
        <v>2247</v>
      </c>
      <c r="N577" s="71">
        <v>6827820920</v>
      </c>
      <c r="Q577" s="71">
        <v>0</v>
      </c>
      <c r="R577" s="71" t="s">
        <v>2239</v>
      </c>
      <c r="S577" s="71" t="s">
        <v>836</v>
      </c>
      <c r="T577" s="71" t="s">
        <v>2240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ENTREGA</v>
      </c>
      <c r="C578" s="72" t="str">
        <f ca="1">IF(D578="Inativo","Inativo",IFERROR(VLOOKUP($G578,Conf!$F$19:$G$39,2,0),VLOOKUP($S578,Conf!$K:$M,3,0)))</f>
        <v>MOTORISTA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1692</v>
      </c>
      <c r="G578" s="71" t="s">
        <v>2248</v>
      </c>
      <c r="H578" s="71">
        <v>925</v>
      </c>
      <c r="I578" s="71" t="s">
        <v>222</v>
      </c>
      <c r="J578" s="71">
        <v>1</v>
      </c>
      <c r="K578" s="71" t="s">
        <v>223</v>
      </c>
      <c r="L578" s="71" t="s">
        <v>2249</v>
      </c>
      <c r="M578" s="71" t="s">
        <v>2250</v>
      </c>
      <c r="N578" s="71">
        <v>2600532951</v>
      </c>
      <c r="O578" s="71" t="s">
        <v>245</v>
      </c>
      <c r="P578" s="71" t="s">
        <v>246</v>
      </c>
      <c r="Q578" s="71">
        <v>0</v>
      </c>
      <c r="R578" s="71" t="s">
        <v>2239</v>
      </c>
      <c r="S578" s="71" t="s">
        <v>836</v>
      </c>
      <c r="T578" s="71" t="s">
        <v>2240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ENTREGA</v>
      </c>
      <c r="C579" s="72" t="str">
        <f ca="1">IF(D579="Inativo","Inativo",IFERROR(VLOOKUP($G579,Conf!$F$19:$G$39,2,0),VLOOKUP($S579,Conf!$K:$M,3,0)))</f>
        <v>MOTORISTA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1324</v>
      </c>
      <c r="G579" s="71" t="s">
        <v>2251</v>
      </c>
      <c r="H579" s="71">
        <v>932</v>
      </c>
      <c r="I579" s="71" t="s">
        <v>222</v>
      </c>
      <c r="J579" s="71">
        <v>1</v>
      </c>
      <c r="K579" s="71" t="s">
        <v>223</v>
      </c>
      <c r="L579" s="71" t="s">
        <v>2252</v>
      </c>
      <c r="M579" s="71" t="s">
        <v>2253</v>
      </c>
      <c r="N579" s="71">
        <v>65326660920</v>
      </c>
      <c r="Q579" s="71">
        <v>0</v>
      </c>
      <c r="R579" s="71" t="s">
        <v>2239</v>
      </c>
      <c r="S579" s="71" t="s">
        <v>836</v>
      </c>
      <c r="T579" s="71" t="s">
        <v>2240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AUXILIAR</v>
      </c>
      <c r="D580" s="72" t="str">
        <f ca="1">IFERROR(IF(TODAY()-K580&gt;365,"Inativo",IF(J580=2,"Férias",IF(J580=7,"Demitido","Afastamento"))),VLOOKUP(J580,Conf!$H:$I,2,0))</f>
        <v>Afastamento</v>
      </c>
      <c r="E580" s="71">
        <v>7</v>
      </c>
      <c r="F580" s="71">
        <v>43</v>
      </c>
      <c r="G580" s="71" t="s">
        <v>2254</v>
      </c>
      <c r="H580" s="71">
        <v>814</v>
      </c>
      <c r="I580" s="71" t="s">
        <v>230</v>
      </c>
      <c r="J580" s="71">
        <v>3</v>
      </c>
      <c r="K580" s="71" t="s">
        <v>840</v>
      </c>
      <c r="L580" s="71" t="s">
        <v>2255</v>
      </c>
      <c r="M580" s="71" t="s">
        <v>2256</v>
      </c>
      <c r="N580" s="71">
        <v>94590800900</v>
      </c>
      <c r="Q580" s="71">
        <v>0</v>
      </c>
      <c r="R580" s="71" t="s">
        <v>2257</v>
      </c>
      <c r="S580" s="71" t="s">
        <v>2258</v>
      </c>
      <c r="T580" s="71" t="s">
        <v>2259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AUXILIAR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37</v>
      </c>
      <c r="G581" s="71" t="s">
        <v>2260</v>
      </c>
      <c r="H581" s="71">
        <v>952</v>
      </c>
      <c r="I581" s="71" t="s">
        <v>238</v>
      </c>
      <c r="J581" s="71">
        <v>1</v>
      </c>
      <c r="K581" s="71" t="s">
        <v>223</v>
      </c>
      <c r="L581" s="71" t="s">
        <v>2261</v>
      </c>
      <c r="M581" s="71" t="s">
        <v>2262</v>
      </c>
      <c r="N581" s="71">
        <v>85614076972</v>
      </c>
      <c r="Q581" s="71">
        <v>0</v>
      </c>
      <c r="R581" s="71" t="s">
        <v>2257</v>
      </c>
      <c r="S581" s="71" t="s">
        <v>2258</v>
      </c>
      <c r="T581" s="71" t="s">
        <v>2259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EMPACOTADOR</v>
      </c>
      <c r="D582" s="72" t="str">
        <f ca="1">IFERROR(IF(TODAY()-K582&gt;365,"Inativo",IF(J582=2,"Férias",IF(J582=7,"Demitido","Afastamento"))),VLOOKUP(J582,Conf!$H:$I,2,0))</f>
        <v>Afastamento</v>
      </c>
      <c r="E582" s="71">
        <v>7</v>
      </c>
      <c r="F582" s="71">
        <v>155</v>
      </c>
      <c r="G582" s="71" t="s">
        <v>2263</v>
      </c>
      <c r="H582" s="71">
        <v>954</v>
      </c>
      <c r="I582" s="71" t="s">
        <v>238</v>
      </c>
      <c r="J582" s="71">
        <v>3</v>
      </c>
      <c r="K582" s="71" t="s">
        <v>2264</v>
      </c>
      <c r="L582" s="71" t="s">
        <v>2265</v>
      </c>
      <c r="M582" s="71" t="s">
        <v>2266</v>
      </c>
      <c r="N582" s="71">
        <v>30864208987</v>
      </c>
      <c r="Q582" s="71">
        <v>0</v>
      </c>
      <c r="R582" s="71" t="s">
        <v>2267</v>
      </c>
      <c r="S582" s="71" t="s">
        <v>2268</v>
      </c>
      <c r="T582" s="71" t="s">
        <v>2269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EMPACOTADOR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316</v>
      </c>
      <c r="G583" s="71" t="s">
        <v>2270</v>
      </c>
      <c r="H583" s="71">
        <v>954</v>
      </c>
      <c r="I583" s="71" t="s">
        <v>238</v>
      </c>
      <c r="J583" s="71">
        <v>1</v>
      </c>
      <c r="K583" s="71" t="s">
        <v>223</v>
      </c>
      <c r="L583" s="71" t="s">
        <v>2271</v>
      </c>
      <c r="M583" s="71" t="s">
        <v>897</v>
      </c>
      <c r="N583" s="71">
        <v>47760079915</v>
      </c>
      <c r="O583" s="71" t="s">
        <v>245</v>
      </c>
      <c r="P583" s="71" t="s">
        <v>246</v>
      </c>
      <c r="Q583" s="71">
        <v>0</v>
      </c>
      <c r="R583" s="71" t="s">
        <v>2267</v>
      </c>
      <c r="S583" s="71" t="s">
        <v>2268</v>
      </c>
      <c r="T583" s="71" t="s">
        <v>2269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EMPACOTADOR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320</v>
      </c>
      <c r="G584" s="71" t="s">
        <v>2272</v>
      </c>
      <c r="H584" s="71">
        <v>47</v>
      </c>
      <c r="I584" s="71" t="s">
        <v>222</v>
      </c>
      <c r="J584" s="71">
        <v>1</v>
      </c>
      <c r="K584" s="71" t="s">
        <v>223</v>
      </c>
      <c r="L584" s="71" t="s">
        <v>2273</v>
      </c>
      <c r="M584" s="71" t="s">
        <v>878</v>
      </c>
      <c r="N584" s="71">
        <v>14590274930</v>
      </c>
      <c r="O584" s="71" t="s">
        <v>245</v>
      </c>
      <c r="P584" s="71" t="s">
        <v>246</v>
      </c>
      <c r="Q584" s="71">
        <v>0</v>
      </c>
      <c r="R584" s="71" t="s">
        <v>2267</v>
      </c>
      <c r="S584" s="71" t="s">
        <v>2268</v>
      </c>
      <c r="T584" s="71" t="s">
        <v>2269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EMPACOTADOR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347</v>
      </c>
      <c r="G585" s="71" t="s">
        <v>2274</v>
      </c>
      <c r="H585" s="71">
        <v>520</v>
      </c>
      <c r="I585" s="71" t="s">
        <v>222</v>
      </c>
      <c r="J585" s="71">
        <v>1</v>
      </c>
      <c r="K585" s="71" t="s">
        <v>223</v>
      </c>
      <c r="L585" s="71" t="s">
        <v>2275</v>
      </c>
      <c r="M585" s="71" t="s">
        <v>426</v>
      </c>
      <c r="N585" s="71">
        <v>14322784950</v>
      </c>
      <c r="O585" s="71" t="s">
        <v>245</v>
      </c>
      <c r="P585" s="71" t="s">
        <v>246</v>
      </c>
      <c r="Q585" s="71">
        <v>0</v>
      </c>
      <c r="R585" s="71" t="s">
        <v>2267</v>
      </c>
      <c r="S585" s="71" t="s">
        <v>2268</v>
      </c>
      <c r="T585" s="71" t="s">
        <v>2269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EMPACOTADOR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346</v>
      </c>
      <c r="G586" s="71" t="s">
        <v>2276</v>
      </c>
      <c r="H586" s="71">
        <v>47</v>
      </c>
      <c r="I586" s="71" t="s">
        <v>222</v>
      </c>
      <c r="J586" s="71">
        <v>1</v>
      </c>
      <c r="K586" s="71" t="s">
        <v>223</v>
      </c>
      <c r="L586" s="71" t="s">
        <v>2277</v>
      </c>
      <c r="M586" s="71" t="s">
        <v>426</v>
      </c>
      <c r="N586" s="71">
        <v>6401859911</v>
      </c>
      <c r="O586" s="71" t="s">
        <v>245</v>
      </c>
      <c r="P586" s="71" t="s">
        <v>246</v>
      </c>
      <c r="Q586" s="71">
        <v>0</v>
      </c>
      <c r="R586" s="71" t="s">
        <v>2267</v>
      </c>
      <c r="S586" s="71" t="s">
        <v>2268</v>
      </c>
      <c r="T586" s="71" t="s">
        <v>2269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EMPACOTADOR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326</v>
      </c>
      <c r="G587" s="71" t="s">
        <v>2278</v>
      </c>
      <c r="H587" s="71">
        <v>520</v>
      </c>
      <c r="I587" s="71" t="s">
        <v>222</v>
      </c>
      <c r="J587" s="71">
        <v>1</v>
      </c>
      <c r="K587" s="71" t="s">
        <v>223</v>
      </c>
      <c r="L587" s="71" t="s">
        <v>2279</v>
      </c>
      <c r="M587" s="71" t="s">
        <v>2280</v>
      </c>
      <c r="N587" s="71">
        <v>11469794950</v>
      </c>
      <c r="O587" s="71" t="s">
        <v>245</v>
      </c>
      <c r="P587" s="71" t="s">
        <v>246</v>
      </c>
      <c r="Q587" s="71">
        <v>0</v>
      </c>
      <c r="R587" s="71" t="s">
        <v>2267</v>
      </c>
      <c r="S587" s="71" t="s">
        <v>2268</v>
      </c>
      <c r="T587" s="71" t="s">
        <v>2269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EMPACOTADOR</v>
      </c>
      <c r="D588" s="72" t="str">
        <f ca="1">IFERROR(IF(TODAY()-K588&gt;365,"Inativo",IF(J588=2,"Férias",IF(J588=7,"Demitido","Afastamento"))),VLOOKUP(J588,Conf!$H:$I,2,0))</f>
        <v>Férias</v>
      </c>
      <c r="E588" s="71">
        <v>7</v>
      </c>
      <c r="F588" s="71">
        <v>276</v>
      </c>
      <c r="G588" s="71" t="s">
        <v>2281</v>
      </c>
      <c r="H588" s="71">
        <v>853</v>
      </c>
      <c r="I588" s="71" t="s">
        <v>2198</v>
      </c>
      <c r="J588" s="71">
        <v>2</v>
      </c>
      <c r="K588" s="71" t="s">
        <v>3642</v>
      </c>
      <c r="L588" s="71" t="s">
        <v>2282</v>
      </c>
      <c r="M588" s="71" t="s">
        <v>2283</v>
      </c>
      <c r="N588" s="71">
        <v>13774193983</v>
      </c>
      <c r="Q588" s="71">
        <v>0</v>
      </c>
      <c r="R588" s="71" t="s">
        <v>2267</v>
      </c>
      <c r="S588" s="71" t="s">
        <v>2268</v>
      </c>
      <c r="T588" s="71" t="s">
        <v>2269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GERENTE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1405</v>
      </c>
      <c r="G589" s="71" t="s">
        <v>2284</v>
      </c>
      <c r="H589" s="71">
        <v>12</v>
      </c>
      <c r="I589" s="71" t="s">
        <v>639</v>
      </c>
      <c r="J589" s="71">
        <v>1</v>
      </c>
      <c r="K589" s="71" t="s">
        <v>223</v>
      </c>
      <c r="L589" s="71" t="s">
        <v>2285</v>
      </c>
      <c r="M589" s="71" t="s">
        <v>2286</v>
      </c>
      <c r="N589" s="71">
        <v>9989921946</v>
      </c>
      <c r="Q589" s="71">
        <v>0</v>
      </c>
      <c r="R589" s="71" t="s">
        <v>853</v>
      </c>
      <c r="S589" s="71" t="s">
        <v>854</v>
      </c>
      <c r="T589" s="71" t="s">
        <v>637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IF(D590="Inativo","Inativo",IFERROR(VLOOKUP($G590,Conf!$F$19:$G$39,2,0),VLOOKUP($S590,Conf!$K:$M,3,0)))</f>
        <v>FISCAL DE CAIXA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1069</v>
      </c>
      <c r="G590" s="71" t="s">
        <v>2287</v>
      </c>
      <c r="H590" s="71">
        <v>874</v>
      </c>
      <c r="I590" s="71" t="s">
        <v>364</v>
      </c>
      <c r="J590" s="71">
        <v>1</v>
      </c>
      <c r="K590" s="71" t="s">
        <v>223</v>
      </c>
      <c r="L590" s="71" t="s">
        <v>2288</v>
      </c>
      <c r="M590" s="71" t="s">
        <v>2289</v>
      </c>
      <c r="N590" s="71">
        <v>5457214907</v>
      </c>
      <c r="Q590" s="71">
        <v>0</v>
      </c>
      <c r="R590" s="71" t="s">
        <v>2290</v>
      </c>
      <c r="S590" s="71" t="s">
        <v>404</v>
      </c>
      <c r="T590" s="71" t="s">
        <v>2291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FRENTE DE CAIXA</v>
      </c>
      <c r="C591" s="72" t="str">
        <f ca="1">IF(D591="Inativo","Inativo",IFERROR(VLOOKUP($G591,Conf!$F$19:$G$39,2,0),VLOOKUP($S591,Conf!$K:$M,3,0)))</f>
        <v>FISCAL DE CAIXA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1537</v>
      </c>
      <c r="G591" s="71" t="s">
        <v>2292</v>
      </c>
      <c r="H591" s="71">
        <v>918</v>
      </c>
      <c r="I591" s="71" t="s">
        <v>222</v>
      </c>
      <c r="J591" s="71">
        <v>1</v>
      </c>
      <c r="K591" s="71" t="s">
        <v>223</v>
      </c>
      <c r="L591" s="71" t="s">
        <v>2293</v>
      </c>
      <c r="M591" s="71" t="s">
        <v>2294</v>
      </c>
      <c r="N591" s="71">
        <v>3527879960</v>
      </c>
      <c r="Q591" s="71">
        <v>0</v>
      </c>
      <c r="R591" s="71" t="s">
        <v>2290</v>
      </c>
      <c r="S591" s="71" t="s">
        <v>404</v>
      </c>
      <c r="T591" s="71" t="s">
        <v>2291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FRENTE DE CAIXA</v>
      </c>
      <c r="C592" s="72" t="str">
        <f ca="1">IF(D592="Inativo","Inativo",IFERROR(VLOOKUP($G592,Conf!$F$19:$G$39,2,0),VLOOKUP($S592,Conf!$K:$M,3,0)))</f>
        <v>FISCAL DE CAIXA</v>
      </c>
      <c r="D592" s="72" t="str">
        <f ca="1">IFERROR(IF(TODAY()-K592&gt;365,"Inativo",IF(J592=2,"Férias",IF(J592=7,"Demitido","Afastamento"))),VLOOKUP(J592,Conf!$H:$I,2,0))</f>
        <v>Férias</v>
      </c>
      <c r="E592" s="71">
        <v>7</v>
      </c>
      <c r="F592" s="71">
        <v>1513</v>
      </c>
      <c r="G592" s="71" t="s">
        <v>2295</v>
      </c>
      <c r="H592" s="71">
        <v>919</v>
      </c>
      <c r="I592" s="71" t="s">
        <v>222</v>
      </c>
      <c r="J592" s="71">
        <v>2</v>
      </c>
      <c r="K592" s="71" t="s">
        <v>3642</v>
      </c>
      <c r="L592" s="71" t="s">
        <v>2296</v>
      </c>
      <c r="M592" s="71" t="s">
        <v>2297</v>
      </c>
      <c r="N592" s="71">
        <v>9150622919</v>
      </c>
      <c r="Q592" s="71">
        <v>0</v>
      </c>
      <c r="R592" s="71" t="s">
        <v>2290</v>
      </c>
      <c r="S592" s="71" t="s">
        <v>404</v>
      </c>
      <c r="T592" s="71" t="s">
        <v>2291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FRENTE DE CAIXA</v>
      </c>
      <c r="C593" s="72" t="str">
        <f ca="1">IF(D593="Inativo","Inativo",IFERROR(VLOOKUP($G593,Conf!$F$19:$G$39,2,0),VLOOKUP($S593,Conf!$K:$M,3,0)))</f>
        <v>FISCAL DE CAIXA</v>
      </c>
      <c r="D593" s="72" t="str">
        <f ca="1">IFERROR(IF(TODAY()-K593&gt;365,"Inativo",IF(J593=2,"Férias",IF(J593=7,"Demitido","Afastamento"))),VLOOKUP(J593,Conf!$H:$I,2,0))</f>
        <v>Afastamento</v>
      </c>
      <c r="E593" s="71">
        <v>7</v>
      </c>
      <c r="F593" s="71">
        <v>1578</v>
      </c>
      <c r="G593" s="71" t="s">
        <v>2298</v>
      </c>
      <c r="H593" s="71">
        <v>918</v>
      </c>
      <c r="I593" s="71" t="s">
        <v>222</v>
      </c>
      <c r="J593" s="71">
        <v>3</v>
      </c>
      <c r="K593" s="71" t="s">
        <v>2299</v>
      </c>
      <c r="L593" s="71" t="s">
        <v>2300</v>
      </c>
      <c r="M593" s="71" t="s">
        <v>1671</v>
      </c>
      <c r="N593" s="71">
        <v>15046546922</v>
      </c>
      <c r="Q593" s="71">
        <v>0</v>
      </c>
      <c r="R593" s="71" t="s">
        <v>2290</v>
      </c>
      <c r="S593" s="71" t="s">
        <v>404</v>
      </c>
      <c r="T593" s="71" t="s">
        <v>2291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FRENTE DE CAIXA</v>
      </c>
      <c r="C594" s="72" t="str">
        <f ca="1">IF(D594="Inativo","Inativo",IFERROR(VLOOKUP($G594,Conf!$F$19:$G$39,2,0),VLOOKUP($S594,Conf!$K:$M,3,0)))</f>
        <v>FISCAL DE CAIXA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1222</v>
      </c>
      <c r="G594" s="71" t="s">
        <v>2301</v>
      </c>
      <c r="H594" s="71">
        <v>1091</v>
      </c>
      <c r="I594" s="71" t="s">
        <v>238</v>
      </c>
      <c r="J594" s="71">
        <v>1</v>
      </c>
      <c r="K594" s="71" t="s">
        <v>223</v>
      </c>
      <c r="L594" s="71" t="s">
        <v>2302</v>
      </c>
      <c r="M594" s="71" t="s">
        <v>2303</v>
      </c>
      <c r="N594" s="71">
        <v>9444200957</v>
      </c>
      <c r="Q594" s="71">
        <v>0</v>
      </c>
      <c r="R594" s="71" t="s">
        <v>2290</v>
      </c>
      <c r="S594" s="71" t="s">
        <v>404</v>
      </c>
      <c r="T594" s="71" t="s">
        <v>2291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FRENTE DE CAIXA</v>
      </c>
      <c r="C595" s="72" t="str">
        <f ca="1">IF(D595="Inativo","Inativo",IFERROR(VLOOKUP($G595,Conf!$F$19:$G$39,2,0),VLOOKUP($S595,Conf!$K:$M,3,0)))</f>
        <v>OPERADOR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1737</v>
      </c>
      <c r="G595" s="71" t="s">
        <v>2304</v>
      </c>
      <c r="H595" s="71">
        <v>47</v>
      </c>
      <c r="I595" s="71" t="s">
        <v>222</v>
      </c>
      <c r="J595" s="71">
        <v>1</v>
      </c>
      <c r="K595" s="71" t="s">
        <v>223</v>
      </c>
      <c r="L595" s="71" t="s">
        <v>2305</v>
      </c>
      <c r="M595" s="71" t="s">
        <v>2306</v>
      </c>
      <c r="N595" s="71">
        <v>15189900967</v>
      </c>
      <c r="O595" s="71" t="s">
        <v>245</v>
      </c>
      <c r="P595" s="71" t="s">
        <v>246</v>
      </c>
      <c r="Q595" s="71">
        <v>0</v>
      </c>
      <c r="R595" s="71" t="s">
        <v>2307</v>
      </c>
      <c r="S595" s="71" t="s">
        <v>413</v>
      </c>
      <c r="T595" s="71" t="s">
        <v>2308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FRENTE DE CAIXA</v>
      </c>
      <c r="C596" s="72" t="str">
        <f ca="1">IF(D596="Inativo","Inativo",IFERROR(VLOOKUP($G596,Conf!$F$19:$G$39,2,0),VLOOKUP($S596,Conf!$K:$M,3,0)))</f>
        <v>OPERADOR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1727</v>
      </c>
      <c r="G596" s="71" t="s">
        <v>2309</v>
      </c>
      <c r="H596" s="71">
        <v>922</v>
      </c>
      <c r="I596" s="71" t="s">
        <v>222</v>
      </c>
      <c r="J596" s="71">
        <v>1</v>
      </c>
      <c r="K596" s="71" t="s">
        <v>223</v>
      </c>
      <c r="L596" s="71" t="s">
        <v>2310</v>
      </c>
      <c r="M596" s="71" t="s">
        <v>741</v>
      </c>
      <c r="N596" s="71">
        <v>7276436900</v>
      </c>
      <c r="O596" s="71" t="s">
        <v>245</v>
      </c>
      <c r="P596" s="71" t="s">
        <v>246</v>
      </c>
      <c r="Q596" s="71">
        <v>0</v>
      </c>
      <c r="R596" s="71" t="s">
        <v>2307</v>
      </c>
      <c r="S596" s="71" t="s">
        <v>413</v>
      </c>
      <c r="T596" s="71" t="s">
        <v>2308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FRENTE DE CAIXA</v>
      </c>
      <c r="C597" s="72" t="str">
        <f ca="1">IF(D597="Inativo","Inativo",IFERROR(VLOOKUP($G597,Conf!$F$19:$G$39,2,0),VLOOKUP($S597,Conf!$K:$M,3,0)))</f>
        <v>OPERADOR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1365</v>
      </c>
      <c r="G597" s="71" t="s">
        <v>2311</v>
      </c>
      <c r="H597" s="71">
        <v>864</v>
      </c>
      <c r="I597" s="71" t="s">
        <v>364</v>
      </c>
      <c r="J597" s="71">
        <v>1</v>
      </c>
      <c r="K597" s="71" t="s">
        <v>223</v>
      </c>
      <c r="L597" s="71" t="s">
        <v>2312</v>
      </c>
      <c r="M597" s="71" t="s">
        <v>2313</v>
      </c>
      <c r="N597" s="71">
        <v>3692855907</v>
      </c>
      <c r="Q597" s="71">
        <v>0</v>
      </c>
      <c r="R597" s="71" t="s">
        <v>2307</v>
      </c>
      <c r="S597" s="71" t="s">
        <v>413</v>
      </c>
      <c r="T597" s="71" t="s">
        <v>2308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FRENTE DE CAIXA</v>
      </c>
      <c r="C598" s="72" t="str">
        <f ca="1">IF(D598="Inativo","Inativo",IFERROR(VLOOKUP($G598,Conf!$F$19:$G$39,2,0),VLOOKUP($S598,Conf!$K:$M,3,0)))</f>
        <v>OPERADOR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1579</v>
      </c>
      <c r="G598" s="71" t="s">
        <v>2314</v>
      </c>
      <c r="H598" s="71">
        <v>932</v>
      </c>
      <c r="I598" s="71" t="s">
        <v>222</v>
      </c>
      <c r="J598" s="71">
        <v>1</v>
      </c>
      <c r="K598" s="71" t="s">
        <v>223</v>
      </c>
      <c r="L598" s="71" t="s">
        <v>2315</v>
      </c>
      <c r="M598" s="71" t="s">
        <v>1671</v>
      </c>
      <c r="N598" s="71">
        <v>14637868912</v>
      </c>
      <c r="Q598" s="71">
        <v>0</v>
      </c>
      <c r="R598" s="71" t="s">
        <v>2307</v>
      </c>
      <c r="S598" s="71" t="s">
        <v>413</v>
      </c>
      <c r="T598" s="71" t="s">
        <v>2308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FRENTE DE CAIXA</v>
      </c>
      <c r="C599" s="72" t="str">
        <f ca="1">IF(D599="Inativo","Inativo",IFERROR(VLOOKUP($G599,Conf!$F$19:$G$39,2,0),VLOOKUP($S599,Conf!$K:$M,3,0)))</f>
        <v>OPERADOR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1520</v>
      </c>
      <c r="G599" s="71" t="s">
        <v>2316</v>
      </c>
      <c r="H599" s="71">
        <v>916</v>
      </c>
      <c r="I599" s="71" t="s">
        <v>222</v>
      </c>
      <c r="J599" s="71">
        <v>1</v>
      </c>
      <c r="K599" s="71" t="s">
        <v>223</v>
      </c>
      <c r="L599" s="71" t="s">
        <v>2317</v>
      </c>
      <c r="M599" s="71" t="s">
        <v>2175</v>
      </c>
      <c r="N599" s="71">
        <v>13986371907</v>
      </c>
      <c r="Q599" s="71">
        <v>0</v>
      </c>
      <c r="R599" s="71" t="s">
        <v>2307</v>
      </c>
      <c r="S599" s="71" t="s">
        <v>413</v>
      </c>
      <c r="T599" s="71" t="s">
        <v>2308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IF(D600="Inativo","Inativo",IFERROR(VLOOKUP($G600,Conf!$F$19:$G$39,2,0),VLOOKUP($S600,Conf!$K:$M,3,0)))</f>
        <v>OPERADOR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1721</v>
      </c>
      <c r="G600" s="71" t="s">
        <v>2318</v>
      </c>
      <c r="H600" s="71">
        <v>47</v>
      </c>
      <c r="I600" s="71" t="s">
        <v>222</v>
      </c>
      <c r="J600" s="71">
        <v>1</v>
      </c>
      <c r="K600" s="71" t="s">
        <v>223</v>
      </c>
      <c r="L600" s="71" t="s">
        <v>2319</v>
      </c>
      <c r="M600" s="71" t="s">
        <v>819</v>
      </c>
      <c r="N600" s="71">
        <v>34413363809</v>
      </c>
      <c r="O600" s="71" t="s">
        <v>245</v>
      </c>
      <c r="P600" s="71" t="s">
        <v>246</v>
      </c>
      <c r="Q600" s="71">
        <v>0</v>
      </c>
      <c r="R600" s="71" t="s">
        <v>2307</v>
      </c>
      <c r="S600" s="71" t="s">
        <v>413</v>
      </c>
      <c r="T600" s="71" t="s">
        <v>2308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FRENTE DE CAIXA</v>
      </c>
      <c r="C601" s="72" t="str">
        <f ca="1">IF(D601="Inativo","Inativo",IFERROR(VLOOKUP($G601,Conf!$F$19:$G$39,2,0),VLOOKUP($S601,Conf!$K:$M,3,0)))</f>
        <v>OPERADOR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1691</v>
      </c>
      <c r="G601" s="71" t="s">
        <v>2320</v>
      </c>
      <c r="H601" s="71">
        <v>47</v>
      </c>
      <c r="I601" s="71" t="s">
        <v>222</v>
      </c>
      <c r="J601" s="71">
        <v>1</v>
      </c>
      <c r="K601" s="71" t="s">
        <v>223</v>
      </c>
      <c r="L601" s="71" t="s">
        <v>2321</v>
      </c>
      <c r="M601" s="71" t="s">
        <v>2322</v>
      </c>
      <c r="N601" s="71">
        <v>12575352932</v>
      </c>
      <c r="O601" s="71" t="s">
        <v>245</v>
      </c>
      <c r="P601" s="71" t="s">
        <v>246</v>
      </c>
      <c r="Q601" s="71">
        <v>0</v>
      </c>
      <c r="R601" s="71" t="s">
        <v>2307</v>
      </c>
      <c r="S601" s="71" t="s">
        <v>413</v>
      </c>
      <c r="T601" s="71" t="s">
        <v>2308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FRENTE DE CAIXA</v>
      </c>
      <c r="C602" s="72" t="str">
        <f ca="1">IF(D602="Inativo","Inativo",IFERROR(VLOOKUP($G602,Conf!$F$19:$G$39,2,0),VLOOKUP($S602,Conf!$K:$M,3,0)))</f>
        <v>OPERADOR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1421</v>
      </c>
      <c r="G602" s="71" t="s">
        <v>2323</v>
      </c>
      <c r="H602" s="71">
        <v>773</v>
      </c>
      <c r="I602" s="71" t="s">
        <v>1155</v>
      </c>
      <c r="J602" s="71">
        <v>1</v>
      </c>
      <c r="K602" s="71" t="s">
        <v>223</v>
      </c>
      <c r="L602" s="71" t="s">
        <v>2324</v>
      </c>
      <c r="M602" s="71" t="s">
        <v>2325</v>
      </c>
      <c r="N602" s="71">
        <v>10024464902</v>
      </c>
      <c r="Q602" s="71">
        <v>0</v>
      </c>
      <c r="R602" s="71" t="s">
        <v>2307</v>
      </c>
      <c r="S602" s="71" t="s">
        <v>413</v>
      </c>
      <c r="T602" s="71" t="s">
        <v>2308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FRENTE DE CAIXA</v>
      </c>
      <c r="C603" s="72" t="str">
        <f ca="1">IF(D603="Inativo","Inativo",IFERROR(VLOOKUP($G603,Conf!$F$19:$G$39,2,0),VLOOKUP($S603,Conf!$K:$M,3,0)))</f>
        <v>OPERADOR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1019</v>
      </c>
      <c r="G603" s="71" t="s">
        <v>2326</v>
      </c>
      <c r="H603" s="71">
        <v>968</v>
      </c>
      <c r="I603" s="71" t="s">
        <v>238</v>
      </c>
      <c r="J603" s="71">
        <v>1</v>
      </c>
      <c r="K603" s="71" t="s">
        <v>223</v>
      </c>
      <c r="L603" s="71" t="s">
        <v>2327</v>
      </c>
      <c r="M603" s="71" t="s">
        <v>2328</v>
      </c>
      <c r="N603" s="71">
        <v>1501951920</v>
      </c>
      <c r="Q603" s="71">
        <v>0</v>
      </c>
      <c r="R603" s="71" t="s">
        <v>2307</v>
      </c>
      <c r="S603" s="71" t="s">
        <v>413</v>
      </c>
      <c r="T603" s="71" t="s">
        <v>2308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FRENTE DE CAIXA</v>
      </c>
      <c r="C604" s="72" t="str">
        <f ca="1">IF(D604="Inativo","Inativo",IFERROR(VLOOKUP($G604,Conf!$F$19:$G$39,2,0),VLOOKUP($S604,Conf!$K:$M,3,0)))</f>
        <v>OPERADOR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1072</v>
      </c>
      <c r="G604" s="71" t="s">
        <v>2329</v>
      </c>
      <c r="H604" s="71">
        <v>952</v>
      </c>
      <c r="I604" s="71" t="s">
        <v>238</v>
      </c>
      <c r="J604" s="71">
        <v>1</v>
      </c>
      <c r="K604" s="71" t="s">
        <v>223</v>
      </c>
      <c r="L604" s="71" t="s">
        <v>2330</v>
      </c>
      <c r="M604" s="71" t="s">
        <v>2158</v>
      </c>
      <c r="N604" s="71">
        <v>7491246958</v>
      </c>
      <c r="Q604" s="71">
        <v>0</v>
      </c>
      <c r="R604" s="71" t="s">
        <v>2307</v>
      </c>
      <c r="S604" s="71" t="s">
        <v>413</v>
      </c>
      <c r="T604" s="71" t="s">
        <v>2308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FRENTE DE CAIXA</v>
      </c>
      <c r="C605" s="72" t="str">
        <f ca="1">IF(D605="Inativo","Inativo",IFERROR(VLOOKUP($G605,Conf!$F$19:$G$39,2,0),VLOOKUP($S605,Conf!$K:$M,3,0)))</f>
        <v>OPERADOR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1637</v>
      </c>
      <c r="G605" s="71" t="s">
        <v>2331</v>
      </c>
      <c r="H605" s="71">
        <v>924</v>
      </c>
      <c r="I605" s="71" t="s">
        <v>222</v>
      </c>
      <c r="J605" s="71">
        <v>1</v>
      </c>
      <c r="K605" s="71" t="s">
        <v>223</v>
      </c>
      <c r="L605" s="71" t="s">
        <v>2332</v>
      </c>
      <c r="M605" s="71" t="s">
        <v>2333</v>
      </c>
      <c r="N605" s="71">
        <v>16351355168</v>
      </c>
      <c r="Q605" s="71">
        <v>0</v>
      </c>
      <c r="R605" s="71" t="s">
        <v>2307</v>
      </c>
      <c r="S605" s="71" t="s">
        <v>413</v>
      </c>
      <c r="T605" s="71" t="s">
        <v>2308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FRENTE DE CAIXA</v>
      </c>
      <c r="C606" s="72" t="str">
        <f ca="1">IF(D606="Inativo","Inativo",IFERROR(VLOOKUP($G606,Conf!$F$19:$G$39,2,0),VLOOKUP($S606,Conf!$K:$M,3,0)))</f>
        <v>OPERADOR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1295</v>
      </c>
      <c r="G606" s="71" t="s">
        <v>2334</v>
      </c>
      <c r="H606" s="71">
        <v>918</v>
      </c>
      <c r="I606" s="71" t="s">
        <v>222</v>
      </c>
      <c r="J606" s="71">
        <v>1</v>
      </c>
      <c r="K606" s="71" t="s">
        <v>223</v>
      </c>
      <c r="L606" s="71" t="s">
        <v>2335</v>
      </c>
      <c r="M606" s="71" t="s">
        <v>2336</v>
      </c>
      <c r="N606" s="71">
        <v>6289563980</v>
      </c>
      <c r="Q606" s="71">
        <v>0</v>
      </c>
      <c r="R606" s="71" t="s">
        <v>2307</v>
      </c>
      <c r="S606" s="71" t="s">
        <v>413</v>
      </c>
      <c r="T606" s="71" t="s">
        <v>2308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FRENTE DE CAIXA</v>
      </c>
      <c r="C607" s="72" t="str">
        <f ca="1">IF(D607="Inativo","Inativo",IFERROR(VLOOKUP($G607,Conf!$F$19:$G$39,2,0),VLOOKUP($S607,Conf!$K:$M,3,0)))</f>
        <v>OPERADOR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1687</v>
      </c>
      <c r="G607" s="71" t="s">
        <v>2337</v>
      </c>
      <c r="H607" s="71">
        <v>47</v>
      </c>
      <c r="I607" s="71" t="s">
        <v>222</v>
      </c>
      <c r="J607" s="71">
        <v>1</v>
      </c>
      <c r="K607" s="71" t="s">
        <v>223</v>
      </c>
      <c r="L607" s="71" t="s">
        <v>2338</v>
      </c>
      <c r="M607" s="71" t="s">
        <v>462</v>
      </c>
      <c r="N607" s="71">
        <v>13469127930</v>
      </c>
      <c r="O607" s="71" t="s">
        <v>245</v>
      </c>
      <c r="P607" s="71" t="s">
        <v>246</v>
      </c>
      <c r="Q607" s="71">
        <v>0</v>
      </c>
      <c r="R607" s="71" t="s">
        <v>2307</v>
      </c>
      <c r="S607" s="71" t="s">
        <v>413</v>
      </c>
      <c r="T607" s="71" t="s">
        <v>2308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FRENTE DE CAIXA</v>
      </c>
      <c r="C608" s="72" t="str">
        <f ca="1">IF(D608="Inativo","Inativo",IFERROR(VLOOKUP($G608,Conf!$F$19:$G$39,2,0),VLOOKUP($S608,Conf!$K:$M,3,0)))</f>
        <v>OPERADOR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1155</v>
      </c>
      <c r="G608" s="71" t="s">
        <v>2339</v>
      </c>
      <c r="H608" s="71">
        <v>1005</v>
      </c>
      <c r="I608" s="71" t="s">
        <v>657</v>
      </c>
      <c r="J608" s="71">
        <v>1</v>
      </c>
      <c r="K608" s="71" t="s">
        <v>223</v>
      </c>
      <c r="L608" s="71" t="s">
        <v>2340</v>
      </c>
      <c r="M608" s="71" t="s">
        <v>2341</v>
      </c>
      <c r="N608" s="71">
        <v>50822276968</v>
      </c>
      <c r="Q608" s="71">
        <v>0</v>
      </c>
      <c r="R608" s="71" t="s">
        <v>2307</v>
      </c>
      <c r="S608" s="71" t="s">
        <v>413</v>
      </c>
      <c r="T608" s="71" t="s">
        <v>2308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FRENTE DE CAIXA</v>
      </c>
      <c r="C609" s="72" t="str">
        <f ca="1">IF(D609="Inativo","Inativo",IFERROR(VLOOKUP($G609,Conf!$F$19:$G$39,2,0),VLOOKUP($S609,Conf!$K:$M,3,0)))</f>
        <v>OPERADOR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1358</v>
      </c>
      <c r="G609" s="71" t="s">
        <v>2342</v>
      </c>
      <c r="H609" s="71">
        <v>919</v>
      </c>
      <c r="I609" s="71" t="s">
        <v>222</v>
      </c>
      <c r="J609" s="71">
        <v>1</v>
      </c>
      <c r="K609" s="71" t="s">
        <v>223</v>
      </c>
      <c r="L609" s="71" t="s">
        <v>2343</v>
      </c>
      <c r="M609" s="71" t="s">
        <v>861</v>
      </c>
      <c r="N609" s="71">
        <v>13870620935</v>
      </c>
      <c r="Q609" s="71">
        <v>0</v>
      </c>
      <c r="R609" s="71" t="s">
        <v>2307</v>
      </c>
      <c r="S609" s="71" t="s">
        <v>413</v>
      </c>
      <c r="T609" s="71" t="s">
        <v>2308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FRENTE DE CAIXA</v>
      </c>
      <c r="C610" s="72" t="str">
        <f ca="1">IF(D610="Inativo","Inativo",IFERROR(VLOOKUP($G610,Conf!$F$19:$G$39,2,0),VLOOKUP($S610,Conf!$K:$M,3,0)))</f>
        <v>OPERADOR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1580</v>
      </c>
      <c r="G610" s="71" t="s">
        <v>2344</v>
      </c>
      <c r="H610" s="71">
        <v>919</v>
      </c>
      <c r="I610" s="71" t="s">
        <v>222</v>
      </c>
      <c r="J610" s="71">
        <v>1</v>
      </c>
      <c r="K610" s="71" t="s">
        <v>223</v>
      </c>
      <c r="L610" s="71" t="s">
        <v>2345</v>
      </c>
      <c r="M610" s="71" t="s">
        <v>1671</v>
      </c>
      <c r="N610" s="71">
        <v>13592741977</v>
      </c>
      <c r="Q610" s="71">
        <v>0</v>
      </c>
      <c r="R610" s="71" t="s">
        <v>2307</v>
      </c>
      <c r="S610" s="71" t="s">
        <v>413</v>
      </c>
      <c r="T610" s="71" t="s">
        <v>2308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FRENTE DE CAIXA</v>
      </c>
      <c r="C611" s="72" t="str">
        <f ca="1">IF(D611="Inativo","Inativo",IFERROR(VLOOKUP($G611,Conf!$F$19:$G$39,2,0),VLOOKUP($S611,Conf!$K:$M,3,0)))</f>
        <v>OPERADOR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1582</v>
      </c>
      <c r="G611" s="71" t="s">
        <v>2346</v>
      </c>
      <c r="H611" s="71">
        <v>930</v>
      </c>
      <c r="I611" s="71" t="s">
        <v>222</v>
      </c>
      <c r="J611" s="71">
        <v>1</v>
      </c>
      <c r="K611" s="71" t="s">
        <v>223</v>
      </c>
      <c r="L611" s="71" t="s">
        <v>2347</v>
      </c>
      <c r="M611" s="71" t="s">
        <v>2348</v>
      </c>
      <c r="N611" s="71">
        <v>15044030961</v>
      </c>
      <c r="Q611" s="71">
        <v>0</v>
      </c>
      <c r="R611" s="71" t="s">
        <v>2307</v>
      </c>
      <c r="S611" s="71" t="s">
        <v>413</v>
      </c>
      <c r="T611" s="71" t="s">
        <v>2308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FRENTE DE CAIXA</v>
      </c>
      <c r="C612" s="72" t="str">
        <f ca="1">IF(D612="Inativo","Inativo",IFERROR(VLOOKUP($G612,Conf!$F$19:$G$39,2,0),VLOOKUP($S612,Conf!$K:$M,3,0)))</f>
        <v>OPERADOR</v>
      </c>
      <c r="D612" s="72" t="str">
        <f ca="1">IFERROR(IF(TODAY()-K612&gt;365,"Inativo",IF(J612=2,"Férias",IF(J612=7,"Demitido","Afastamento"))),VLOOKUP(J612,Conf!$H:$I,2,0))</f>
        <v>Férias</v>
      </c>
      <c r="E612" s="71">
        <v>7</v>
      </c>
      <c r="F612" s="71">
        <v>1602</v>
      </c>
      <c r="G612" s="71" t="s">
        <v>2349</v>
      </c>
      <c r="H612" s="71">
        <v>931</v>
      </c>
      <c r="I612" s="71" t="s">
        <v>222</v>
      </c>
      <c r="J612" s="71">
        <v>2</v>
      </c>
      <c r="K612" s="71" t="s">
        <v>3642</v>
      </c>
      <c r="L612" s="71" t="s">
        <v>2350</v>
      </c>
      <c r="M612" s="71" t="s">
        <v>2351</v>
      </c>
      <c r="N612" s="71">
        <v>15189913945</v>
      </c>
      <c r="Q612" s="71">
        <v>0</v>
      </c>
      <c r="R612" s="71" t="s">
        <v>2307</v>
      </c>
      <c r="S612" s="71" t="s">
        <v>413</v>
      </c>
      <c r="T612" s="71" t="s">
        <v>2308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FRENTE DE CAIXA</v>
      </c>
      <c r="C613" s="72" t="str">
        <f ca="1">IF(D613="Inativo","Inativo",IFERROR(VLOOKUP($G613,Conf!$F$19:$G$39,2,0),VLOOKUP($S613,Conf!$K:$M,3,0)))</f>
        <v>OPERADOR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1749</v>
      </c>
      <c r="G613" s="71" t="s">
        <v>2352</v>
      </c>
      <c r="H613" s="71">
        <v>47</v>
      </c>
      <c r="I613" s="71" t="s">
        <v>222</v>
      </c>
      <c r="J613" s="71">
        <v>1</v>
      </c>
      <c r="K613" s="71" t="s">
        <v>223</v>
      </c>
      <c r="L613" s="71" t="s">
        <v>2353</v>
      </c>
      <c r="M613" s="71" t="s">
        <v>1170</v>
      </c>
      <c r="N613" s="71">
        <v>14907256957</v>
      </c>
      <c r="O613" s="71" t="s">
        <v>245</v>
      </c>
      <c r="P613" s="71" t="s">
        <v>246</v>
      </c>
      <c r="Q613" s="71">
        <v>0</v>
      </c>
      <c r="R613" s="71" t="s">
        <v>2307</v>
      </c>
      <c r="S613" s="71" t="s">
        <v>413</v>
      </c>
      <c r="T613" s="71" t="s">
        <v>2308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FRENTE DE CAIXA</v>
      </c>
      <c r="C614" s="72" t="str">
        <f ca="1">IF(D614="Inativo","Inativo",IFERROR(VLOOKUP($G614,Conf!$F$19:$G$39,2,0),VLOOKUP($S614,Conf!$K:$M,3,0)))</f>
        <v>OPERADOR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1680</v>
      </c>
      <c r="G614" s="71" t="s">
        <v>2354</v>
      </c>
      <c r="H614" s="71">
        <v>991</v>
      </c>
      <c r="I614" s="71" t="s">
        <v>657</v>
      </c>
      <c r="J614" s="71">
        <v>1</v>
      </c>
      <c r="K614" s="71" t="s">
        <v>223</v>
      </c>
      <c r="L614" s="71" t="s">
        <v>2355</v>
      </c>
      <c r="M614" s="71" t="s">
        <v>889</v>
      </c>
      <c r="N614" s="71">
        <v>15302619962</v>
      </c>
      <c r="Q614" s="71">
        <v>0</v>
      </c>
      <c r="R614" s="71" t="s">
        <v>2307</v>
      </c>
      <c r="S614" s="71" t="s">
        <v>413</v>
      </c>
      <c r="T614" s="71" t="s">
        <v>2308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FRENTE DE CAIXA</v>
      </c>
      <c r="C615" s="72" t="str">
        <f ca="1">IF(D615="Inativo","Inativo",IFERROR(VLOOKUP($G615,Conf!$F$19:$G$39,2,0),VLOOKUP($S615,Conf!$K:$M,3,0)))</f>
        <v>OPERADOR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1330</v>
      </c>
      <c r="G615" s="71" t="s">
        <v>2356</v>
      </c>
      <c r="H615" s="71">
        <v>995</v>
      </c>
      <c r="I615" s="71" t="s">
        <v>657</v>
      </c>
      <c r="J615" s="71">
        <v>1</v>
      </c>
      <c r="K615" s="71" t="s">
        <v>223</v>
      </c>
      <c r="L615" s="71" t="s">
        <v>2357</v>
      </c>
      <c r="M615" s="71" t="s">
        <v>1436</v>
      </c>
      <c r="N615" s="71">
        <v>70950636991</v>
      </c>
      <c r="Q615" s="71">
        <v>0</v>
      </c>
      <c r="R615" s="71" t="s">
        <v>2307</v>
      </c>
      <c r="S615" s="71" t="s">
        <v>413</v>
      </c>
      <c r="T615" s="71" t="s">
        <v>2308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FRIOS</v>
      </c>
      <c r="C616" s="72" t="str">
        <f ca="1">IF(D616="Inativo","Inativo",IFERROR(VLOOKUP($G616,Conf!$F$19:$G$39,2,0),VLOOKUP($S616,Conf!$K:$M,3,0)))</f>
        <v>GERENTE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305</v>
      </c>
      <c r="G616" s="71" t="s">
        <v>2358</v>
      </c>
      <c r="H616" s="71">
        <v>12</v>
      </c>
      <c r="I616" s="71" t="s">
        <v>639</v>
      </c>
      <c r="J616" s="71">
        <v>1</v>
      </c>
      <c r="K616" s="71" t="s">
        <v>223</v>
      </c>
      <c r="L616" s="71" t="s">
        <v>2359</v>
      </c>
      <c r="M616" s="71" t="s">
        <v>2360</v>
      </c>
      <c r="N616" s="71">
        <v>7036117982</v>
      </c>
      <c r="Q616" s="71">
        <v>0</v>
      </c>
      <c r="R616" s="71" t="s">
        <v>2361</v>
      </c>
      <c r="S616" s="71" t="s">
        <v>2362</v>
      </c>
      <c r="T616" s="71" t="s">
        <v>2363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FRIOS</v>
      </c>
      <c r="C617" s="72" t="str">
        <f ca="1">IF(D617="Inativo","Inativo",IFERROR(VLOOKUP($G617,Conf!$F$19:$G$39,2,0),VLOOKUP($S617,Conf!$K:$M,3,0)))</f>
        <v>GERENTE</v>
      </c>
      <c r="D617" s="72" t="str">
        <f ca="1">IFERROR(IF(TODAY()-K617&gt;365,"Inativo",IF(J617=2,"Férias",IF(J617=7,"Demitido","Afastamento"))),VLOOKUP(J617,Conf!$H:$I,2,0))</f>
        <v>Demitido</v>
      </c>
      <c r="E617" s="71">
        <v>7</v>
      </c>
      <c r="F617" s="71">
        <v>27</v>
      </c>
      <c r="G617" s="71" t="s">
        <v>1220</v>
      </c>
      <c r="H617" s="71">
        <v>6</v>
      </c>
      <c r="I617" s="71" t="s">
        <v>230</v>
      </c>
      <c r="J617" s="71">
        <v>7</v>
      </c>
      <c r="K617" s="71" t="s">
        <v>2364</v>
      </c>
      <c r="L617" s="71" t="s">
        <v>1221</v>
      </c>
      <c r="M617" s="71" t="s">
        <v>2365</v>
      </c>
      <c r="N617" s="71">
        <v>3886062902</v>
      </c>
      <c r="Q617" s="71">
        <v>0</v>
      </c>
      <c r="R617" s="71" t="s">
        <v>2361</v>
      </c>
      <c r="S617" s="71" t="s">
        <v>2362</v>
      </c>
      <c r="T617" s="71" t="s">
        <v>2363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FRIOS</v>
      </c>
      <c r="C618" s="72" t="str">
        <f ca="1">IF(D618="Inativo","Inativo",IFERROR(VLOOKUP($G618,Conf!$F$19:$G$39,2,0),VLOOKUP($S618,Conf!$K:$M,3,0)))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299</v>
      </c>
      <c r="G618" s="71" t="s">
        <v>2366</v>
      </c>
      <c r="H618" s="71">
        <v>1008</v>
      </c>
      <c r="I618" s="71" t="s">
        <v>772</v>
      </c>
      <c r="J618" s="71">
        <v>1</v>
      </c>
      <c r="K618" s="71" t="s">
        <v>223</v>
      </c>
      <c r="L618" s="71" t="s">
        <v>2367</v>
      </c>
      <c r="M618" s="71" t="s">
        <v>2368</v>
      </c>
      <c r="N618" s="71">
        <v>12877374980</v>
      </c>
      <c r="Q618" s="71">
        <v>0</v>
      </c>
      <c r="R618" s="71" t="s">
        <v>2369</v>
      </c>
      <c r="S618" s="71" t="s">
        <v>2370</v>
      </c>
      <c r="T618" s="71" t="s">
        <v>2371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FRIOS</v>
      </c>
      <c r="C619" s="72" t="str">
        <f ca="1">IF(D619="Inativo","Inativo",IFERROR(VLOOKUP($G619,Conf!$F$19:$G$39,2,0),VLOOKUP($S619,Conf!$K:$M,3,0)))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161</v>
      </c>
      <c r="G619" s="71" t="s">
        <v>2372</v>
      </c>
      <c r="H619" s="71">
        <v>808</v>
      </c>
      <c r="I619" s="71" t="s">
        <v>230</v>
      </c>
      <c r="J619" s="71">
        <v>1</v>
      </c>
      <c r="K619" s="71" t="s">
        <v>223</v>
      </c>
      <c r="L619" s="71" t="s">
        <v>2373</v>
      </c>
      <c r="M619" s="71" t="s">
        <v>2374</v>
      </c>
      <c r="N619" s="71">
        <v>5216593969</v>
      </c>
      <c r="Q619" s="71">
        <v>0</v>
      </c>
      <c r="R619" s="71" t="s">
        <v>2369</v>
      </c>
      <c r="S619" s="71" t="s">
        <v>2370</v>
      </c>
      <c r="T619" s="71" t="s">
        <v>2371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HORTIFRUTI</v>
      </c>
      <c r="C620" s="72" t="str">
        <f ca="1">IF(D620="Inativo","Inativo",IFERROR(VLOOKUP($G620,Conf!$F$19:$G$39,2,0),VLOOKUP($S620,Conf!$K:$M,3,0)))</f>
        <v>GERENTE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1</v>
      </c>
      <c r="G620" s="71" t="s">
        <v>2375</v>
      </c>
      <c r="H620" s="71">
        <v>11</v>
      </c>
      <c r="I620" s="71" t="s">
        <v>400</v>
      </c>
      <c r="J620" s="71">
        <v>1</v>
      </c>
      <c r="K620" s="71" t="s">
        <v>223</v>
      </c>
      <c r="L620" s="71" t="s">
        <v>2376</v>
      </c>
      <c r="M620" s="71" t="s">
        <v>2193</v>
      </c>
      <c r="N620" s="71">
        <v>5916376936</v>
      </c>
      <c r="Q620" s="71">
        <v>0</v>
      </c>
      <c r="R620" s="71" t="s">
        <v>2377</v>
      </c>
      <c r="S620" s="71" t="s">
        <v>2378</v>
      </c>
      <c r="T620" s="71" t="s">
        <v>1162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HORTIFRUTI</v>
      </c>
      <c r="C621" s="72" t="str">
        <f ca="1">IF(D621="Inativo","Inativo",IFERROR(VLOOKUP($G621,Conf!$F$19:$G$39,2,0),VLOOKUP($S621,Conf!$K:$M,3,0)))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311</v>
      </c>
      <c r="G621" s="71" t="s">
        <v>2379</v>
      </c>
      <c r="H621" s="71">
        <v>925</v>
      </c>
      <c r="I621" s="71" t="s">
        <v>222</v>
      </c>
      <c r="J621" s="71">
        <v>1</v>
      </c>
      <c r="K621" s="71" t="s">
        <v>223</v>
      </c>
      <c r="L621" s="71" t="s">
        <v>2380</v>
      </c>
      <c r="M621" s="71" t="s">
        <v>1726</v>
      </c>
      <c r="N621" s="71">
        <v>7003497905</v>
      </c>
      <c r="Q621" s="71">
        <v>0</v>
      </c>
      <c r="R621" s="71" t="s">
        <v>2381</v>
      </c>
      <c r="S621" s="71" t="s">
        <v>2382</v>
      </c>
      <c r="T621" s="71" t="s">
        <v>1165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HORTIFRUTI</v>
      </c>
      <c r="C622" s="72" t="str">
        <f ca="1">IF(D622="Inativo","Inativo",IFERROR(VLOOKUP($G622,Conf!$F$19:$G$39,2,0),VLOOKUP($S622,Conf!$K:$M,3,0)))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209</v>
      </c>
      <c r="G622" s="71" t="s">
        <v>2383</v>
      </c>
      <c r="H622" s="71">
        <v>811</v>
      </c>
      <c r="I622" s="71" t="s">
        <v>230</v>
      </c>
      <c r="J622" s="71">
        <v>1</v>
      </c>
      <c r="K622" s="71" t="s">
        <v>223</v>
      </c>
      <c r="L622" s="71" t="s">
        <v>2384</v>
      </c>
      <c r="M622" s="71" t="s">
        <v>1168</v>
      </c>
      <c r="N622" s="71">
        <v>7732085930</v>
      </c>
      <c r="Q622" s="71">
        <v>0</v>
      </c>
      <c r="R622" s="71" t="s">
        <v>2381</v>
      </c>
      <c r="S622" s="71" t="s">
        <v>2382</v>
      </c>
      <c r="T622" s="71" t="s">
        <v>1165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HORTIFRUTI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269</v>
      </c>
      <c r="G623" s="71" t="s">
        <v>2385</v>
      </c>
      <c r="H623" s="71">
        <v>955</v>
      </c>
      <c r="I623" s="71" t="s">
        <v>238</v>
      </c>
      <c r="J623" s="71">
        <v>1</v>
      </c>
      <c r="K623" s="71" t="s">
        <v>223</v>
      </c>
      <c r="L623" s="71" t="s">
        <v>2386</v>
      </c>
      <c r="M623" s="71" t="s">
        <v>2387</v>
      </c>
      <c r="N623" s="71">
        <v>13386711979</v>
      </c>
      <c r="Q623" s="71">
        <v>0</v>
      </c>
      <c r="R623" s="71" t="s">
        <v>2381</v>
      </c>
      <c r="S623" s="71" t="s">
        <v>2382</v>
      </c>
      <c r="T623" s="71" t="s">
        <v>1165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HORTIFRUTI</v>
      </c>
      <c r="C624" s="72" t="str">
        <f ca="1">IF(D624="Inativo","Inativo",IFERROR(VLOOKUP($G624,Conf!$F$19:$G$39,2,0),VLOOKUP($S624,Conf!$K:$M,3,0)))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323</v>
      </c>
      <c r="G624" s="71" t="s">
        <v>2388</v>
      </c>
      <c r="H624" s="71">
        <v>47</v>
      </c>
      <c r="I624" s="71" t="s">
        <v>222</v>
      </c>
      <c r="J624" s="71">
        <v>1</v>
      </c>
      <c r="K624" s="71" t="s">
        <v>223</v>
      </c>
      <c r="L624" s="71" t="s">
        <v>2389</v>
      </c>
      <c r="M624" s="71" t="s">
        <v>623</v>
      </c>
      <c r="N624" s="71">
        <v>11764674928</v>
      </c>
      <c r="O624" s="71" t="s">
        <v>245</v>
      </c>
      <c r="P624" s="71" t="s">
        <v>246</v>
      </c>
      <c r="Q624" s="71">
        <v>0</v>
      </c>
      <c r="R624" s="71" t="s">
        <v>2381</v>
      </c>
      <c r="S624" s="71" t="s">
        <v>2382</v>
      </c>
      <c r="T624" s="71" t="s">
        <v>1165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HORTIFRUTI</v>
      </c>
      <c r="C625" s="72" t="str">
        <f ca="1">IF(D625="Inativo","Inativo",IFERROR(VLOOKUP($G625,Conf!$F$19:$G$39,2,0),VLOOKUP($S625,Conf!$K:$M,3,0)))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345</v>
      </c>
      <c r="G625" s="71" t="s">
        <v>2390</v>
      </c>
      <c r="H625" s="71">
        <v>47</v>
      </c>
      <c r="I625" s="71" t="s">
        <v>222</v>
      </c>
      <c r="J625" s="71">
        <v>1</v>
      </c>
      <c r="K625" s="71" t="s">
        <v>223</v>
      </c>
      <c r="L625" s="71" t="s">
        <v>2391</v>
      </c>
      <c r="M625" s="71" t="s">
        <v>426</v>
      </c>
      <c r="N625" s="71">
        <v>1819018970</v>
      </c>
      <c r="O625" s="71" t="s">
        <v>245</v>
      </c>
      <c r="P625" s="71" t="s">
        <v>246</v>
      </c>
      <c r="Q625" s="71">
        <v>0</v>
      </c>
      <c r="R625" s="71" t="s">
        <v>2381</v>
      </c>
      <c r="S625" s="71" t="s">
        <v>2382</v>
      </c>
      <c r="T625" s="71" t="s">
        <v>1165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HORTIFRUTI</v>
      </c>
      <c r="C626" s="72" t="str">
        <f ca="1">IF(D626="Inativo","Inativo",IFERROR(VLOOKUP($G626,Conf!$F$19:$G$39,2,0),VLOOKUP($S626,Conf!$K:$M,3,0)))</f>
        <v>REPOSITOR</v>
      </c>
      <c r="D626" s="72" t="str">
        <f ca="1">IFERROR(IF(TODAY()-K626&gt;365,"Inativo",IF(J626=2,"Férias",IF(J626=7,"Demitido","Afastamento"))),VLOOKUP(J626,Conf!$H:$I,2,0))</f>
        <v>Demitido</v>
      </c>
      <c r="E626" s="71">
        <v>7</v>
      </c>
      <c r="F626" s="71">
        <v>328</v>
      </c>
      <c r="G626" s="71" t="s">
        <v>2392</v>
      </c>
      <c r="H626" s="71">
        <v>47</v>
      </c>
      <c r="I626" s="71" t="s">
        <v>222</v>
      </c>
      <c r="J626" s="71">
        <v>7</v>
      </c>
      <c r="K626" s="71" t="s">
        <v>231</v>
      </c>
      <c r="L626" s="71" t="s">
        <v>2393</v>
      </c>
      <c r="M626" s="71" t="s">
        <v>449</v>
      </c>
      <c r="N626" s="71">
        <v>11497237939</v>
      </c>
      <c r="O626" s="71" t="s">
        <v>245</v>
      </c>
      <c r="P626" s="71" t="s">
        <v>246</v>
      </c>
      <c r="Q626" s="71">
        <v>0</v>
      </c>
      <c r="R626" s="71" t="s">
        <v>2381</v>
      </c>
      <c r="S626" s="71" t="s">
        <v>2382</v>
      </c>
      <c r="T626" s="71" t="s">
        <v>1165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Inativo</v>
      </c>
      <c r="C627" s="72" t="str">
        <f ca="1">IF(D627="Inativo","Inativo",IFERROR(VLOOKUP($G627,Conf!$F$19:$G$39,2,0),VLOOKUP($S627,Conf!$K:$M,3,0)))</f>
        <v>Inativo</v>
      </c>
      <c r="D627" s="72" t="str">
        <f ca="1">IFERROR(IF(TODAY()-K627&gt;365,"Inativo",IF(J627=2,"Férias",IF(J627=7,"Demitido","Afastamento"))),VLOOKUP(J627,Conf!$H:$I,2,0))</f>
        <v>Inativo</v>
      </c>
      <c r="E627" s="71">
        <v>7</v>
      </c>
      <c r="F627" s="71">
        <v>129</v>
      </c>
      <c r="G627" s="71" t="s">
        <v>2394</v>
      </c>
      <c r="H627" s="71">
        <v>931</v>
      </c>
      <c r="I627" s="71" t="s">
        <v>222</v>
      </c>
      <c r="J627" s="71">
        <v>3</v>
      </c>
      <c r="K627" s="71" t="s">
        <v>2395</v>
      </c>
      <c r="L627" s="71" t="s">
        <v>2396</v>
      </c>
      <c r="M627" s="71" t="s">
        <v>2397</v>
      </c>
      <c r="N627" s="71">
        <v>7287728419</v>
      </c>
      <c r="Q627" s="71">
        <v>0</v>
      </c>
      <c r="R627" s="71" t="s">
        <v>2398</v>
      </c>
      <c r="S627" s="71" t="s">
        <v>2399</v>
      </c>
      <c r="T627" s="71" t="s">
        <v>2400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Inativo</v>
      </c>
      <c r="C628" s="72" t="str">
        <f ca="1">IF(D628="Inativo","Inativo",IFERROR(VLOOKUP($G628,Conf!$F$19:$G$39,2,0),VLOOKUP($S628,Conf!$K:$M,3,0)))</f>
        <v>Inativo</v>
      </c>
      <c r="D628" s="72" t="str">
        <f ca="1">IFERROR(IF(TODAY()-K628&gt;365,"Inativo",IF(J628=2,"Férias",IF(J628=7,"Demitido","Afastamento"))),VLOOKUP(J628,Conf!$H:$I,2,0))</f>
        <v>Inativo</v>
      </c>
      <c r="E628" s="71">
        <v>7</v>
      </c>
      <c r="F628" s="71">
        <v>86</v>
      </c>
      <c r="G628" s="71" t="s">
        <v>2401</v>
      </c>
      <c r="H628" s="71">
        <v>166</v>
      </c>
      <c r="I628" s="71" t="s">
        <v>347</v>
      </c>
      <c r="J628" s="71">
        <v>3</v>
      </c>
      <c r="K628" s="71" t="s">
        <v>2402</v>
      </c>
      <c r="L628" s="71" t="s">
        <v>2403</v>
      </c>
      <c r="M628" s="71" t="s">
        <v>2404</v>
      </c>
      <c r="N628" s="71">
        <v>26659289810</v>
      </c>
      <c r="Q628" s="71">
        <v>0</v>
      </c>
      <c r="R628" s="71" t="s">
        <v>2206</v>
      </c>
      <c r="S628" s="71" t="s">
        <v>2207</v>
      </c>
      <c r="T628" s="71" t="s">
        <v>2208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Inativo</v>
      </c>
      <c r="C629" s="72" t="str">
        <f ca="1">IF(D629="Inativo","Inativo",IFERROR(VLOOKUP($G629,Conf!$F$19:$G$39,2,0),VLOOKUP($S629,Conf!$K:$M,3,0)))</f>
        <v>Inativo</v>
      </c>
      <c r="D629" s="72" t="str">
        <f ca="1">IFERROR(IF(TODAY()-K629&gt;365,"Inativo",IF(J629=2,"Férias",IF(J629=7,"Demitido","Afastamento"))),VLOOKUP(J629,Conf!$H:$I,2,0))</f>
        <v>Inativo</v>
      </c>
      <c r="E629" s="71">
        <v>7</v>
      </c>
      <c r="F629" s="71">
        <v>168</v>
      </c>
      <c r="G629" s="71" t="s">
        <v>2405</v>
      </c>
      <c r="H629" s="71">
        <v>942</v>
      </c>
      <c r="I629" s="71" t="s">
        <v>740</v>
      </c>
      <c r="J629" s="71">
        <v>3</v>
      </c>
      <c r="K629" s="71" t="s">
        <v>2406</v>
      </c>
      <c r="L629" s="71" t="s">
        <v>2407</v>
      </c>
      <c r="M629" s="71" t="s">
        <v>2408</v>
      </c>
      <c r="N629" s="71">
        <v>94570094953</v>
      </c>
      <c r="Q629" s="71">
        <v>0</v>
      </c>
      <c r="R629" s="71" t="s">
        <v>2409</v>
      </c>
      <c r="S629" s="71" t="s">
        <v>2410</v>
      </c>
      <c r="T629" s="71" t="s">
        <v>2411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LIMPEZA</v>
      </c>
      <c r="C630" s="72" t="str">
        <f ca="1">IF(D630="Inativo","Inativo",IFERROR(VLOOKUP($G630,Conf!$F$19:$G$39,2,0),VLOOKUP($S630,Conf!$K:$M,3,0)))</f>
        <v>ZELADOR(A)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337</v>
      </c>
      <c r="G630" s="71" t="s">
        <v>2412</v>
      </c>
      <c r="H630" s="71">
        <v>1007</v>
      </c>
      <c r="I630" s="71" t="s">
        <v>772</v>
      </c>
      <c r="J630" s="71">
        <v>1</v>
      </c>
      <c r="K630" s="71" t="s">
        <v>223</v>
      </c>
      <c r="L630" s="71" t="s">
        <v>2413</v>
      </c>
      <c r="M630" s="71" t="s">
        <v>322</v>
      </c>
      <c r="N630" s="71">
        <v>1988647959</v>
      </c>
      <c r="O630" s="71" t="s">
        <v>245</v>
      </c>
      <c r="P630" s="71" t="s">
        <v>246</v>
      </c>
      <c r="Q630" s="71">
        <v>0</v>
      </c>
      <c r="R630" s="71" t="s">
        <v>2414</v>
      </c>
      <c r="S630" s="71" t="s">
        <v>2415</v>
      </c>
      <c r="T630" s="71" t="s">
        <v>2416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LIMPEZA</v>
      </c>
      <c r="C631" s="72" t="str">
        <f ca="1">IF(D631="Inativo","Inativo",IFERROR(VLOOKUP($G631,Conf!$F$19:$G$39,2,0),VLOOKUP($S631,Conf!$K:$M,3,0)))</f>
        <v>ZELADOR(A)</v>
      </c>
      <c r="D631" s="72" t="str">
        <f ca="1">IFERROR(IF(TODAY()-K631&gt;365,"Inativo",IF(J631=2,"Férias",IF(J631=7,"Demitido","Afastamento"))),VLOOKUP(J631,Conf!$H:$I,2,0))</f>
        <v>Férias</v>
      </c>
      <c r="E631" s="71">
        <v>7</v>
      </c>
      <c r="F631" s="71">
        <v>210</v>
      </c>
      <c r="G631" s="71" t="s">
        <v>2417</v>
      </c>
      <c r="H631" s="71">
        <v>916</v>
      </c>
      <c r="I631" s="71" t="s">
        <v>222</v>
      </c>
      <c r="J631" s="71">
        <v>2</v>
      </c>
      <c r="K631" s="71" t="s">
        <v>3642</v>
      </c>
      <c r="L631" s="71" t="s">
        <v>2418</v>
      </c>
      <c r="M631" s="71" t="s">
        <v>1138</v>
      </c>
      <c r="N631" s="71">
        <v>10304049921</v>
      </c>
      <c r="Q631" s="71">
        <v>0</v>
      </c>
      <c r="R631" s="71" t="s">
        <v>2414</v>
      </c>
      <c r="S631" s="71" t="s">
        <v>2415</v>
      </c>
      <c r="T631" s="71" t="s">
        <v>2416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LIMPEZA</v>
      </c>
      <c r="C632" s="72" t="str">
        <f ca="1">IF(D632="Inativo","Inativo",IFERROR(VLOOKUP($G632,Conf!$F$19:$G$39,2,0),VLOOKUP($S632,Conf!$K:$M,3,0)))</f>
        <v>ZELADOR(A)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13</v>
      </c>
      <c r="G632" s="71" t="s">
        <v>2419</v>
      </c>
      <c r="H632" s="71">
        <v>935</v>
      </c>
      <c r="I632" s="71" t="s">
        <v>740</v>
      </c>
      <c r="J632" s="71">
        <v>1</v>
      </c>
      <c r="K632" s="71" t="s">
        <v>223</v>
      </c>
      <c r="L632" s="71" t="s">
        <v>2420</v>
      </c>
      <c r="M632" s="71" t="s">
        <v>2193</v>
      </c>
      <c r="N632" s="71">
        <v>63975335904</v>
      </c>
      <c r="Q632" s="71">
        <v>0</v>
      </c>
      <c r="R632" s="71" t="s">
        <v>2414</v>
      </c>
      <c r="S632" s="71" t="s">
        <v>2415</v>
      </c>
      <c r="T632" s="71" t="s">
        <v>2416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LIMPEZA</v>
      </c>
      <c r="C633" s="72" t="str">
        <f ca="1">IF(D633="Inativo","Inativo",IFERROR(VLOOKUP($G633,Conf!$F$19:$G$39,2,0),VLOOKUP($S633,Conf!$K:$M,3,0)))</f>
        <v>ZELADOR(A)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220</v>
      </c>
      <c r="G633" s="71" t="s">
        <v>2421</v>
      </c>
      <c r="H633" s="71">
        <v>949</v>
      </c>
      <c r="I633" s="71" t="s">
        <v>740</v>
      </c>
      <c r="J633" s="71">
        <v>1</v>
      </c>
      <c r="K633" s="71" t="s">
        <v>223</v>
      </c>
      <c r="L633" s="71" t="s">
        <v>2422</v>
      </c>
      <c r="M633" s="71" t="s">
        <v>2423</v>
      </c>
      <c r="N633" s="71">
        <v>6842256976</v>
      </c>
      <c r="Q633" s="71">
        <v>0</v>
      </c>
      <c r="R633" s="71" t="s">
        <v>2414</v>
      </c>
      <c r="S633" s="71" t="s">
        <v>2415</v>
      </c>
      <c r="T633" s="71" t="s">
        <v>2416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LOJA</v>
      </c>
      <c r="C634" s="72" t="str">
        <f ca="1">IF(D634="Inativo","Inativo",IFERROR(VLOOKUP($G634,Conf!$F$19:$G$39,2,0),VLOOKUP($S634,Conf!$K:$M,3,0)))</f>
        <v>APRENDIZ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1667</v>
      </c>
      <c r="G634" s="71" t="s">
        <v>2424</v>
      </c>
      <c r="H634" s="71">
        <v>1128</v>
      </c>
      <c r="I634" s="71" t="s">
        <v>2425</v>
      </c>
      <c r="J634" s="71">
        <v>1</v>
      </c>
      <c r="K634" s="71" t="s">
        <v>223</v>
      </c>
      <c r="L634" s="71" t="s">
        <v>2426</v>
      </c>
      <c r="M634" s="71" t="s">
        <v>2227</v>
      </c>
      <c r="N634" s="71">
        <v>16426427977</v>
      </c>
      <c r="Q634" s="71">
        <v>0</v>
      </c>
      <c r="R634" s="71" t="s">
        <v>2427</v>
      </c>
      <c r="S634" s="71" t="s">
        <v>606</v>
      </c>
      <c r="T634" s="71" t="s">
        <v>2428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LOJA</v>
      </c>
      <c r="C635" s="72" t="str">
        <f ca="1">IF(D635="Inativo","Inativo",IFERROR(VLOOKUP($G635,Conf!$F$19:$G$39,2,0),VLOOKUP($S635,Conf!$K:$M,3,0)))</f>
        <v>APRENDIZ</v>
      </c>
      <c r="D635" s="72" t="str">
        <f ca="1">IFERROR(IF(TODAY()-K635&gt;365,"Inativo",IF(J635=2,"Férias",IF(J635=7,"Demitido","Afastamento"))),VLOOKUP(J635,Conf!$H:$I,2,0))</f>
        <v>Ativos</v>
      </c>
      <c r="E635" s="71">
        <v>7</v>
      </c>
      <c r="F635" s="71">
        <v>1668</v>
      </c>
      <c r="G635" s="71" t="s">
        <v>2429</v>
      </c>
      <c r="H635" s="71">
        <v>1128</v>
      </c>
      <c r="I635" s="71" t="s">
        <v>2425</v>
      </c>
      <c r="J635" s="71">
        <v>1</v>
      </c>
      <c r="K635" s="71" t="s">
        <v>223</v>
      </c>
      <c r="L635" s="71" t="s">
        <v>2430</v>
      </c>
      <c r="M635" s="71" t="s">
        <v>2227</v>
      </c>
      <c r="N635" s="71">
        <v>13515775900</v>
      </c>
      <c r="Q635" s="71">
        <v>0</v>
      </c>
      <c r="R635" s="71" t="s">
        <v>2427</v>
      </c>
      <c r="S635" s="71" t="s">
        <v>606</v>
      </c>
      <c r="T635" s="71" t="s">
        <v>2428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LOJA</v>
      </c>
      <c r="C636" s="72" t="str">
        <f ca="1">IF(D636="Inativo","Inativo",IFERROR(VLOOKUP($G636,Conf!$F$19:$G$39,2,0),VLOOKUP($S636,Conf!$K:$M,3,0)))</f>
        <v>CARTAZISTA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319</v>
      </c>
      <c r="G636" s="71" t="s">
        <v>2431</v>
      </c>
      <c r="H636" s="71">
        <v>189</v>
      </c>
      <c r="I636" s="71" t="s">
        <v>799</v>
      </c>
      <c r="J636" s="71">
        <v>1</v>
      </c>
      <c r="K636" s="71" t="s">
        <v>223</v>
      </c>
      <c r="L636" s="71" t="s">
        <v>2432</v>
      </c>
      <c r="M636" s="71" t="s">
        <v>2322</v>
      </c>
      <c r="N636" s="71">
        <v>6462925957</v>
      </c>
      <c r="O636" s="71" t="s">
        <v>245</v>
      </c>
      <c r="P636" s="71" t="s">
        <v>246</v>
      </c>
      <c r="Q636" s="71">
        <v>0</v>
      </c>
      <c r="R636" s="71" t="s">
        <v>2433</v>
      </c>
      <c r="S636" s="71" t="s">
        <v>2031</v>
      </c>
      <c r="T636" s="71" t="s">
        <v>2434</v>
      </c>
    </row>
    <row r="637" spans="1:20" x14ac:dyDescent="0.3">
      <c r="A637" s="72">
        <f>IFERROR(VLOOKUP($G637,Conf!$B:$C,2,0),E637)</f>
        <v>7</v>
      </c>
      <c r="B637" s="72" t="str">
        <f ca="1">IF(D637="Inativo","Inativo",VLOOKUP($S637,Conf!$K:$M,2,0))</f>
        <v>LOJA</v>
      </c>
      <c r="C637" s="72" t="str">
        <f ca="1">IF(D637="Inativo","Inativo",IFERROR(VLOOKUP($G637,Conf!$F$19:$G$39,2,0),VLOOKUP($S637,Conf!$K:$M,3,0)))</f>
        <v>GERENTE</v>
      </c>
      <c r="D637" s="72" t="str">
        <f ca="1">IFERROR(IF(TODAY()-K637&gt;365,"Inativo",IF(J637=2,"Férias",IF(J637=7,"Demitido","Afastamento"))),VLOOKUP(J637,Conf!$H:$I,2,0))</f>
        <v>Ativos</v>
      </c>
      <c r="E637" s="71">
        <v>7</v>
      </c>
      <c r="F637" s="71">
        <v>257</v>
      </c>
      <c r="G637" s="71" t="s">
        <v>2435</v>
      </c>
      <c r="H637" s="71">
        <v>12</v>
      </c>
      <c r="I637" s="71" t="s">
        <v>639</v>
      </c>
      <c r="J637" s="71">
        <v>1</v>
      </c>
      <c r="K637" s="71" t="s">
        <v>223</v>
      </c>
      <c r="L637" s="71" t="s">
        <v>2436</v>
      </c>
      <c r="M637" s="71" t="s">
        <v>2437</v>
      </c>
      <c r="N637" s="71">
        <v>8109441971</v>
      </c>
      <c r="Q637" s="71">
        <v>0</v>
      </c>
      <c r="R637" s="71" t="s">
        <v>393</v>
      </c>
      <c r="S637" s="71" t="s">
        <v>2438</v>
      </c>
      <c r="T637" s="71" t="s">
        <v>395</v>
      </c>
    </row>
    <row r="638" spans="1:20" x14ac:dyDescent="0.3">
      <c r="A638" s="72">
        <f>IFERROR(VLOOKUP($G638,Conf!$B:$C,2,0),E638)</f>
        <v>7</v>
      </c>
      <c r="B638" s="72" t="str">
        <f ca="1">IF(D638="Inativo","Inativo",VLOOKUP($S638,Conf!$K:$M,2,0))</f>
        <v>LOJA</v>
      </c>
      <c r="C638" s="72" t="str">
        <f ca="1">IF(D638="Inativo","Inativo",IFERROR(VLOOKUP($G638,Conf!$F$19:$G$39,2,0),VLOOKUP($S638,Conf!$K:$M,3,0)))</f>
        <v>REPOSITOR</v>
      </c>
      <c r="D638" s="72" t="str">
        <f ca="1">IFERROR(IF(TODAY()-K638&gt;365,"Inativo",IF(J638=2,"Férias",IF(J638=7,"Demitido","Afastamento"))),VLOOKUP(J638,Conf!$H:$I,2,0))</f>
        <v>Demitido</v>
      </c>
      <c r="E638" s="71">
        <v>7</v>
      </c>
      <c r="F638" s="71">
        <v>339</v>
      </c>
      <c r="G638" s="71" t="s">
        <v>2443</v>
      </c>
      <c r="H638" s="71">
        <v>133</v>
      </c>
      <c r="I638" s="71" t="s">
        <v>494</v>
      </c>
      <c r="J638" s="71">
        <v>7</v>
      </c>
      <c r="K638" s="71" t="s">
        <v>3642</v>
      </c>
      <c r="L638" s="71" t="s">
        <v>2444</v>
      </c>
      <c r="M638" s="71" t="s">
        <v>231</v>
      </c>
      <c r="N638" s="71">
        <v>7723608985</v>
      </c>
      <c r="O638" s="71" t="s">
        <v>245</v>
      </c>
      <c r="P638" s="71" t="s">
        <v>246</v>
      </c>
      <c r="Q638" s="71">
        <v>0</v>
      </c>
      <c r="R638" s="71" t="s">
        <v>403</v>
      </c>
      <c r="S638" s="71" t="s">
        <v>2445</v>
      </c>
      <c r="T638" s="71" t="s">
        <v>405</v>
      </c>
    </row>
    <row r="639" spans="1:20" x14ac:dyDescent="0.3">
      <c r="A639" s="72">
        <f>IFERROR(VLOOKUP($G639,Conf!$B:$C,2,0),E639)</f>
        <v>7</v>
      </c>
      <c r="B639" s="72" t="str">
        <f ca="1">IF(D639="Inativo","Inativo",VLOOKUP($S639,Conf!$K:$M,2,0))</f>
        <v>LOJA</v>
      </c>
      <c r="C639" s="72" t="str">
        <f ca="1">IF(D639="Inativo","Inativo",IFERROR(VLOOKUP($G639,Conf!$F$19:$G$39,2,0),VLOOKUP($S639,Conf!$K:$M,3,0)))</f>
        <v>REPOSITOR</v>
      </c>
      <c r="D639" s="72" t="str">
        <f ca="1">IFERROR(IF(TODAY()-K639&gt;365,"Inativo",IF(J639=2,"Férias",IF(J639=7,"Demitido","Afastamento"))),VLOOKUP(J639,Conf!$H:$I,2,0))</f>
        <v>Ativos</v>
      </c>
      <c r="E639" s="71">
        <v>7</v>
      </c>
      <c r="F639" s="71">
        <v>333</v>
      </c>
      <c r="G639" s="71" t="s">
        <v>2446</v>
      </c>
      <c r="H639" s="71">
        <v>47</v>
      </c>
      <c r="I639" s="71" t="s">
        <v>222</v>
      </c>
      <c r="J639" s="71">
        <v>1</v>
      </c>
      <c r="K639" s="71" t="s">
        <v>223</v>
      </c>
      <c r="L639" s="71" t="s">
        <v>2447</v>
      </c>
      <c r="M639" s="71" t="s">
        <v>2306</v>
      </c>
      <c r="N639" s="71">
        <v>31215953852</v>
      </c>
      <c r="O639" s="71" t="s">
        <v>245</v>
      </c>
      <c r="P639" s="71" t="s">
        <v>246</v>
      </c>
      <c r="Q639" s="71">
        <v>0</v>
      </c>
      <c r="R639" s="71" t="s">
        <v>403</v>
      </c>
      <c r="S639" s="71" t="s">
        <v>2445</v>
      </c>
      <c r="T639" s="71" t="s">
        <v>405</v>
      </c>
    </row>
    <row r="640" spans="1:20" x14ac:dyDescent="0.3">
      <c r="A640" s="72">
        <f>IFERROR(VLOOKUP($G640,Conf!$B:$C,2,0),E640)</f>
        <v>7</v>
      </c>
      <c r="B640" s="72" t="str">
        <f ca="1">IF(D640="Inativo","Inativo",VLOOKUP($S640,Conf!$K:$M,2,0))</f>
        <v>LOJA</v>
      </c>
      <c r="C640" s="72" t="str">
        <f ca="1">IF(D640="Inativo","Inativo",IFERROR(VLOOKUP($G640,Conf!$F$19:$G$39,2,0),VLOOKUP($S640,Conf!$K:$M,3,0)))</f>
        <v>REPOSITOR</v>
      </c>
      <c r="D640" s="72" t="str">
        <f ca="1">IFERROR(IF(TODAY()-K640&gt;365,"Inativo",IF(J640=2,"Férias",IF(J640=7,"Demitido","Afastamento"))),VLOOKUP(J640,Conf!$H:$I,2,0))</f>
        <v>Demitido</v>
      </c>
      <c r="E640" s="71">
        <v>7</v>
      </c>
      <c r="F640" s="71">
        <v>340</v>
      </c>
      <c r="G640" s="71" t="s">
        <v>2448</v>
      </c>
      <c r="H640" s="71">
        <v>531</v>
      </c>
      <c r="I640" s="71" t="s">
        <v>222</v>
      </c>
      <c r="J640" s="71">
        <v>7</v>
      </c>
      <c r="K640" s="71" t="s">
        <v>3661</v>
      </c>
      <c r="L640" s="71" t="s">
        <v>2449</v>
      </c>
      <c r="M640" s="71" t="s">
        <v>231</v>
      </c>
      <c r="N640" s="71">
        <v>13614507971</v>
      </c>
      <c r="O640" s="71" t="s">
        <v>245</v>
      </c>
      <c r="P640" s="71" t="s">
        <v>246</v>
      </c>
      <c r="Q640" s="71">
        <v>0</v>
      </c>
      <c r="R640" s="71" t="s">
        <v>403</v>
      </c>
      <c r="S640" s="71" t="s">
        <v>2445</v>
      </c>
      <c r="T640" s="71" t="s">
        <v>405</v>
      </c>
    </row>
    <row r="641" spans="1:20" x14ac:dyDescent="0.3">
      <c r="A641" s="72">
        <f>IFERROR(VLOOKUP($G641,Conf!$B:$C,2,0),E641)</f>
        <v>7</v>
      </c>
      <c r="B641" s="72" t="str">
        <f ca="1">IF(D641="Inativo","Inativo",VLOOKUP($S641,Conf!$K:$M,2,0))</f>
        <v>LOJA</v>
      </c>
      <c r="C641" s="72" t="str">
        <f ca="1">IF(D641="Inativo","Inativo",IFERROR(VLOOKUP($G641,Conf!$F$19:$G$39,2,0),VLOOKUP($S641,Conf!$K:$M,3,0)))</f>
        <v>RECEBEDOR</v>
      </c>
      <c r="D641" s="72" t="str">
        <f ca="1">IFERROR(IF(TODAY()-K641&gt;365,"Inativo",IF(J641=2,"Férias",IF(J641=7,"Demitido","Afastamento"))),VLOOKUP(J641,Conf!$H:$I,2,0))</f>
        <v>Ativos</v>
      </c>
      <c r="E641" s="71">
        <v>7</v>
      </c>
      <c r="F641" s="71">
        <v>234</v>
      </c>
      <c r="G641" s="71" t="s">
        <v>2450</v>
      </c>
      <c r="H641" s="71">
        <v>9</v>
      </c>
      <c r="I641" s="71" t="s">
        <v>945</v>
      </c>
      <c r="J641" s="71">
        <v>1</v>
      </c>
      <c r="K641" s="71" t="s">
        <v>223</v>
      </c>
      <c r="L641" s="71" t="s">
        <v>2451</v>
      </c>
      <c r="M641" s="71" t="s">
        <v>2452</v>
      </c>
      <c r="N641" s="71">
        <v>9356586969</v>
      </c>
      <c r="Q641" s="71">
        <v>0</v>
      </c>
      <c r="R641" s="71" t="s">
        <v>1058</v>
      </c>
      <c r="S641" s="71" t="s">
        <v>2453</v>
      </c>
      <c r="T641" s="71" t="s">
        <v>753</v>
      </c>
    </row>
    <row r="642" spans="1:20" x14ac:dyDescent="0.3">
      <c r="A642" s="72">
        <f>IFERROR(VLOOKUP($G642,Conf!$B:$C,2,0),E642)</f>
        <v>7</v>
      </c>
      <c r="B642" s="72" t="str">
        <f ca="1">IF(D642="Inativo","Inativo",VLOOKUP($S642,Conf!$K:$M,2,0))</f>
        <v>LOJA</v>
      </c>
      <c r="C642" s="72" t="str">
        <f ca="1">IF(D642="Inativo","Inativo",IFERROR(VLOOKUP($G642,Conf!$F$19:$G$39,2,0),VLOOKUP($S642,Conf!$K:$M,3,0)))</f>
        <v>REPOSITOR</v>
      </c>
      <c r="D642" s="72" t="str">
        <f ca="1">IFERROR(IF(TODAY()-K642&gt;365,"Inativo",IF(J642=2,"Férias",IF(J642=7,"Demitido","Afastamento"))),VLOOKUP(J642,Conf!$H:$I,2,0))</f>
        <v>Ativos</v>
      </c>
      <c r="E642" s="71">
        <v>7</v>
      </c>
      <c r="F642" s="71">
        <v>342</v>
      </c>
      <c r="G642" s="71" t="s">
        <v>2454</v>
      </c>
      <c r="H642" s="71">
        <v>926</v>
      </c>
      <c r="I642" s="71" t="s">
        <v>222</v>
      </c>
      <c r="J642" s="71">
        <v>1</v>
      </c>
      <c r="K642" s="71" t="s">
        <v>223</v>
      </c>
      <c r="L642" s="71" t="s">
        <v>2455</v>
      </c>
      <c r="M642" s="71" t="s">
        <v>231</v>
      </c>
      <c r="N642" s="71">
        <v>11646356977</v>
      </c>
      <c r="O642" s="71" t="s">
        <v>245</v>
      </c>
      <c r="P642" s="71" t="s">
        <v>246</v>
      </c>
      <c r="Q642" s="71">
        <v>0</v>
      </c>
      <c r="R642" s="71" t="s">
        <v>403</v>
      </c>
      <c r="S642" s="71" t="s">
        <v>2445</v>
      </c>
      <c r="T642" s="71" t="s">
        <v>405</v>
      </c>
    </row>
    <row r="643" spans="1:20" x14ac:dyDescent="0.3">
      <c r="A643" s="72">
        <f>IFERROR(VLOOKUP($G643,Conf!$B:$C,2,0),E643)</f>
        <v>7</v>
      </c>
      <c r="B643" s="72" t="str">
        <f ca="1">IF(D643="Inativo","Inativo",VLOOKUP($S643,Conf!$K:$M,2,0))</f>
        <v>LOJA</v>
      </c>
      <c r="C643" s="72" t="str">
        <f ca="1">IF(D643="Inativo","Inativo",IFERROR(VLOOKUP($G643,Conf!$F$19:$G$39,2,0),VLOOKUP($S643,Conf!$K:$M,3,0)))</f>
        <v>REPOSITOR</v>
      </c>
      <c r="D643" s="72" t="str">
        <f ca="1">IFERROR(IF(TODAY()-K643&gt;365,"Inativo",IF(J643=2,"Férias",IF(J643=7,"Demitido","Afastamento"))),VLOOKUP(J643,Conf!$H:$I,2,0))</f>
        <v>Ativos</v>
      </c>
      <c r="E643" s="71">
        <v>7</v>
      </c>
      <c r="F643" s="71">
        <v>321</v>
      </c>
      <c r="G643" s="71" t="s">
        <v>2456</v>
      </c>
      <c r="H643" s="71">
        <v>521</v>
      </c>
      <c r="I643" s="71" t="s">
        <v>222</v>
      </c>
      <c r="J643" s="71">
        <v>1</v>
      </c>
      <c r="K643" s="71" t="s">
        <v>223</v>
      </c>
      <c r="L643" s="71" t="s">
        <v>2457</v>
      </c>
      <c r="M643" s="71" t="s">
        <v>738</v>
      </c>
      <c r="N643" s="71">
        <v>11975098951</v>
      </c>
      <c r="O643" s="71" t="s">
        <v>245</v>
      </c>
      <c r="P643" s="71" t="s">
        <v>246</v>
      </c>
      <c r="Q643" s="71">
        <v>0</v>
      </c>
      <c r="R643" s="71" t="s">
        <v>403</v>
      </c>
      <c r="S643" s="71" t="s">
        <v>2445</v>
      </c>
      <c r="T643" s="71" t="s">
        <v>405</v>
      </c>
    </row>
    <row r="644" spans="1:20" x14ac:dyDescent="0.3">
      <c r="A644" s="72">
        <f>IFERROR(VLOOKUP($G644,Conf!$B:$C,2,0),E644)</f>
        <v>7</v>
      </c>
      <c r="B644" s="72" t="str">
        <f ca="1">IF(D644="Inativo","Inativo",VLOOKUP($S644,Conf!$K:$M,2,0))</f>
        <v>LOJA</v>
      </c>
      <c r="C644" s="72" t="str">
        <f ca="1">IF(D644="Inativo","Inativo",IFERROR(VLOOKUP($G644,Conf!$F$19:$G$39,2,0),VLOOKUP($S644,Conf!$K:$M,3,0)))</f>
        <v>REPOSITOR</v>
      </c>
      <c r="D644" s="72" t="str">
        <f ca="1">IFERROR(IF(TODAY()-K644&gt;365,"Inativo",IF(J644=2,"Férias",IF(J644=7,"Demitido","Afastamento"))),VLOOKUP(J644,Conf!$H:$I,2,0))</f>
        <v>Demitido</v>
      </c>
      <c r="E644" s="71">
        <v>7</v>
      </c>
      <c r="F644" s="71">
        <v>335</v>
      </c>
      <c r="G644" s="71" t="s">
        <v>2458</v>
      </c>
      <c r="H644" s="71">
        <v>47</v>
      </c>
      <c r="I644" s="71" t="s">
        <v>222</v>
      </c>
      <c r="J644" s="71">
        <v>7</v>
      </c>
      <c r="K644" s="71" t="s">
        <v>337</v>
      </c>
      <c r="L644" s="71" t="s">
        <v>2459</v>
      </c>
      <c r="M644" s="71" t="s">
        <v>2069</v>
      </c>
      <c r="N644" s="71">
        <v>12463844930</v>
      </c>
      <c r="O644" s="71" t="s">
        <v>245</v>
      </c>
      <c r="P644" s="71" t="s">
        <v>246</v>
      </c>
      <c r="Q644" s="71">
        <v>0</v>
      </c>
      <c r="R644" s="71" t="s">
        <v>403</v>
      </c>
      <c r="S644" s="71" t="s">
        <v>2445</v>
      </c>
      <c r="T644" s="71" t="s">
        <v>405</v>
      </c>
    </row>
    <row r="645" spans="1:20" x14ac:dyDescent="0.3">
      <c r="A645" s="72">
        <f>IFERROR(VLOOKUP($G645,Conf!$B:$C,2,0),E645)</f>
        <v>7</v>
      </c>
      <c r="B645" s="72" t="str">
        <f ca="1">IF(D645="Inativo","Inativo",VLOOKUP($S645,Conf!$K:$M,2,0))</f>
        <v>LOJA</v>
      </c>
      <c r="C645" s="72" t="str">
        <f ca="1">IF(D645="Inativo","Inativo",IFERROR(VLOOKUP($G645,Conf!$F$19:$G$39,2,0),VLOOKUP($S645,Conf!$K:$M,3,0)))</f>
        <v>REPOSITOR</v>
      </c>
      <c r="D645" s="72" t="str">
        <f ca="1">IFERROR(IF(TODAY()-K645&gt;365,"Inativo",IF(J645=2,"Férias",IF(J645=7,"Demitido","Afastamento"))),VLOOKUP(J645,Conf!$H:$I,2,0))</f>
        <v>Ativos</v>
      </c>
      <c r="E645" s="71">
        <v>7</v>
      </c>
      <c r="F645" s="71">
        <v>228</v>
      </c>
      <c r="G645" s="71" t="s">
        <v>2460</v>
      </c>
      <c r="H645" s="71">
        <v>967</v>
      </c>
      <c r="I645" s="71" t="s">
        <v>238</v>
      </c>
      <c r="J645" s="71">
        <v>1</v>
      </c>
      <c r="K645" s="71" t="s">
        <v>223</v>
      </c>
      <c r="L645" s="71" t="s">
        <v>2461</v>
      </c>
      <c r="M645" s="71" t="s">
        <v>2462</v>
      </c>
      <c r="N645" s="71">
        <v>8453875960</v>
      </c>
      <c r="Q645" s="71">
        <v>0</v>
      </c>
      <c r="R645" s="71" t="s">
        <v>403</v>
      </c>
      <c r="S645" s="71" t="s">
        <v>2445</v>
      </c>
      <c r="T645" s="71" t="s">
        <v>405</v>
      </c>
    </row>
    <row r="646" spans="1:20" x14ac:dyDescent="0.3">
      <c r="A646" s="72">
        <f>IFERROR(VLOOKUP($G646,Conf!$B:$C,2,0),E646)</f>
        <v>7</v>
      </c>
      <c r="B646" s="72" t="str">
        <f ca="1">IF(D646="Inativo","Inativo",VLOOKUP($S646,Conf!$K:$M,2,0))</f>
        <v>LOJA</v>
      </c>
      <c r="C646" s="72" t="str">
        <f ca="1">IF(D646="Inativo","Inativo",IFERROR(VLOOKUP($G646,Conf!$F$19:$G$39,2,0),VLOOKUP($S646,Conf!$K:$M,3,0)))</f>
        <v>REPOSITOR</v>
      </c>
      <c r="D646" s="72" t="str">
        <f ca="1">IFERROR(IF(TODAY()-K646&gt;365,"Inativo",IF(J646=2,"Férias",IF(J646=7,"Demitido","Afastamento"))),VLOOKUP(J646,Conf!$H:$I,2,0))</f>
        <v>Ativos</v>
      </c>
      <c r="E646" s="71">
        <v>7</v>
      </c>
      <c r="F646" s="71">
        <v>30</v>
      </c>
      <c r="G646" s="71" t="s">
        <v>2463</v>
      </c>
      <c r="H646" s="71">
        <v>862</v>
      </c>
      <c r="I646" s="71" t="s">
        <v>364</v>
      </c>
      <c r="J646" s="71">
        <v>1</v>
      </c>
      <c r="K646" s="71" t="s">
        <v>223</v>
      </c>
      <c r="L646" s="71" t="s">
        <v>2464</v>
      </c>
      <c r="M646" s="71" t="s">
        <v>2465</v>
      </c>
      <c r="N646" s="71">
        <v>2055471929</v>
      </c>
      <c r="Q646" s="71">
        <v>0</v>
      </c>
      <c r="R646" s="71" t="s">
        <v>403</v>
      </c>
      <c r="S646" s="71" t="s">
        <v>2445</v>
      </c>
      <c r="T646" s="71" t="s">
        <v>405</v>
      </c>
    </row>
    <row r="647" spans="1:20" x14ac:dyDescent="0.3">
      <c r="A647" s="72">
        <f>IFERROR(VLOOKUP($G647,Conf!$B:$C,2,0),E647)</f>
        <v>7</v>
      </c>
      <c r="B647" s="72" t="str">
        <f ca="1">IF(D647="Inativo","Inativo",VLOOKUP($S647,Conf!$K:$M,2,0))</f>
        <v>LOJA</v>
      </c>
      <c r="C647" s="72" t="str">
        <f ca="1">IF(D647="Inativo","Inativo",IFERROR(VLOOKUP($G647,Conf!$F$19:$G$39,2,0),VLOOKUP($S647,Conf!$K:$M,3,0)))</f>
        <v>REPOSITOR</v>
      </c>
      <c r="D647" s="72" t="str">
        <f ca="1">IFERROR(IF(TODAY()-K647&gt;365,"Inativo",IF(J647=2,"Férias",IF(J647=7,"Demitido","Afastamento"))),VLOOKUP(J647,Conf!$H:$I,2,0))</f>
        <v>Ativos</v>
      </c>
      <c r="E647" s="71">
        <v>7</v>
      </c>
      <c r="F647" s="71">
        <v>314</v>
      </c>
      <c r="G647" s="71" t="s">
        <v>2466</v>
      </c>
      <c r="H647" s="71">
        <v>924</v>
      </c>
      <c r="I647" s="71" t="s">
        <v>222</v>
      </c>
      <c r="J647" s="71">
        <v>1</v>
      </c>
      <c r="K647" s="71" t="s">
        <v>223</v>
      </c>
      <c r="L647" s="71" t="s">
        <v>2467</v>
      </c>
      <c r="M647" s="71" t="s">
        <v>889</v>
      </c>
      <c r="N647" s="71">
        <v>13718480921</v>
      </c>
      <c r="Q647" s="71">
        <v>0</v>
      </c>
      <c r="R647" s="71" t="s">
        <v>2468</v>
      </c>
      <c r="S647" s="71" t="s">
        <v>2469</v>
      </c>
      <c r="T647" s="71" t="s">
        <v>2470</v>
      </c>
    </row>
    <row r="648" spans="1:20" x14ac:dyDescent="0.3">
      <c r="A648" s="72">
        <f>IFERROR(VLOOKUP($G648,Conf!$B:$C,2,0),E648)</f>
        <v>7</v>
      </c>
      <c r="B648" s="72" t="str">
        <f ca="1">IF(D648="Inativo","Inativo",VLOOKUP($S648,Conf!$K:$M,2,0))</f>
        <v>LOJA</v>
      </c>
      <c r="C648" s="72" t="str">
        <f ca="1">IF(D648="Inativo","Inativo",IFERROR(VLOOKUP($G648,Conf!$F$19:$G$39,2,0),VLOOKUP($S648,Conf!$K:$M,3,0)))</f>
        <v>REPOSITOR</v>
      </c>
      <c r="D648" s="72" t="str">
        <f ca="1">IFERROR(IF(TODAY()-K648&gt;365,"Inativo",IF(J648=2,"Férias",IF(J648=7,"Demitido","Afastamento"))),VLOOKUP(J648,Conf!$H:$I,2,0))</f>
        <v>Ativos</v>
      </c>
      <c r="E648" s="71">
        <v>7</v>
      </c>
      <c r="F648" s="71">
        <v>343</v>
      </c>
      <c r="G648" s="71" t="s">
        <v>2471</v>
      </c>
      <c r="H648" s="71">
        <v>47</v>
      </c>
      <c r="I648" s="71" t="s">
        <v>222</v>
      </c>
      <c r="J648" s="71">
        <v>1</v>
      </c>
      <c r="K648" s="71" t="s">
        <v>223</v>
      </c>
      <c r="L648" s="71" t="s">
        <v>2472</v>
      </c>
      <c r="M648" s="71" t="s">
        <v>840</v>
      </c>
      <c r="N648" s="71">
        <v>9907797936</v>
      </c>
      <c r="O648" s="71" t="s">
        <v>245</v>
      </c>
      <c r="P648" s="71" t="s">
        <v>246</v>
      </c>
      <c r="Q648" s="71">
        <v>0</v>
      </c>
      <c r="R648" s="71" t="s">
        <v>403</v>
      </c>
      <c r="S648" s="71" t="s">
        <v>2445</v>
      </c>
      <c r="T648" s="71" t="s">
        <v>405</v>
      </c>
    </row>
    <row r="649" spans="1:20" x14ac:dyDescent="0.3">
      <c r="A649" s="72">
        <f>IFERROR(VLOOKUP($G649,Conf!$B:$C,2,0),E649)</f>
        <v>7</v>
      </c>
      <c r="B649" s="72" t="str">
        <f ca="1">IF(D649="Inativo","Inativo",VLOOKUP($S649,Conf!$K:$M,2,0))</f>
        <v>PADARIA</v>
      </c>
      <c r="C649" s="72" t="str">
        <f ca="1">IF(D649="Inativo","Inativo",IFERROR(VLOOKUP($G649,Conf!$F$19:$G$39,2,0),VLOOKUP($S649,Conf!$K:$M,3,0)))</f>
        <v>BALCONISTA</v>
      </c>
      <c r="D649" s="72" t="str">
        <f ca="1">IFERROR(IF(TODAY()-K649&gt;365,"Inativo",IF(J649=2,"Férias",IF(J649=7,"Demitido","Afastamento"))),VLOOKUP(J649,Conf!$H:$I,2,0))</f>
        <v>Ativos</v>
      </c>
      <c r="E649" s="71">
        <v>7</v>
      </c>
      <c r="F649" s="71">
        <v>324</v>
      </c>
      <c r="G649" s="71" t="s">
        <v>2475</v>
      </c>
      <c r="H649" s="71">
        <v>47</v>
      </c>
      <c r="I649" s="71" t="s">
        <v>222</v>
      </c>
      <c r="J649" s="71">
        <v>1</v>
      </c>
      <c r="K649" s="71" t="s">
        <v>223</v>
      </c>
      <c r="L649" s="71" t="s">
        <v>2476</v>
      </c>
      <c r="M649" s="71" t="s">
        <v>623</v>
      </c>
      <c r="N649" s="71">
        <v>14643148969</v>
      </c>
      <c r="O649" s="71" t="s">
        <v>245</v>
      </c>
      <c r="P649" s="71" t="s">
        <v>246</v>
      </c>
      <c r="Q649" s="71">
        <v>0</v>
      </c>
      <c r="R649" s="71" t="s">
        <v>2398</v>
      </c>
      <c r="S649" s="71" t="s">
        <v>2399</v>
      </c>
      <c r="T649" s="71" t="s">
        <v>2400</v>
      </c>
    </row>
    <row r="650" spans="1:20" x14ac:dyDescent="0.3">
      <c r="A650" s="72">
        <f>IFERROR(VLOOKUP($G650,Conf!$B:$C,2,0),E650)</f>
        <v>7</v>
      </c>
      <c r="B650" s="72" t="str">
        <f ca="1">IF(D650="Inativo","Inativo",VLOOKUP($S650,Conf!$K:$M,2,0))</f>
        <v>PADARIA</v>
      </c>
      <c r="C650" s="72" t="str">
        <f ca="1">IF(D650="Inativo","Inativo",IFERROR(VLOOKUP($G650,Conf!$F$19:$G$39,2,0),VLOOKUP($S650,Conf!$K:$M,3,0)))</f>
        <v>AUXILIAR</v>
      </c>
      <c r="D650" s="72" t="str">
        <f ca="1">IFERROR(IF(TODAY()-K650&gt;365,"Inativo",IF(J650=2,"Férias",IF(J650=7,"Demitido","Afastamento"))),VLOOKUP(J650,Conf!$H:$I,2,0))</f>
        <v>Ativos</v>
      </c>
      <c r="E650" s="71">
        <v>7</v>
      </c>
      <c r="F650" s="71">
        <v>292</v>
      </c>
      <c r="G650" s="71" t="s">
        <v>2477</v>
      </c>
      <c r="H650" s="71">
        <v>944</v>
      </c>
      <c r="I650" s="71" t="s">
        <v>740</v>
      </c>
      <c r="J650" s="71">
        <v>1</v>
      </c>
      <c r="K650" s="71" t="s">
        <v>223</v>
      </c>
      <c r="L650" s="71" t="s">
        <v>2478</v>
      </c>
      <c r="M650" s="71" t="s">
        <v>2479</v>
      </c>
      <c r="N650" s="71">
        <v>8879740903</v>
      </c>
      <c r="Q650" s="71">
        <v>0</v>
      </c>
      <c r="R650" s="71" t="s">
        <v>2480</v>
      </c>
      <c r="S650" s="71" t="s">
        <v>2481</v>
      </c>
      <c r="T650" s="71" t="s">
        <v>2482</v>
      </c>
    </row>
    <row r="651" spans="1:20" x14ac:dyDescent="0.3">
      <c r="A651" s="72">
        <f>IFERROR(VLOOKUP($G651,Conf!$B:$C,2,0),E651)</f>
        <v>7</v>
      </c>
      <c r="B651" s="72" t="str">
        <f ca="1">IF(D651="Inativo","Inativo",VLOOKUP($S651,Conf!$K:$M,2,0))</f>
        <v>PADARIA</v>
      </c>
      <c r="C651" s="72" t="str">
        <f ca="1">IF(D651="Inativo","Inativo",IFERROR(VLOOKUP($G651,Conf!$F$19:$G$39,2,0),VLOOKUP($S651,Conf!$K:$M,3,0)))</f>
        <v>BALCONISTA</v>
      </c>
      <c r="D651" s="72" t="str">
        <f ca="1">IFERROR(IF(TODAY()-K651&gt;365,"Inativo",IF(J651=2,"Férias",IF(J651=7,"Demitido","Afastamento"))),VLOOKUP(J651,Conf!$H:$I,2,0))</f>
        <v>Ativos</v>
      </c>
      <c r="E651" s="71">
        <v>7</v>
      </c>
      <c r="F651" s="71">
        <v>332</v>
      </c>
      <c r="G651" s="71" t="s">
        <v>2483</v>
      </c>
      <c r="H651" s="71">
        <v>47</v>
      </c>
      <c r="I651" s="71" t="s">
        <v>222</v>
      </c>
      <c r="J651" s="71">
        <v>1</v>
      </c>
      <c r="K651" s="71" t="s">
        <v>223</v>
      </c>
      <c r="L651" s="71" t="s">
        <v>2484</v>
      </c>
      <c r="M651" s="71" t="s">
        <v>2306</v>
      </c>
      <c r="N651" s="71">
        <v>2200206984</v>
      </c>
      <c r="O651" s="71" t="s">
        <v>245</v>
      </c>
      <c r="P651" s="71" t="s">
        <v>246</v>
      </c>
      <c r="Q651" s="71">
        <v>0</v>
      </c>
      <c r="R651" s="71" t="s">
        <v>2398</v>
      </c>
      <c r="S651" s="71" t="s">
        <v>2399</v>
      </c>
      <c r="T651" s="71" t="s">
        <v>2400</v>
      </c>
    </row>
    <row r="652" spans="1:20" x14ac:dyDescent="0.3">
      <c r="A652" s="72">
        <f>IFERROR(VLOOKUP($G652,Conf!$B:$C,2,0),E652)</f>
        <v>7</v>
      </c>
      <c r="B652" s="72" t="str">
        <f ca="1">IF(D652="Inativo","Inativo",VLOOKUP($S652,Conf!$K:$M,2,0))</f>
        <v>PADARIA</v>
      </c>
      <c r="C652" s="72" t="str">
        <f ca="1">IF(D652="Inativo","Inativo",IFERROR(VLOOKUP($G652,Conf!$F$19:$G$39,2,0),VLOOKUP($S652,Conf!$K:$M,3,0)))</f>
        <v>AUXILIAR</v>
      </c>
      <c r="D652" s="72" t="str">
        <f ca="1">IFERROR(IF(TODAY()-K652&gt;365,"Inativo",IF(J652=2,"Férias",IF(J652=7,"Demitido","Afastamento"))),VLOOKUP(J652,Conf!$H:$I,2,0))</f>
        <v>Ativos</v>
      </c>
      <c r="E652" s="71">
        <v>7</v>
      </c>
      <c r="F652" s="71">
        <v>344</v>
      </c>
      <c r="G652" s="71" t="s">
        <v>2485</v>
      </c>
      <c r="H652" s="71">
        <v>927</v>
      </c>
      <c r="I652" s="71" t="s">
        <v>222</v>
      </c>
      <c r="J652" s="71">
        <v>1</v>
      </c>
      <c r="K652" s="71" t="s">
        <v>223</v>
      </c>
      <c r="L652" s="71" t="s">
        <v>2486</v>
      </c>
      <c r="M652" s="71" t="s">
        <v>244</v>
      </c>
      <c r="N652" s="71">
        <v>9202216967</v>
      </c>
      <c r="O652" s="71" t="s">
        <v>245</v>
      </c>
      <c r="P652" s="71" t="s">
        <v>246</v>
      </c>
      <c r="Q652" s="71">
        <v>0</v>
      </c>
      <c r="R652" s="71" t="s">
        <v>2480</v>
      </c>
      <c r="S652" s="71" t="s">
        <v>2481</v>
      </c>
      <c r="T652" s="71" t="s">
        <v>2482</v>
      </c>
    </row>
    <row r="653" spans="1:20" x14ac:dyDescent="0.3">
      <c r="A653" s="72">
        <f>IFERROR(VLOOKUP($G653,Conf!$B:$C,2,0),E653)</f>
        <v>7</v>
      </c>
      <c r="B653" s="72" t="str">
        <f ca="1">IF(D653="Inativo","Inativo",VLOOKUP($S653,Conf!$K:$M,2,0))</f>
        <v>PADARIA</v>
      </c>
      <c r="C653" s="72" t="str">
        <f ca="1">IF(D653="Inativo","Inativo",IFERROR(VLOOKUP($G653,Conf!$F$19:$G$39,2,0),VLOOKUP($S653,Conf!$K:$M,3,0)))</f>
        <v>BALCONISTA</v>
      </c>
      <c r="D653" s="72" t="str">
        <f ca="1">IFERROR(IF(TODAY()-K653&gt;365,"Inativo",IF(J653=2,"Férias",IF(J653=7,"Demitido","Afastamento"))),VLOOKUP(J653,Conf!$H:$I,2,0))</f>
        <v>Ativos</v>
      </c>
      <c r="E653" s="71">
        <v>7</v>
      </c>
      <c r="F653" s="71">
        <v>307</v>
      </c>
      <c r="G653" s="71" t="s">
        <v>2487</v>
      </c>
      <c r="H653" s="71">
        <v>1010</v>
      </c>
      <c r="I653" s="71" t="s">
        <v>772</v>
      </c>
      <c r="J653" s="71">
        <v>1</v>
      </c>
      <c r="K653" s="71" t="s">
        <v>223</v>
      </c>
      <c r="L653" s="71" t="s">
        <v>2488</v>
      </c>
      <c r="M653" s="71" t="s">
        <v>1911</v>
      </c>
      <c r="N653" s="71">
        <v>15775385950</v>
      </c>
      <c r="Q653" s="71">
        <v>0</v>
      </c>
      <c r="R653" s="71" t="s">
        <v>2398</v>
      </c>
      <c r="S653" s="71" t="s">
        <v>2399</v>
      </c>
      <c r="T653" s="71" t="s">
        <v>2400</v>
      </c>
    </row>
    <row r="654" spans="1:20" x14ac:dyDescent="0.3">
      <c r="A654" s="72">
        <f>IFERROR(VLOOKUP($G654,Conf!$B:$C,2,0),E654)</f>
        <v>7</v>
      </c>
      <c r="B654" s="72" t="str">
        <f ca="1">IF(D654="Inativo","Inativo",VLOOKUP($S654,Conf!$K:$M,2,0))</f>
        <v>PADARIA</v>
      </c>
      <c r="C654" s="72" t="str">
        <f ca="1">IF(D654="Inativo","Inativo",IFERROR(VLOOKUP($G654,Conf!$F$19:$G$39,2,0),VLOOKUP($S654,Conf!$K:$M,3,0)))</f>
        <v>BALCONISTA</v>
      </c>
      <c r="D654" s="72" t="str">
        <f ca="1">IFERROR(IF(TODAY()-K654&gt;365,"Inativo",IF(J654=2,"Férias",IF(J654=7,"Demitido","Afastamento"))),VLOOKUP(J654,Conf!$H:$I,2,0))</f>
        <v>Ativos</v>
      </c>
      <c r="E654" s="71">
        <v>7</v>
      </c>
      <c r="F654" s="71">
        <v>249</v>
      </c>
      <c r="G654" s="71" t="s">
        <v>2489</v>
      </c>
      <c r="H654" s="71">
        <v>928</v>
      </c>
      <c r="I654" s="71" t="s">
        <v>222</v>
      </c>
      <c r="J654" s="71">
        <v>1</v>
      </c>
      <c r="K654" s="71" t="s">
        <v>223</v>
      </c>
      <c r="L654" s="71" t="s">
        <v>2490</v>
      </c>
      <c r="M654" s="71" t="s">
        <v>2491</v>
      </c>
      <c r="N654" s="71">
        <v>10881709948</v>
      </c>
      <c r="Q654" s="71">
        <v>0</v>
      </c>
      <c r="R654" s="71" t="s">
        <v>2398</v>
      </c>
      <c r="S654" s="71" t="s">
        <v>2399</v>
      </c>
      <c r="T654" s="71" t="s">
        <v>2400</v>
      </c>
    </row>
    <row r="655" spans="1:20" x14ac:dyDescent="0.3">
      <c r="A655" s="72">
        <f>IFERROR(VLOOKUP($G655,Conf!$B:$C,2,0),E655)</f>
        <v>7</v>
      </c>
      <c r="B655" s="72" t="str">
        <f ca="1">IF(D655="Inativo","Inativo",VLOOKUP($S655,Conf!$K:$M,2,0))</f>
        <v>PADARIA</v>
      </c>
      <c r="C655" s="72" t="str">
        <f ca="1">IF(D655="Inativo","Inativo",IFERROR(VLOOKUP($G655,Conf!$F$19:$G$39,2,0),VLOOKUP($S655,Conf!$K:$M,3,0)))</f>
        <v>AUXILIAR</v>
      </c>
      <c r="D655" s="72" t="str">
        <f ca="1">IFERROR(IF(TODAY()-K655&gt;365,"Inativo",IF(J655=2,"Férias",IF(J655=7,"Demitido","Afastamento"))),VLOOKUP(J655,Conf!$H:$I,2,0))</f>
        <v>Ativos</v>
      </c>
      <c r="E655" s="71">
        <v>7</v>
      </c>
      <c r="F655" s="71">
        <v>327</v>
      </c>
      <c r="G655" s="71" t="s">
        <v>2492</v>
      </c>
      <c r="H655" s="71">
        <v>942</v>
      </c>
      <c r="I655" s="71" t="s">
        <v>740</v>
      </c>
      <c r="J655" s="71">
        <v>1</v>
      </c>
      <c r="K655" s="71" t="s">
        <v>223</v>
      </c>
      <c r="L655" s="71" t="s">
        <v>2493</v>
      </c>
      <c r="M655" s="71" t="s">
        <v>1005</v>
      </c>
      <c r="N655" s="71">
        <v>11533131970</v>
      </c>
      <c r="O655" s="71" t="s">
        <v>245</v>
      </c>
      <c r="P655" s="71" t="s">
        <v>246</v>
      </c>
      <c r="Q655" s="71">
        <v>0</v>
      </c>
      <c r="R655" s="71" t="s">
        <v>2480</v>
      </c>
      <c r="S655" s="71" t="s">
        <v>2481</v>
      </c>
      <c r="T655" s="71" t="s">
        <v>2482</v>
      </c>
    </row>
    <row r="656" spans="1:20" x14ac:dyDescent="0.3">
      <c r="A656" s="72">
        <f>IFERROR(VLOOKUP($G656,Conf!$B:$C,2,0),E656)</f>
        <v>7</v>
      </c>
      <c r="B656" s="72" t="str">
        <f ca="1">IF(D656="Inativo","Inativo",VLOOKUP($S656,Conf!$K:$M,2,0))</f>
        <v>PADARIA</v>
      </c>
      <c r="C656" s="72" t="str">
        <f ca="1">IF(D656="Inativo","Inativo",IFERROR(VLOOKUP($G656,Conf!$F$19:$G$39,2,0),VLOOKUP($S656,Conf!$K:$M,3,0)))</f>
        <v>BALCONISTA</v>
      </c>
      <c r="D656" s="72" t="str">
        <f ca="1">IFERROR(IF(TODAY()-K656&gt;365,"Inativo",IF(J656=2,"Férias",IF(J656=7,"Demitido","Afastamento"))),VLOOKUP(J656,Conf!$H:$I,2,0))</f>
        <v>Ativos</v>
      </c>
      <c r="E656" s="71">
        <v>7</v>
      </c>
      <c r="F656" s="71">
        <v>348</v>
      </c>
      <c r="G656" s="71" t="s">
        <v>3682</v>
      </c>
      <c r="H656" s="71">
        <v>520</v>
      </c>
      <c r="I656" s="71" t="s">
        <v>222</v>
      </c>
      <c r="J656" s="71">
        <v>1</v>
      </c>
      <c r="K656" s="71" t="s">
        <v>223</v>
      </c>
      <c r="L656" s="71" t="s">
        <v>3683</v>
      </c>
      <c r="M656" s="71" t="s">
        <v>3642</v>
      </c>
      <c r="N656" s="71">
        <v>5330447909</v>
      </c>
      <c r="O656" s="71" t="s">
        <v>245</v>
      </c>
      <c r="P656" s="71" t="s">
        <v>246</v>
      </c>
      <c r="Q656" s="71">
        <v>0</v>
      </c>
      <c r="R656" s="71" t="s">
        <v>2398</v>
      </c>
      <c r="S656" s="71" t="s">
        <v>2399</v>
      </c>
      <c r="T656" s="71" t="s">
        <v>2400</v>
      </c>
    </row>
    <row r="657" spans="1:20" x14ac:dyDescent="0.3">
      <c r="A657" s="72">
        <f>IFERROR(VLOOKUP($G657,Conf!$B:$C,2,0),E657)</f>
        <v>7</v>
      </c>
      <c r="B657" s="72" t="str">
        <f ca="1">IF(D657="Inativo","Inativo",VLOOKUP($S657,Conf!$K:$M,2,0))</f>
        <v>PADARIA</v>
      </c>
      <c r="C657" s="72" t="str">
        <f ca="1">IF(D657="Inativo","Inativo",IFERROR(VLOOKUP($G657,Conf!$F$19:$G$39,2,0),VLOOKUP($S657,Conf!$K:$M,3,0)))</f>
        <v>BALCONISTA</v>
      </c>
      <c r="D657" s="72" t="str">
        <f ca="1">IFERROR(IF(TODAY()-K657&gt;365,"Inativo",IF(J657=2,"Férias",IF(J657=7,"Demitido","Afastamento"))),VLOOKUP(J657,Conf!$H:$I,2,0))</f>
        <v>Ativos</v>
      </c>
      <c r="E657" s="71">
        <v>7</v>
      </c>
      <c r="F657" s="71">
        <v>245</v>
      </c>
      <c r="G657" s="71" t="s">
        <v>2494</v>
      </c>
      <c r="H657" s="71">
        <v>1050</v>
      </c>
      <c r="I657" s="71" t="s">
        <v>2495</v>
      </c>
      <c r="J657" s="71">
        <v>1</v>
      </c>
      <c r="K657" s="71" t="s">
        <v>223</v>
      </c>
      <c r="L657" s="71" t="s">
        <v>2496</v>
      </c>
      <c r="M657" s="71" t="s">
        <v>2497</v>
      </c>
      <c r="N657" s="71">
        <v>4359407912</v>
      </c>
      <c r="Q657" s="71">
        <v>0</v>
      </c>
      <c r="R657" s="71" t="s">
        <v>2398</v>
      </c>
      <c r="S657" s="71" t="s">
        <v>2399</v>
      </c>
      <c r="T657" s="71" t="s">
        <v>2400</v>
      </c>
    </row>
    <row r="658" spans="1:20" x14ac:dyDescent="0.3">
      <c r="A658" s="72">
        <f>IFERROR(VLOOKUP($G658,Conf!$B:$C,2,0),E658)</f>
        <v>7</v>
      </c>
      <c r="B658" s="72" t="str">
        <f ca="1">IF(D658="Inativo","Inativo",VLOOKUP($S658,Conf!$K:$M,2,0))</f>
        <v>PADARIA</v>
      </c>
      <c r="C658" s="72" t="str">
        <f ca="1">IF(D658="Inativo","Inativo",IFERROR(VLOOKUP($G658,Conf!$F$19:$G$39,2,0),VLOOKUP($S658,Conf!$K:$M,3,0)))</f>
        <v>BALCONISTA</v>
      </c>
      <c r="D658" s="72" t="str">
        <f ca="1">IFERROR(IF(TODAY()-K658&gt;365,"Inativo",IF(J658=2,"Férias",IF(J658=7,"Demitido","Afastamento"))),VLOOKUP(J658,Conf!$H:$I,2,0))</f>
        <v>Ativos</v>
      </c>
      <c r="E658" s="71">
        <v>7</v>
      </c>
      <c r="F658" s="71">
        <v>120</v>
      </c>
      <c r="G658" s="71" t="s">
        <v>2498</v>
      </c>
      <c r="H658" s="71">
        <v>862</v>
      </c>
      <c r="I658" s="71" t="s">
        <v>364</v>
      </c>
      <c r="J658" s="71">
        <v>1</v>
      </c>
      <c r="K658" s="71" t="s">
        <v>223</v>
      </c>
      <c r="L658" s="71" t="s">
        <v>2499</v>
      </c>
      <c r="M658" s="71" t="s">
        <v>2500</v>
      </c>
      <c r="N658" s="71">
        <v>3902898925</v>
      </c>
      <c r="Q658" s="71">
        <v>0</v>
      </c>
      <c r="R658" s="71" t="s">
        <v>2398</v>
      </c>
      <c r="S658" s="71" t="s">
        <v>2399</v>
      </c>
      <c r="T658" s="71" t="s">
        <v>2400</v>
      </c>
    </row>
    <row r="659" spans="1:20" x14ac:dyDescent="0.3">
      <c r="A659" s="72">
        <f>IFERROR(VLOOKUP($G659,Conf!$B:$C,2,0),E659)</f>
        <v>7</v>
      </c>
      <c r="B659" s="72" t="str">
        <f ca="1">IF(D659="Inativo","Inativo",VLOOKUP($S659,Conf!$K:$M,2,0))</f>
        <v>PADARIA</v>
      </c>
      <c r="C659" s="72" t="str">
        <f ca="1">IF(D659="Inativo","Inativo",IFERROR(VLOOKUP($G659,Conf!$F$19:$G$39,2,0),VLOOKUP($S659,Conf!$K:$M,3,0)))</f>
        <v>GERENTE</v>
      </c>
      <c r="D659" s="72" t="str">
        <f ca="1">IFERROR(IF(TODAY()-K659&gt;365,"Inativo",IF(J659=2,"Férias",IF(J659=7,"Demitido","Afastamento"))),VLOOKUP(J659,Conf!$H:$I,2,0))</f>
        <v>Ativos</v>
      </c>
      <c r="E659" s="71">
        <v>7</v>
      </c>
      <c r="F659" s="71">
        <v>301</v>
      </c>
      <c r="G659" s="71" t="s">
        <v>2501</v>
      </c>
      <c r="H659" s="71">
        <v>12</v>
      </c>
      <c r="I659" s="71" t="s">
        <v>639</v>
      </c>
      <c r="J659" s="71">
        <v>1</v>
      </c>
      <c r="K659" s="71" t="s">
        <v>223</v>
      </c>
      <c r="L659" s="71" t="s">
        <v>2502</v>
      </c>
      <c r="M659" s="71" t="s">
        <v>2503</v>
      </c>
      <c r="N659" s="71">
        <v>8038106954</v>
      </c>
      <c r="Q659" s="71">
        <v>0</v>
      </c>
      <c r="R659" s="71" t="s">
        <v>2504</v>
      </c>
      <c r="S659" s="71" t="s">
        <v>1796</v>
      </c>
      <c r="T659" s="71" t="s">
        <v>637</v>
      </c>
    </row>
    <row r="660" spans="1:20" x14ac:dyDescent="0.3">
      <c r="A660" s="72">
        <f>IFERROR(VLOOKUP($G660,Conf!$B:$C,2,0),E660)</f>
        <v>7</v>
      </c>
      <c r="B660" s="72" t="str">
        <f ca="1">IF(D660="Inativo","Inativo",VLOOKUP($S660,Conf!$K:$M,2,0))</f>
        <v>PADARIA</v>
      </c>
      <c r="C660" s="72" t="str">
        <f ca="1">IF(D660="Inativo","Inativo",IFERROR(VLOOKUP($G660,Conf!$F$19:$G$39,2,0),VLOOKUP($S660,Conf!$K:$M,3,0)))</f>
        <v>PADEIRO(A)</v>
      </c>
      <c r="D660" s="72" t="str">
        <f ca="1">IFERROR(IF(TODAY()-K660&gt;365,"Inativo",IF(J660=2,"Férias",IF(J660=7,"Demitido","Afastamento"))),VLOOKUP(J660,Conf!$H:$I,2,0))</f>
        <v>Demitido</v>
      </c>
      <c r="E660" s="71">
        <v>7</v>
      </c>
      <c r="F660" s="71">
        <v>297</v>
      </c>
      <c r="G660" s="71" t="s">
        <v>2505</v>
      </c>
      <c r="H660" s="71">
        <v>1021</v>
      </c>
      <c r="I660" s="71" t="s">
        <v>772</v>
      </c>
      <c r="J660" s="71">
        <v>7</v>
      </c>
      <c r="K660" s="71" t="s">
        <v>933</v>
      </c>
      <c r="L660" s="71" t="s">
        <v>2506</v>
      </c>
      <c r="M660" s="71" t="s">
        <v>1472</v>
      </c>
      <c r="N660" s="71">
        <v>4078028942</v>
      </c>
      <c r="Q660" s="71">
        <v>0</v>
      </c>
      <c r="R660" s="71" t="s">
        <v>2507</v>
      </c>
      <c r="S660" s="71" t="s">
        <v>2508</v>
      </c>
      <c r="T660" s="71" t="s">
        <v>858</v>
      </c>
    </row>
    <row r="661" spans="1:20" x14ac:dyDescent="0.3">
      <c r="A661" s="72">
        <f>IFERROR(VLOOKUP($G661,Conf!$B:$C,2,0),E661)</f>
        <v>7</v>
      </c>
      <c r="B661" s="72" t="str">
        <f ca="1">IF(D661="Inativo","Inativo",VLOOKUP($S661,Conf!$K:$M,2,0))</f>
        <v>ROTISSERIA</v>
      </c>
      <c r="C661" s="72" t="str">
        <f ca="1">IF(D661="Inativo","Inativo",IFERROR(VLOOKUP($G661,Conf!$F$19:$G$39,2,0),VLOOKUP($S661,Conf!$K:$M,3,0)))</f>
        <v>COZINHEIRO</v>
      </c>
      <c r="D661" s="72" t="str">
        <f ca="1">IFERROR(IF(TODAY()-K661&gt;365,"Inativo",IF(J661=2,"Férias",IF(J661=7,"Demitido","Afastamento"))),VLOOKUP(J661,Conf!$H:$I,2,0))</f>
        <v>Ativos</v>
      </c>
      <c r="E661" s="71">
        <v>7</v>
      </c>
      <c r="F661" s="71">
        <v>61</v>
      </c>
      <c r="G661" s="71" t="s">
        <v>2509</v>
      </c>
      <c r="H661" s="71">
        <v>812</v>
      </c>
      <c r="I661" s="71" t="s">
        <v>230</v>
      </c>
      <c r="J661" s="71">
        <v>1</v>
      </c>
      <c r="K661" s="71" t="s">
        <v>223</v>
      </c>
      <c r="L661" s="71" t="s">
        <v>2510</v>
      </c>
      <c r="M661" s="71" t="s">
        <v>2511</v>
      </c>
      <c r="N661" s="71">
        <v>7524892918</v>
      </c>
      <c r="Q661" s="71">
        <v>0</v>
      </c>
      <c r="R661" s="71" t="s">
        <v>2409</v>
      </c>
      <c r="S661" s="71" t="s">
        <v>2410</v>
      </c>
      <c r="T661" s="71" t="s">
        <v>2411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AÇOUGUE</v>
      </c>
      <c r="C662" s="72" t="str">
        <f ca="1">IF(D662="Inativo","Inativo",IFERROR(VLOOKUP($G662,Conf!$F$19:$G$39,2,0),VLOOKUP($S662,Conf!$K:$M,3,0)))</f>
        <v>AÇOUGUEIRO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345</v>
      </c>
      <c r="G662" s="71" t="s">
        <v>2512</v>
      </c>
      <c r="H662" s="71">
        <v>1066</v>
      </c>
      <c r="I662" s="71" t="s">
        <v>2513</v>
      </c>
      <c r="J662" s="71">
        <v>1</v>
      </c>
      <c r="K662" s="71" t="s">
        <v>223</v>
      </c>
      <c r="L662" s="71" t="s">
        <v>2514</v>
      </c>
      <c r="M662" s="71" t="s">
        <v>320</v>
      </c>
      <c r="N662" s="71">
        <v>2660184917</v>
      </c>
      <c r="O662" s="71" t="s">
        <v>245</v>
      </c>
      <c r="P662" s="71" t="s">
        <v>246</v>
      </c>
      <c r="Q662" s="71">
        <v>0</v>
      </c>
      <c r="R662" s="71" t="s">
        <v>2515</v>
      </c>
      <c r="S662" s="71" t="s">
        <v>2516</v>
      </c>
      <c r="T662" s="71" t="s">
        <v>858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AÇOUGUE</v>
      </c>
      <c r="C663" s="72" t="str">
        <f ca="1">IF(D663="Inativo","Inativo",IFERROR(VLOOKUP($G663,Conf!$F$19:$G$39,2,0),VLOOKUP($S663,Conf!$K:$M,3,0)))</f>
        <v>AÇOUGUEIRO</v>
      </c>
      <c r="D663" s="72" t="str">
        <f ca="1">IFERROR(IF(TODAY()-K663&gt;365,"Inativo",IF(J663=2,"Férias",IF(J663=7,"Demitido","Afastamento"))),VLOOKUP(J663,Conf!$H:$I,2,0))</f>
        <v>Demitido</v>
      </c>
      <c r="E663" s="71">
        <v>8</v>
      </c>
      <c r="F663" s="71">
        <v>307</v>
      </c>
      <c r="G663" s="71" t="s">
        <v>3868</v>
      </c>
      <c r="H663" s="71">
        <v>988</v>
      </c>
      <c r="I663" s="71" t="s">
        <v>657</v>
      </c>
      <c r="J663" s="71">
        <v>7</v>
      </c>
      <c r="K663" s="71" t="s">
        <v>3869</v>
      </c>
      <c r="L663" s="71" t="s">
        <v>3870</v>
      </c>
      <c r="M663" s="71" t="s">
        <v>2250</v>
      </c>
      <c r="N663" s="71">
        <v>31518962866</v>
      </c>
      <c r="O663" s="71" t="s">
        <v>245</v>
      </c>
      <c r="P663" s="71" t="s">
        <v>246</v>
      </c>
      <c r="Q663" s="71">
        <v>0</v>
      </c>
      <c r="R663" s="71" t="s">
        <v>2515</v>
      </c>
      <c r="S663" s="71" t="s">
        <v>2516</v>
      </c>
      <c r="T663" s="71" t="s">
        <v>858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AÇOUGUE</v>
      </c>
      <c r="C664" s="72" t="str">
        <f ca="1">IF(D664="Inativo","Inativo",IFERROR(VLOOKUP($G664,Conf!$F$19:$G$39,2,0),VLOOKUP($S664,Conf!$K:$M,3,0)))</f>
        <v>AÇOUGUEIRO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349</v>
      </c>
      <c r="G664" s="71" t="s">
        <v>3694</v>
      </c>
      <c r="H664" s="71">
        <v>1002</v>
      </c>
      <c r="I664" s="71" t="s">
        <v>657</v>
      </c>
      <c r="J664" s="71">
        <v>1</v>
      </c>
      <c r="K664" s="71" t="s">
        <v>223</v>
      </c>
      <c r="L664" s="71" t="s">
        <v>3695</v>
      </c>
      <c r="M664" s="71" t="s">
        <v>3636</v>
      </c>
      <c r="N664" s="71">
        <v>5774440931</v>
      </c>
      <c r="O664" s="71" t="s">
        <v>245</v>
      </c>
      <c r="P664" s="71" t="s">
        <v>246</v>
      </c>
      <c r="Q664" s="71">
        <v>0</v>
      </c>
      <c r="R664" s="71" t="s">
        <v>2515</v>
      </c>
      <c r="S664" s="71" t="s">
        <v>2516</v>
      </c>
      <c r="T664" s="71" t="s">
        <v>858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AÇOUGUE</v>
      </c>
      <c r="C665" s="72" t="str">
        <f ca="1">IF(D665="Inativo","Inativo",IFERROR(VLOOKUP($G665,Conf!$F$19:$G$39,2,0),VLOOKUP($S665,Conf!$K:$M,3,0)))</f>
        <v>AÇOUGUEIRO</v>
      </c>
      <c r="D665" s="72" t="str">
        <f ca="1">IFERROR(IF(TODAY()-K665&gt;365,"Inativo",IF(J665=2,"Férias",IF(J665=7,"Demitido","Afastamento"))),VLOOKUP(J665,Conf!$H:$I,2,0))</f>
        <v>Demitido</v>
      </c>
      <c r="E665" s="71">
        <v>8</v>
      </c>
      <c r="F665" s="71">
        <v>284</v>
      </c>
      <c r="G665" s="71" t="s">
        <v>2517</v>
      </c>
      <c r="H665" s="71">
        <v>1080</v>
      </c>
      <c r="I665" s="71" t="s">
        <v>772</v>
      </c>
      <c r="J665" s="71">
        <v>7</v>
      </c>
      <c r="K665" s="71" t="s">
        <v>3632</v>
      </c>
      <c r="L665" s="71" t="s">
        <v>2518</v>
      </c>
      <c r="M665" s="71" t="s">
        <v>2519</v>
      </c>
      <c r="N665" s="71">
        <v>2977438998</v>
      </c>
      <c r="Q665" s="71">
        <v>0</v>
      </c>
      <c r="R665" s="71" t="s">
        <v>2515</v>
      </c>
      <c r="S665" s="71" t="s">
        <v>2516</v>
      </c>
      <c r="T665" s="71" t="s">
        <v>858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AÇOUGUE</v>
      </c>
      <c r="C666" s="72" t="str">
        <f ca="1">IF(D666="Inativo","Inativo",IFERROR(VLOOKUP($G666,Conf!$F$19:$G$39,2,0),VLOOKUP($S666,Conf!$K:$M,3,0)))</f>
        <v>AÇOUGUEIRO</v>
      </c>
      <c r="D666" s="72" t="str">
        <f ca="1">IFERROR(IF(TODAY()-K666&gt;365,"Inativo",IF(J666=2,"Férias",IF(J666=7,"Demitido","Afastamento"))),VLOOKUP(J666,Conf!$H:$I,2,0))</f>
        <v>Demitido</v>
      </c>
      <c r="E666" s="71">
        <v>8</v>
      </c>
      <c r="F666" s="71">
        <v>278</v>
      </c>
      <c r="G666" s="71" t="s">
        <v>3808</v>
      </c>
      <c r="H666" s="71">
        <v>1070</v>
      </c>
      <c r="I666" s="71" t="s">
        <v>657</v>
      </c>
      <c r="J666" s="71">
        <v>7</v>
      </c>
      <c r="K666" s="71" t="s">
        <v>1317</v>
      </c>
      <c r="L666" s="71" t="s">
        <v>3809</v>
      </c>
      <c r="M666" s="71" t="s">
        <v>3805</v>
      </c>
      <c r="N666" s="71">
        <v>8495352478</v>
      </c>
      <c r="Q666" s="71">
        <v>0</v>
      </c>
      <c r="R666" s="71" t="s">
        <v>2515</v>
      </c>
      <c r="S666" s="71" t="s">
        <v>2516</v>
      </c>
      <c r="T666" s="71" t="s">
        <v>858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AÇOUGUE</v>
      </c>
      <c r="C667" s="72" t="str">
        <f ca="1">IF(D667="Inativo","Inativo",IFERROR(VLOOKUP($G667,Conf!$F$19:$G$39,2,0),VLOOKUP($S667,Conf!$K:$M,3,0)))</f>
        <v>AÇOUGUEIRO</v>
      </c>
      <c r="D667" s="72" t="str">
        <f ca="1">IFERROR(IF(TODAY()-K667&gt;365,"Inativo",IF(J667=2,"Férias",IF(J667=7,"Demitido","Afastamento"))),VLOOKUP(J667,Conf!$H:$I,2,0))</f>
        <v>Demitido</v>
      </c>
      <c r="E667" s="71">
        <v>8</v>
      </c>
      <c r="F667" s="71">
        <v>246</v>
      </c>
      <c r="G667" s="71" t="s">
        <v>3917</v>
      </c>
      <c r="H667" s="71">
        <v>1070</v>
      </c>
      <c r="I667" s="71" t="s">
        <v>657</v>
      </c>
      <c r="J667" s="71">
        <v>7</v>
      </c>
      <c r="K667" s="71" t="s">
        <v>2110</v>
      </c>
      <c r="L667" s="71" t="s">
        <v>3918</v>
      </c>
      <c r="M667" s="71" t="s">
        <v>2244</v>
      </c>
      <c r="N667" s="71">
        <v>78575540572</v>
      </c>
      <c r="Q667" s="71">
        <v>0</v>
      </c>
      <c r="R667" s="71" t="s">
        <v>2515</v>
      </c>
      <c r="S667" s="71" t="s">
        <v>2516</v>
      </c>
      <c r="T667" s="71" t="s">
        <v>858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AÇOUGUE</v>
      </c>
      <c r="C668" s="72" t="str">
        <f ca="1">IF(D668="Inativo","Inativo",IFERROR(VLOOKUP($G668,Conf!$F$19:$G$39,2,0),VLOOKUP($S668,Conf!$K:$M,3,0)))</f>
        <v>AÇOUGUEIRO</v>
      </c>
      <c r="D668" s="72" t="str">
        <f ca="1">IFERROR(IF(TODAY()-K668&gt;365,"Inativo",IF(J668=2,"Férias",IF(J668=7,"Demitido","Afastamento"))),VLOOKUP(J668,Conf!$H:$I,2,0))</f>
        <v>Demitido</v>
      </c>
      <c r="E668" s="71">
        <v>8</v>
      </c>
      <c r="F668" s="71">
        <v>306</v>
      </c>
      <c r="G668" s="71" t="s">
        <v>2520</v>
      </c>
      <c r="H668" s="71">
        <v>1098</v>
      </c>
      <c r="I668" s="71" t="s">
        <v>279</v>
      </c>
      <c r="J668" s="71">
        <v>7</v>
      </c>
      <c r="K668" s="71" t="s">
        <v>239</v>
      </c>
      <c r="L668" s="71" t="s">
        <v>2521</v>
      </c>
      <c r="M668" s="71" t="s">
        <v>763</v>
      </c>
      <c r="N668" s="71">
        <v>5453681977</v>
      </c>
      <c r="O668" s="71" t="s">
        <v>245</v>
      </c>
      <c r="P668" s="71" t="s">
        <v>246</v>
      </c>
      <c r="Q668" s="71">
        <v>0</v>
      </c>
      <c r="R668" s="71" t="s">
        <v>2515</v>
      </c>
      <c r="S668" s="71" t="s">
        <v>2516</v>
      </c>
      <c r="T668" s="71" t="s">
        <v>858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AÇOUGUE</v>
      </c>
      <c r="C669" s="72" t="str">
        <f ca="1">IF(D669="Inativo","Inativo",IFERROR(VLOOKUP($G669,Conf!$F$19:$G$39,2,0),VLOOKUP($S669,Conf!$K:$M,3,0)))</f>
        <v>AÇOUGUEIRO</v>
      </c>
      <c r="D669" s="72" t="str">
        <f ca="1">IFERROR(IF(TODAY()-K669&gt;365,"Inativo",IF(J669=2,"Férias",IF(J669=7,"Demitido","Afastamento"))),VLOOKUP(J669,Conf!$H:$I,2,0))</f>
        <v>Demitido</v>
      </c>
      <c r="E669" s="71">
        <v>8</v>
      </c>
      <c r="F669" s="71">
        <v>269</v>
      </c>
      <c r="G669" s="71" t="s">
        <v>3919</v>
      </c>
      <c r="H669" s="71">
        <v>1067</v>
      </c>
      <c r="I669" s="71" t="s">
        <v>657</v>
      </c>
      <c r="J669" s="71">
        <v>7</v>
      </c>
      <c r="K669" s="71" t="s">
        <v>3920</v>
      </c>
      <c r="L669" s="71" t="s">
        <v>3921</v>
      </c>
      <c r="M669" s="71" t="s">
        <v>2605</v>
      </c>
      <c r="N669" s="71">
        <v>6787703953</v>
      </c>
      <c r="Q669" s="71">
        <v>0</v>
      </c>
      <c r="R669" s="71" t="s">
        <v>2515</v>
      </c>
      <c r="S669" s="71" t="s">
        <v>2516</v>
      </c>
      <c r="T669" s="71" t="s">
        <v>858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AÇOUGUE</v>
      </c>
      <c r="C670" s="72" t="str">
        <f ca="1">IF(D670="Inativo","Inativo",IFERROR(VLOOKUP($G670,Conf!$F$19:$G$39,2,0),VLOOKUP($S670,Conf!$K:$M,3,0)))</f>
        <v>AÇOUGUEIRO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268</v>
      </c>
      <c r="G670" s="71" t="s">
        <v>2522</v>
      </c>
      <c r="H670" s="71">
        <v>1071</v>
      </c>
      <c r="I670" s="71" t="s">
        <v>657</v>
      </c>
      <c r="J670" s="71">
        <v>1</v>
      </c>
      <c r="K670" s="71" t="s">
        <v>223</v>
      </c>
      <c r="L670" s="71" t="s">
        <v>2523</v>
      </c>
      <c r="M670" s="71" t="s">
        <v>2333</v>
      </c>
      <c r="N670" s="71">
        <v>3932056906</v>
      </c>
      <c r="Q670" s="71">
        <v>0</v>
      </c>
      <c r="R670" s="71" t="s">
        <v>2515</v>
      </c>
      <c r="S670" s="71" t="s">
        <v>2516</v>
      </c>
      <c r="T670" s="71" t="s">
        <v>858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AÇOUGUE</v>
      </c>
      <c r="C671" s="72" t="str">
        <f ca="1">IF(D671="Inativo","Inativo",IFERROR(VLOOKUP($G671,Conf!$F$19:$G$39,2,0),VLOOKUP($S671,Conf!$K:$M,3,0)))</f>
        <v>AÇOUGUEIRO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91</v>
      </c>
      <c r="G671" s="71" t="s">
        <v>2524</v>
      </c>
      <c r="H671" s="71">
        <v>1075</v>
      </c>
      <c r="I671" s="71" t="s">
        <v>230</v>
      </c>
      <c r="J671" s="71">
        <v>1</v>
      </c>
      <c r="K671" s="71" t="s">
        <v>223</v>
      </c>
      <c r="L671" s="71" t="s">
        <v>2525</v>
      </c>
      <c r="M671" s="71" t="s">
        <v>2526</v>
      </c>
      <c r="N671" s="71">
        <v>3149655994</v>
      </c>
      <c r="Q671" s="71">
        <v>0</v>
      </c>
      <c r="R671" s="71" t="s">
        <v>2515</v>
      </c>
      <c r="S671" s="71" t="s">
        <v>2516</v>
      </c>
      <c r="T671" s="71" t="s">
        <v>858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AÇOUGUE</v>
      </c>
      <c r="C672" s="72" t="str">
        <f ca="1">IF(D672="Inativo","Inativo",IFERROR(VLOOKUP($G672,Conf!$F$19:$G$39,2,0),VLOOKUP($S672,Conf!$K:$M,3,0)))</f>
        <v>AÇOUGUEIRO</v>
      </c>
      <c r="D672" s="72" t="str">
        <f ca="1">IFERROR(IF(TODAY()-K672&gt;365,"Inativo",IF(J672=2,"Férias",IF(J672=7,"Demitido","Afastamento"))),VLOOKUP(J672,Conf!$H:$I,2,0))</f>
        <v>Demitido</v>
      </c>
      <c r="E672" s="71">
        <v>8</v>
      </c>
      <c r="F672" s="71">
        <v>261</v>
      </c>
      <c r="G672" s="71" t="s">
        <v>3788</v>
      </c>
      <c r="H672" s="71">
        <v>1068</v>
      </c>
      <c r="I672" s="71" t="s">
        <v>657</v>
      </c>
      <c r="J672" s="71">
        <v>7</v>
      </c>
      <c r="K672" s="71" t="s">
        <v>3786</v>
      </c>
      <c r="L672" s="71" t="s">
        <v>3789</v>
      </c>
      <c r="M672" s="71" t="s">
        <v>2829</v>
      </c>
      <c r="N672" s="71">
        <v>14435634805</v>
      </c>
      <c r="Q672" s="71">
        <v>0</v>
      </c>
      <c r="R672" s="71" t="s">
        <v>2515</v>
      </c>
      <c r="S672" s="71" t="s">
        <v>2516</v>
      </c>
      <c r="T672" s="71" t="s">
        <v>858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AÇOUGUE</v>
      </c>
      <c r="C673" s="72" t="str">
        <f ca="1">IF(D673="Inativo","Inativo",IFERROR(VLOOKUP($G673,Conf!$F$19:$G$39,2,0),VLOOKUP($S673,Conf!$K:$M,3,0)))</f>
        <v>AÇOUGUEIRO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139</v>
      </c>
      <c r="G673" s="71" t="s">
        <v>2527</v>
      </c>
      <c r="H673" s="71">
        <v>1089</v>
      </c>
      <c r="I673" s="71" t="s">
        <v>222</v>
      </c>
      <c r="J673" s="71">
        <v>1</v>
      </c>
      <c r="K673" s="71" t="s">
        <v>223</v>
      </c>
      <c r="L673" s="71" t="s">
        <v>2528</v>
      </c>
      <c r="M673" s="71" t="s">
        <v>2529</v>
      </c>
      <c r="N673" s="71">
        <v>9605121107</v>
      </c>
      <c r="Q673" s="71">
        <v>0</v>
      </c>
      <c r="R673" s="71" t="s">
        <v>2515</v>
      </c>
      <c r="S673" s="71" t="s">
        <v>2516</v>
      </c>
      <c r="T673" s="71" t="s">
        <v>858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Inativo</v>
      </c>
      <c r="C674" s="72" t="str">
        <f ca="1">IF(D674="Inativo","Inativo",IFERROR(VLOOKUP($G674,Conf!$F$19:$G$39,2,0),VLOOKUP($S674,Conf!$K:$M,3,0)))</f>
        <v>Inativo</v>
      </c>
      <c r="D674" s="72" t="str">
        <f ca="1">IFERROR(IF(TODAY()-K674&gt;365,"Inativo",IF(J674=2,"Férias",IF(J674=7,"Demitido","Afastamento"))),VLOOKUP(J674,Conf!$H:$I,2,0))</f>
        <v>Inativo</v>
      </c>
      <c r="E674" s="71">
        <v>8</v>
      </c>
      <c r="F674" s="71">
        <v>241</v>
      </c>
      <c r="G674" s="71" t="s">
        <v>3729</v>
      </c>
      <c r="H674" s="71">
        <v>1074</v>
      </c>
      <c r="I674" s="71" t="s">
        <v>230</v>
      </c>
      <c r="J674" s="71">
        <v>7</v>
      </c>
      <c r="K674" s="71" t="s">
        <v>3730</v>
      </c>
      <c r="L674" s="71" t="s">
        <v>3731</v>
      </c>
      <c r="M674" s="71" t="s">
        <v>852</v>
      </c>
      <c r="N674" s="71">
        <v>45403563806</v>
      </c>
      <c r="Q674" s="71">
        <v>0</v>
      </c>
      <c r="R674" s="71" t="s">
        <v>2536</v>
      </c>
      <c r="S674" s="71" t="s">
        <v>2189</v>
      </c>
      <c r="T674" s="71" t="s">
        <v>2537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AÇOUGUE</v>
      </c>
      <c r="C675" s="72" t="str">
        <f ca="1">IF(D675="Inativo","Inativo",IFERROR(VLOOKUP($G675,Conf!$F$19:$G$39,2,0),VLOOKUP($S675,Conf!$K:$M,3,0)))</f>
        <v>DESOSSADOR</v>
      </c>
      <c r="D675" s="72" t="str">
        <f ca="1">IFERROR(IF(TODAY()-K675&gt;365,"Inativo",IF(J675=2,"Férias",IF(J675=7,"Demitido","Afastamento"))),VLOOKUP(J675,Conf!$H:$I,2,0))</f>
        <v>Demitido</v>
      </c>
      <c r="E675" s="71">
        <v>8</v>
      </c>
      <c r="F675" s="71">
        <v>294</v>
      </c>
      <c r="G675" s="71" t="s">
        <v>3830</v>
      </c>
      <c r="H675" s="71">
        <v>1070</v>
      </c>
      <c r="I675" s="71" t="s">
        <v>657</v>
      </c>
      <c r="J675" s="71">
        <v>7</v>
      </c>
      <c r="K675" s="71" t="s">
        <v>3831</v>
      </c>
      <c r="L675" s="71" t="s">
        <v>3832</v>
      </c>
      <c r="M675" s="71" t="s">
        <v>1210</v>
      </c>
      <c r="N675" s="71">
        <v>8610007901</v>
      </c>
      <c r="Q675" s="71">
        <v>0</v>
      </c>
      <c r="R675" s="71" t="s">
        <v>2536</v>
      </c>
      <c r="S675" s="71" t="s">
        <v>2189</v>
      </c>
      <c r="T675" s="71" t="s">
        <v>2537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AÇOUGUE</v>
      </c>
      <c r="C676" s="72" t="str">
        <f ca="1">IF(D676="Inativo","Inativo",IFERROR(VLOOKUP($G676,Conf!$F$19:$G$39,2,0),VLOOKUP($S676,Conf!$K:$M,3,0)))</f>
        <v>DESOSSADOR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239</v>
      </c>
      <c r="G676" s="71" t="s">
        <v>2533</v>
      </c>
      <c r="H676" s="71">
        <v>1073</v>
      </c>
      <c r="I676" s="71" t="s">
        <v>230</v>
      </c>
      <c r="J676" s="71">
        <v>1</v>
      </c>
      <c r="K676" s="71" t="s">
        <v>223</v>
      </c>
      <c r="L676" s="71" t="s">
        <v>2534</v>
      </c>
      <c r="M676" s="71" t="s">
        <v>2535</v>
      </c>
      <c r="N676" s="71">
        <v>7179142166</v>
      </c>
      <c r="Q676" s="71">
        <v>0</v>
      </c>
      <c r="R676" s="71" t="s">
        <v>2536</v>
      </c>
      <c r="S676" s="71" t="s">
        <v>2189</v>
      </c>
      <c r="T676" s="71" t="s">
        <v>2537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AÇOUGUE</v>
      </c>
      <c r="C677" s="72" t="str">
        <f ca="1">IF(D677="Inativo","Inativo",IFERROR(VLOOKUP($G677,Conf!$F$19:$G$39,2,0),VLOOKUP($S677,Conf!$K:$M,3,0)))</f>
        <v>DESOSSADOR</v>
      </c>
      <c r="D677" s="72" t="str">
        <f ca="1">IFERROR(IF(TODAY()-K677&gt;365,"Inativo",IF(J677=2,"Férias",IF(J677=7,"Demitido","Afastamento"))),VLOOKUP(J677,Conf!$H:$I,2,0))</f>
        <v>Demitido</v>
      </c>
      <c r="E677" s="71">
        <v>8</v>
      </c>
      <c r="F677" s="71">
        <v>240</v>
      </c>
      <c r="G677" s="71" t="s">
        <v>3771</v>
      </c>
      <c r="H677" s="71">
        <v>1070</v>
      </c>
      <c r="I677" s="71" t="s">
        <v>657</v>
      </c>
      <c r="J677" s="71">
        <v>7</v>
      </c>
      <c r="K677" s="71" t="s">
        <v>3772</v>
      </c>
      <c r="L677" s="71" t="s">
        <v>3773</v>
      </c>
      <c r="M677" s="71" t="s">
        <v>1215</v>
      </c>
      <c r="N677" s="71">
        <v>8553397726</v>
      </c>
      <c r="Q677" s="71">
        <v>0</v>
      </c>
      <c r="R677" s="71" t="s">
        <v>2536</v>
      </c>
      <c r="S677" s="71" t="s">
        <v>2189</v>
      </c>
      <c r="T677" s="71" t="s">
        <v>2537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AÇOUGUE</v>
      </c>
      <c r="C678" s="72" t="str">
        <f ca="1">IF(D678="Inativo","Inativo",IFERROR(VLOOKUP($G678,Conf!$F$19:$G$39,2,0),VLOOKUP($S678,Conf!$K:$M,3,0)))</f>
        <v>DESOSSADOR</v>
      </c>
      <c r="D678" s="72" t="str">
        <f ca="1">IFERROR(IF(TODAY()-K678&gt;365,"Inativo",IF(J678=2,"Férias",IF(J678=7,"Demitido","Afastamento"))),VLOOKUP(J678,Conf!$H:$I,2,0))</f>
        <v>Demitido</v>
      </c>
      <c r="E678" s="71">
        <v>8</v>
      </c>
      <c r="F678" s="71">
        <v>243</v>
      </c>
      <c r="G678" s="71" t="s">
        <v>3752</v>
      </c>
      <c r="H678" s="71">
        <v>1071</v>
      </c>
      <c r="I678" s="71" t="s">
        <v>657</v>
      </c>
      <c r="J678" s="71">
        <v>7</v>
      </c>
      <c r="K678" s="71" t="s">
        <v>2333</v>
      </c>
      <c r="L678" s="71" t="s">
        <v>3753</v>
      </c>
      <c r="M678" s="71" t="s">
        <v>1355</v>
      </c>
      <c r="N678" s="71">
        <v>13051189952</v>
      </c>
      <c r="Q678" s="71">
        <v>0</v>
      </c>
      <c r="R678" s="71" t="s">
        <v>2536</v>
      </c>
      <c r="S678" s="71" t="s">
        <v>2189</v>
      </c>
      <c r="T678" s="71" t="s">
        <v>2537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AÇOUGUE</v>
      </c>
      <c r="C679" s="72" t="str">
        <f ca="1">IF(D679="Inativo","Inativo",IFERROR(VLOOKUP($G679,Conf!$F$19:$G$39,2,0),VLOOKUP($S679,Conf!$K:$M,3,0)))</f>
        <v>DESOSSADOR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215</v>
      </c>
      <c r="G679" s="71" t="s">
        <v>2538</v>
      </c>
      <c r="H679" s="71">
        <v>1073</v>
      </c>
      <c r="I679" s="71" t="s">
        <v>230</v>
      </c>
      <c r="J679" s="71">
        <v>1</v>
      </c>
      <c r="K679" s="71" t="s">
        <v>223</v>
      </c>
      <c r="L679" s="71" t="s">
        <v>2539</v>
      </c>
      <c r="M679" s="71" t="s">
        <v>2540</v>
      </c>
      <c r="N679" s="71">
        <v>67889883900</v>
      </c>
      <c r="Q679" s="71">
        <v>0</v>
      </c>
      <c r="R679" s="71" t="s">
        <v>2536</v>
      </c>
      <c r="S679" s="71" t="s">
        <v>2189</v>
      </c>
      <c r="T679" s="71" t="s">
        <v>2537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AÇOUGUE</v>
      </c>
      <c r="C680" s="72" t="str">
        <f ca="1">IF(D680="Inativo","Inativo",IFERROR(VLOOKUP($G680,Conf!$F$19:$G$39,2,0),VLOOKUP($S680,Conf!$K:$M,3,0)))</f>
        <v>DESOSSADOR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319</v>
      </c>
      <c r="G680" s="71" t="s">
        <v>2530</v>
      </c>
      <c r="H680" s="71">
        <v>1075</v>
      </c>
      <c r="I680" s="71" t="s">
        <v>230</v>
      </c>
      <c r="J680" s="71">
        <v>1</v>
      </c>
      <c r="K680" s="71" t="s">
        <v>223</v>
      </c>
      <c r="L680" s="71" t="s">
        <v>2531</v>
      </c>
      <c r="M680" s="71" t="s">
        <v>2532</v>
      </c>
      <c r="N680" s="71">
        <v>11115118960</v>
      </c>
      <c r="O680" s="71" t="s">
        <v>245</v>
      </c>
      <c r="P680" s="71" t="s">
        <v>246</v>
      </c>
      <c r="Q680" s="71">
        <v>0</v>
      </c>
      <c r="R680" s="71" t="s">
        <v>2536</v>
      </c>
      <c r="S680" s="71" t="s">
        <v>2189</v>
      </c>
      <c r="T680" s="71" t="s">
        <v>2537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AÇOUGUE</v>
      </c>
      <c r="C681" s="72" t="str">
        <f ca="1">IF(D681="Inativo","Inativo",IFERROR(VLOOKUP($G681,Conf!$F$19:$G$39,2,0),VLOOKUP($S681,Conf!$K:$M,3,0)))</f>
        <v>GERENTE</v>
      </c>
      <c r="D681" s="72" t="str">
        <f ca="1">IFERROR(IF(TODAY()-K681&gt;365,"Inativo",IF(J681=2,"Férias",IF(J681=7,"Demitido","Afastamento"))),VLOOKUP(J681,Conf!$H:$I,2,0))</f>
        <v>Demitido</v>
      </c>
      <c r="E681" s="71">
        <v>8</v>
      </c>
      <c r="F681" s="71">
        <v>225</v>
      </c>
      <c r="G681" s="71" t="s">
        <v>3853</v>
      </c>
      <c r="H681" s="71">
        <v>6</v>
      </c>
      <c r="I681" s="71" t="s">
        <v>230</v>
      </c>
      <c r="J681" s="71">
        <v>7</v>
      </c>
      <c r="K681" s="71" t="s">
        <v>3854</v>
      </c>
      <c r="L681" s="71" t="s">
        <v>3855</v>
      </c>
      <c r="M681" s="71" t="s">
        <v>3385</v>
      </c>
      <c r="N681" s="71">
        <v>524633975</v>
      </c>
      <c r="Q681" s="71">
        <v>0</v>
      </c>
      <c r="R681" s="71" t="s">
        <v>2543</v>
      </c>
      <c r="S681" s="71" t="s">
        <v>2544</v>
      </c>
      <c r="T681" s="71" t="s">
        <v>2545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AÇOUGUE</v>
      </c>
      <c r="C682" s="72" t="str">
        <f ca="1">IF(D682="Inativo","Inativo",IFERROR(VLOOKUP($G682,Conf!$F$19:$G$39,2,0),VLOOKUP($S682,Conf!$K:$M,3,0)))</f>
        <v>GERENTE</v>
      </c>
      <c r="D682" s="72" t="str">
        <f ca="1">IFERROR(IF(TODAY()-K682&gt;365,"Inativo",IF(J682=2,"Férias",IF(J682=7,"Demitido","Afastamento"))),VLOOKUP(J682,Conf!$H:$I,2,0))</f>
        <v>Demitido</v>
      </c>
      <c r="E682" s="71">
        <v>8</v>
      </c>
      <c r="F682" s="71">
        <v>328</v>
      </c>
      <c r="G682" s="71" t="s">
        <v>2541</v>
      </c>
      <c r="H682" s="71">
        <v>11</v>
      </c>
      <c r="I682" s="71" t="s">
        <v>400</v>
      </c>
      <c r="J682" s="71">
        <v>7</v>
      </c>
      <c r="K682" s="71" t="s">
        <v>239</v>
      </c>
      <c r="L682" s="71" t="s">
        <v>2542</v>
      </c>
      <c r="M682" s="71" t="s">
        <v>1920</v>
      </c>
      <c r="N682" s="71">
        <v>3035768200</v>
      </c>
      <c r="O682" s="71" t="s">
        <v>245</v>
      </c>
      <c r="P682" s="71" t="s">
        <v>246</v>
      </c>
      <c r="Q682" s="71">
        <v>0</v>
      </c>
      <c r="R682" s="71" t="s">
        <v>2543</v>
      </c>
      <c r="S682" s="71" t="s">
        <v>2544</v>
      </c>
      <c r="T682" s="71" t="s">
        <v>2545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ADMINISTRATIVO</v>
      </c>
      <c r="C683" s="72" t="str">
        <f ca="1">IF(D683="Inativo","Inativo",IFERROR(VLOOKUP($G683,Conf!$F$19:$G$39,2,0),VLOOKUP($S683,Conf!$K:$M,3,0)))</f>
        <v>GERENTE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2175</v>
      </c>
      <c r="G683" s="71" t="s">
        <v>2730</v>
      </c>
      <c r="H683" s="71">
        <v>12</v>
      </c>
      <c r="I683" s="71" t="s">
        <v>639</v>
      </c>
      <c r="J683" s="71">
        <v>1</v>
      </c>
      <c r="K683" s="71" t="s">
        <v>223</v>
      </c>
      <c r="L683" s="71" t="s">
        <v>2731</v>
      </c>
      <c r="M683" s="71" t="s">
        <v>1786</v>
      </c>
      <c r="N683" s="71">
        <v>16094877888</v>
      </c>
      <c r="Q683" s="71">
        <v>0</v>
      </c>
      <c r="R683" s="71" t="s">
        <v>2732</v>
      </c>
      <c r="S683" s="71" t="s">
        <v>643</v>
      </c>
      <c r="T683" s="71" t="s">
        <v>2733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ADMINISTRATIVO</v>
      </c>
      <c r="C684" s="72" t="str">
        <f ca="1">IF(D684="Inativo","Inativo",IFERROR(VLOOKUP($G684,Conf!$F$19:$G$39,2,0),VLOOKUP($S684,Conf!$K:$M,3,0)))</f>
        <v>RH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2373</v>
      </c>
      <c r="G684" s="71" t="s">
        <v>2546</v>
      </c>
      <c r="H684" s="71">
        <v>208</v>
      </c>
      <c r="I684" s="71" t="s">
        <v>293</v>
      </c>
      <c r="J684" s="71">
        <v>1</v>
      </c>
      <c r="K684" s="71" t="s">
        <v>223</v>
      </c>
      <c r="L684" s="71" t="s">
        <v>2547</v>
      </c>
      <c r="M684" s="71" t="s">
        <v>446</v>
      </c>
      <c r="N684" s="71">
        <v>2182979557</v>
      </c>
      <c r="O684" s="71" t="s">
        <v>245</v>
      </c>
      <c r="P684" s="71" t="s">
        <v>246</v>
      </c>
      <c r="Q684" s="71">
        <v>0</v>
      </c>
      <c r="R684" s="71" t="s">
        <v>2548</v>
      </c>
      <c r="S684" s="71" t="s">
        <v>2549</v>
      </c>
      <c r="T684" s="71" t="s">
        <v>2550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ADMINISTRATIVO</v>
      </c>
      <c r="C685" s="72" t="str">
        <f ca="1">IF(D685="Inativo","Inativo",IFERROR(VLOOKUP($G685,Conf!$F$19:$G$39,2,0),VLOOKUP($S685,Conf!$K:$M,3,0)))</f>
        <v>SUBGERENTE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228</v>
      </c>
      <c r="G685" s="71" t="s">
        <v>2767</v>
      </c>
      <c r="H685" s="71">
        <v>12</v>
      </c>
      <c r="I685" s="71" t="s">
        <v>639</v>
      </c>
      <c r="J685" s="71">
        <v>1</v>
      </c>
      <c r="K685" s="71" t="s">
        <v>223</v>
      </c>
      <c r="L685" s="71" t="s">
        <v>2768</v>
      </c>
      <c r="M685" s="71" t="s">
        <v>2769</v>
      </c>
      <c r="N685" s="71">
        <v>70604531214</v>
      </c>
      <c r="Q685" s="71">
        <v>0</v>
      </c>
      <c r="R685" s="71" t="s">
        <v>2770</v>
      </c>
      <c r="S685" s="71" t="s">
        <v>2771</v>
      </c>
      <c r="T685" s="71" t="s">
        <v>2772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CONFEITARIA</v>
      </c>
      <c r="C686" s="72" t="str">
        <f ca="1">IF(D686="Inativo","Inativo",IFERROR(VLOOKUP($G686,Conf!$F$19:$G$39,2,0),VLOOKUP($S686,Conf!$K:$M,3,0)))</f>
        <v>CONFEITEIRO(A)</v>
      </c>
      <c r="D686" s="72" t="str">
        <f ca="1">IFERROR(IF(TODAY()-K686&gt;365,"Inativo",IF(J686=2,"Férias",IF(J686=7,"Demitido","Afastamento"))),VLOOKUP(J686,Conf!$H:$I,2,0))</f>
        <v>Demitido</v>
      </c>
      <c r="E686" s="71">
        <v>8</v>
      </c>
      <c r="F686" s="71">
        <v>218</v>
      </c>
      <c r="G686" s="71" t="s">
        <v>2551</v>
      </c>
      <c r="H686" s="71">
        <v>189</v>
      </c>
      <c r="I686" s="71" t="s">
        <v>799</v>
      </c>
      <c r="J686" s="71">
        <v>7</v>
      </c>
      <c r="K686" s="71" t="s">
        <v>3922</v>
      </c>
      <c r="L686" s="71" t="s">
        <v>2552</v>
      </c>
      <c r="M686" s="71" t="s">
        <v>2497</v>
      </c>
      <c r="N686" s="71">
        <v>46993483866</v>
      </c>
      <c r="Q686" s="71">
        <v>0</v>
      </c>
      <c r="R686" s="71" t="s">
        <v>2553</v>
      </c>
      <c r="S686" s="71" t="s">
        <v>2554</v>
      </c>
      <c r="T686" s="71" t="s">
        <v>2555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CONFEITARIA</v>
      </c>
      <c r="C687" s="72" t="str">
        <f ca="1">IF(D687="Inativo","Inativo",IFERROR(VLOOKUP($G687,Conf!$F$19:$G$39,2,0),VLOOKUP($S687,Conf!$K:$M,3,0)))</f>
        <v>CONFEITEIRO(A)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203</v>
      </c>
      <c r="G687" s="71" t="s">
        <v>2556</v>
      </c>
      <c r="H687" s="71">
        <v>189</v>
      </c>
      <c r="I687" s="71" t="s">
        <v>799</v>
      </c>
      <c r="J687" s="71">
        <v>1</v>
      </c>
      <c r="K687" s="71" t="s">
        <v>223</v>
      </c>
      <c r="L687" s="71" t="s">
        <v>2557</v>
      </c>
      <c r="M687" s="71" t="s">
        <v>2558</v>
      </c>
      <c r="N687" s="71">
        <v>83749802491</v>
      </c>
      <c r="Q687" s="71">
        <v>0</v>
      </c>
      <c r="R687" s="71" t="s">
        <v>2553</v>
      </c>
      <c r="S687" s="71" t="s">
        <v>2554</v>
      </c>
      <c r="T687" s="71" t="s">
        <v>2555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CONFEITARIA</v>
      </c>
      <c r="C688" s="72" t="str">
        <f ca="1">IF(D688="Inativo","Inativo",IFERROR(VLOOKUP($G688,Conf!$F$19:$G$39,2,0),VLOOKUP($S688,Conf!$K:$M,3,0)))</f>
        <v>CONFEITEIRO(A)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255</v>
      </c>
      <c r="G688" s="71" t="s">
        <v>2559</v>
      </c>
      <c r="H688" s="71">
        <v>45</v>
      </c>
      <c r="I688" s="71" t="s">
        <v>306</v>
      </c>
      <c r="J688" s="71">
        <v>1</v>
      </c>
      <c r="K688" s="71" t="s">
        <v>223</v>
      </c>
      <c r="L688" s="71" t="s">
        <v>2560</v>
      </c>
      <c r="M688" s="71" t="s">
        <v>2561</v>
      </c>
      <c r="N688" s="71">
        <v>15816434977</v>
      </c>
      <c r="Q688" s="71">
        <v>0</v>
      </c>
      <c r="R688" s="71" t="s">
        <v>2553</v>
      </c>
      <c r="S688" s="71" t="s">
        <v>2554</v>
      </c>
      <c r="T688" s="71" t="s">
        <v>2555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DEPOSITO</v>
      </c>
      <c r="C689" s="72" t="str">
        <f ca="1">IF(D689="Inativo","Inativo",IFERROR(VLOOKUP($G689,Conf!$F$19:$G$39,2,0),VLOOKUP($S689,Conf!$K:$M,3,0)))</f>
        <v>ESTOQUISTA</v>
      </c>
      <c r="D689" s="72" t="str">
        <f ca="1">IFERROR(IF(TODAY()-K689&gt;365,"Inativo",IF(J689=2,"Férias",IF(J689=7,"Demitido","Afastamento"))),VLOOKUP(J689,Conf!$H:$I,2,0))</f>
        <v>Demitido</v>
      </c>
      <c r="E689" s="71">
        <v>8</v>
      </c>
      <c r="F689" s="71">
        <v>217</v>
      </c>
      <c r="G689" s="71" t="s">
        <v>3858</v>
      </c>
      <c r="H689" s="71">
        <v>99</v>
      </c>
      <c r="I689" s="71" t="s">
        <v>444</v>
      </c>
      <c r="J689" s="71">
        <v>7</v>
      </c>
      <c r="K689" s="71" t="s">
        <v>3859</v>
      </c>
      <c r="L689" s="71" t="s">
        <v>3860</v>
      </c>
      <c r="M689" s="71" t="s">
        <v>1786</v>
      </c>
      <c r="N689" s="71">
        <v>14586955902</v>
      </c>
      <c r="Q689" s="71">
        <v>0</v>
      </c>
      <c r="R689" s="71" t="s">
        <v>3692</v>
      </c>
      <c r="S689" s="71" t="s">
        <v>3693</v>
      </c>
      <c r="T689" s="71" t="s">
        <v>1512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DEPOSITO</v>
      </c>
      <c r="C690" s="72" t="str">
        <f ca="1">IF(D690="Inativo","Inativo",IFERROR(VLOOKUP($G690,Conf!$F$19:$G$39,2,0),VLOOKUP($S690,Conf!$K:$M,3,0)))</f>
        <v>ESTOQUISTA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351</v>
      </c>
      <c r="G690" s="71" t="s">
        <v>3689</v>
      </c>
      <c r="H690" s="71">
        <v>1123</v>
      </c>
      <c r="I690" s="71" t="s">
        <v>3690</v>
      </c>
      <c r="J690" s="71">
        <v>1</v>
      </c>
      <c r="K690" s="71" t="s">
        <v>223</v>
      </c>
      <c r="L690" s="71" t="s">
        <v>3691</v>
      </c>
      <c r="M690" s="71" t="s">
        <v>3647</v>
      </c>
      <c r="N690" s="71">
        <v>15715972981</v>
      </c>
      <c r="O690" s="71" t="s">
        <v>245</v>
      </c>
      <c r="P690" s="71" t="s">
        <v>246</v>
      </c>
      <c r="Q690" s="71">
        <v>0</v>
      </c>
      <c r="R690" s="71" t="s">
        <v>3692</v>
      </c>
      <c r="S690" s="71" t="s">
        <v>3693</v>
      </c>
      <c r="T690" s="71" t="s">
        <v>1512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DEPOSITO</v>
      </c>
      <c r="C691" s="72" t="str">
        <f ca="1">IF(D691="Inativo","Inativo",IFERROR(VLOOKUP($G691,Conf!$F$19:$G$39,2,0),VLOOKUP($S691,Conf!$K:$M,3,0)))</f>
        <v>CONFERENTE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332</v>
      </c>
      <c r="G691" s="71" t="s">
        <v>2562</v>
      </c>
      <c r="H691" s="71">
        <v>98</v>
      </c>
      <c r="I691" s="71" t="s">
        <v>1079</v>
      </c>
      <c r="J691" s="71">
        <v>1</v>
      </c>
      <c r="K691" s="71" t="s">
        <v>223</v>
      </c>
      <c r="L691" s="71" t="s">
        <v>2563</v>
      </c>
      <c r="M691" s="71" t="s">
        <v>741</v>
      </c>
      <c r="N691" s="71">
        <v>5111987282</v>
      </c>
      <c r="O691" s="71" t="s">
        <v>245</v>
      </c>
      <c r="P691" s="71" t="s">
        <v>246</v>
      </c>
      <c r="Q691" s="71">
        <v>0</v>
      </c>
      <c r="R691" s="71" t="s">
        <v>2564</v>
      </c>
      <c r="S691" s="71" t="s">
        <v>2565</v>
      </c>
      <c r="T691" s="71" t="s">
        <v>753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FRENTE DE CAIXA</v>
      </c>
      <c r="C692" s="72" t="str">
        <f ca="1">IF(D692="Inativo","Inativo",IFERROR(VLOOKUP($G692,Conf!$F$19:$G$39,2,0),VLOOKUP($S692,Conf!$K:$M,3,0)))</f>
        <v>AUXILIAR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205</v>
      </c>
      <c r="G692" s="71" t="s">
        <v>2566</v>
      </c>
      <c r="H692" s="71">
        <v>1067</v>
      </c>
      <c r="I692" s="71" t="s">
        <v>657</v>
      </c>
      <c r="J692" s="71">
        <v>1</v>
      </c>
      <c r="K692" s="71" t="s">
        <v>223</v>
      </c>
      <c r="L692" s="71" t="s">
        <v>2567</v>
      </c>
      <c r="M692" s="71" t="s">
        <v>2568</v>
      </c>
      <c r="N692" s="71">
        <v>4954342996</v>
      </c>
      <c r="Q692" s="71">
        <v>0</v>
      </c>
      <c r="R692" s="71" t="s">
        <v>2569</v>
      </c>
      <c r="S692" s="71" t="s">
        <v>2570</v>
      </c>
      <c r="T692" s="71" t="s">
        <v>2571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FRENTE DE CAIXA</v>
      </c>
      <c r="C693" s="72" t="str">
        <f ca="1">IF(D693="Inativo","Inativo",IFERROR(VLOOKUP($G693,Conf!$F$19:$G$39,2,0),VLOOKUP($S693,Conf!$K:$M,3,0)))</f>
        <v>AUXILIAR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2409</v>
      </c>
      <c r="G693" s="71" t="s">
        <v>2572</v>
      </c>
      <c r="H693" s="71">
        <v>989</v>
      </c>
      <c r="I693" s="71" t="s">
        <v>657</v>
      </c>
      <c r="J693" s="71">
        <v>1</v>
      </c>
      <c r="K693" s="71" t="s">
        <v>223</v>
      </c>
      <c r="L693" s="71" t="s">
        <v>2573</v>
      </c>
      <c r="M693" s="71" t="s">
        <v>1759</v>
      </c>
      <c r="N693" s="71">
        <v>10395605989</v>
      </c>
      <c r="O693" s="71" t="s">
        <v>245</v>
      </c>
      <c r="P693" s="71" t="s">
        <v>246</v>
      </c>
      <c r="Q693" s="71">
        <v>0</v>
      </c>
      <c r="R693" s="71" t="s">
        <v>2574</v>
      </c>
      <c r="S693" s="71" t="s">
        <v>368</v>
      </c>
      <c r="T693" s="71" t="s">
        <v>2575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FRENTE DE CAIXA</v>
      </c>
      <c r="C694" s="72" t="str">
        <f ca="1">IF(D694="Inativo","Inativo",IFERROR(VLOOKUP($G694,Conf!$F$19:$G$39,2,0),VLOOKUP($S694,Conf!$K:$M,3,0)))</f>
        <v>AUXILIAR</v>
      </c>
      <c r="D694" s="72" t="str">
        <f ca="1">IFERROR(IF(TODAY()-K694&gt;365,"Inativo",IF(J694=2,"Férias",IF(J694=7,"Demitido","Afastamento"))),VLOOKUP(J694,Conf!$H:$I,2,0))</f>
        <v>Férias</v>
      </c>
      <c r="E694" s="71">
        <v>8</v>
      </c>
      <c r="F694" s="71">
        <v>1981</v>
      </c>
      <c r="G694" s="71" t="s">
        <v>2576</v>
      </c>
      <c r="H694" s="71">
        <v>1100</v>
      </c>
      <c r="I694" s="71" t="s">
        <v>279</v>
      </c>
      <c r="J694" s="71">
        <v>2</v>
      </c>
      <c r="K694" s="71" t="s">
        <v>471</v>
      </c>
      <c r="L694" s="71" t="s">
        <v>2577</v>
      </c>
      <c r="M694" s="71" t="s">
        <v>2578</v>
      </c>
      <c r="N694" s="71">
        <v>5037373999</v>
      </c>
      <c r="Q694" s="71">
        <v>0</v>
      </c>
      <c r="R694" s="71" t="s">
        <v>2574</v>
      </c>
      <c r="S694" s="71" t="s">
        <v>368</v>
      </c>
      <c r="T694" s="71" t="s">
        <v>2575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FRENTE DE CAIXA</v>
      </c>
      <c r="C695" s="72" t="str">
        <f ca="1">IF(D695="Inativo","Inativo",IFERROR(VLOOKUP($G695,Conf!$F$19:$G$39,2,0),VLOOKUP($S695,Conf!$K:$M,3,0)))</f>
        <v>GERENTE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2300</v>
      </c>
      <c r="G695" s="71" t="s">
        <v>2579</v>
      </c>
      <c r="H695" s="71">
        <v>47</v>
      </c>
      <c r="I695" s="71" t="s">
        <v>222</v>
      </c>
      <c r="J695" s="71">
        <v>1</v>
      </c>
      <c r="K695" s="71" t="s">
        <v>223</v>
      </c>
      <c r="L695" s="71" t="s">
        <v>2580</v>
      </c>
      <c r="M695" s="71" t="s">
        <v>2581</v>
      </c>
      <c r="N695" s="71">
        <v>740202936</v>
      </c>
      <c r="Q695" s="71">
        <v>0</v>
      </c>
      <c r="R695" s="71" t="s">
        <v>2582</v>
      </c>
      <c r="S695" s="71" t="s">
        <v>854</v>
      </c>
      <c r="T695" s="71" t="s">
        <v>2583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FRENTE DE CAIXA</v>
      </c>
      <c r="C696" s="72" t="str">
        <f ca="1">IF(D696="Inativo","Inativo",IFERROR(VLOOKUP($G696,Conf!$F$19:$G$39,2,0),VLOOKUP($S696,Conf!$K:$M,3,0)))</f>
        <v>FISCAL DE CAIXA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1851</v>
      </c>
      <c r="G696" s="71" t="s">
        <v>2584</v>
      </c>
      <c r="H696" s="71">
        <v>1071</v>
      </c>
      <c r="I696" s="71" t="s">
        <v>657</v>
      </c>
      <c r="J696" s="71">
        <v>1</v>
      </c>
      <c r="K696" s="71" t="s">
        <v>223</v>
      </c>
      <c r="L696" s="71" t="s">
        <v>2585</v>
      </c>
      <c r="M696" s="71" t="s">
        <v>2586</v>
      </c>
      <c r="N696" s="71">
        <v>7841382901</v>
      </c>
      <c r="Q696" s="71">
        <v>0</v>
      </c>
      <c r="R696" s="71" t="s">
        <v>2587</v>
      </c>
      <c r="S696" s="71" t="s">
        <v>404</v>
      </c>
      <c r="T696" s="71" t="s">
        <v>2588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FRENTE DE CAIXA</v>
      </c>
      <c r="C697" s="72" t="str">
        <f ca="1">IF(D697="Inativo","Inativo",IFERROR(VLOOKUP($G697,Conf!$F$19:$G$39,2,0),VLOOKUP($S697,Conf!$K:$M,3,0)))</f>
        <v>FISCAL DE CAIXA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2415</v>
      </c>
      <c r="G697" s="71" t="s">
        <v>2589</v>
      </c>
      <c r="H697" s="71">
        <v>988</v>
      </c>
      <c r="I697" s="71" t="s">
        <v>657</v>
      </c>
      <c r="J697" s="71">
        <v>1</v>
      </c>
      <c r="K697" s="71" t="s">
        <v>223</v>
      </c>
      <c r="L697" s="71" t="s">
        <v>2590</v>
      </c>
      <c r="M697" s="71" t="s">
        <v>417</v>
      </c>
      <c r="N697" s="71">
        <v>70422253413</v>
      </c>
      <c r="O697" s="71" t="s">
        <v>245</v>
      </c>
      <c r="P697" s="71" t="s">
        <v>246</v>
      </c>
      <c r="Q697" s="71">
        <v>0</v>
      </c>
      <c r="R697" s="71" t="s">
        <v>2587</v>
      </c>
      <c r="S697" s="71" t="s">
        <v>404</v>
      </c>
      <c r="T697" s="71" t="s">
        <v>2588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FRENTE DE CAIXA</v>
      </c>
      <c r="C698" s="72" t="str">
        <f ca="1">IF(D698="Inativo","Inativo",IFERROR(VLOOKUP($G698,Conf!$F$19:$G$39,2,0),VLOOKUP($S698,Conf!$K:$M,3,0)))</f>
        <v>FISCAL DE CAIXA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2303</v>
      </c>
      <c r="G698" s="71" t="s">
        <v>2591</v>
      </c>
      <c r="H698" s="71">
        <v>1067</v>
      </c>
      <c r="I698" s="71" t="s">
        <v>657</v>
      </c>
      <c r="J698" s="71">
        <v>1</v>
      </c>
      <c r="K698" s="71" t="s">
        <v>223</v>
      </c>
      <c r="L698" s="71" t="s">
        <v>2592</v>
      </c>
      <c r="M698" s="71" t="s">
        <v>2593</v>
      </c>
      <c r="N698" s="71">
        <v>9791499918</v>
      </c>
      <c r="Q698" s="71">
        <v>0</v>
      </c>
      <c r="R698" s="71" t="s">
        <v>2587</v>
      </c>
      <c r="S698" s="71" t="s">
        <v>404</v>
      </c>
      <c r="T698" s="71" t="s">
        <v>2588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FRENTE DE CAIXA</v>
      </c>
      <c r="C699" s="72" t="str">
        <f ca="1">IF(D699="Inativo","Inativo",IFERROR(VLOOKUP($G699,Conf!$F$19:$G$39,2,0),VLOOKUP($S699,Conf!$K:$M,3,0)))</f>
        <v>OPERADOR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2014</v>
      </c>
      <c r="G699" s="71" t="s">
        <v>2594</v>
      </c>
      <c r="H699" s="71">
        <v>1085</v>
      </c>
      <c r="I699" s="71" t="s">
        <v>222</v>
      </c>
      <c r="J699" s="71">
        <v>1</v>
      </c>
      <c r="K699" s="71" t="s">
        <v>223</v>
      </c>
      <c r="L699" s="71" t="s">
        <v>2595</v>
      </c>
      <c r="M699" s="71" t="s">
        <v>2596</v>
      </c>
      <c r="N699" s="71">
        <v>24480126953</v>
      </c>
      <c r="Q699" s="71">
        <v>0</v>
      </c>
      <c r="R699" s="71" t="s">
        <v>427</v>
      </c>
      <c r="S699" s="71" t="s">
        <v>428</v>
      </c>
      <c r="T699" s="71" t="s">
        <v>429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FRENTE DE CAIXA</v>
      </c>
      <c r="C700" s="72" t="str">
        <f ca="1">IF(D700="Inativo","Inativo",IFERROR(VLOOKUP($G700,Conf!$F$19:$G$39,2,0),VLOOKUP($S700,Conf!$K:$M,3,0)))</f>
        <v>OPERADOR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2237</v>
      </c>
      <c r="G700" s="71" t="s">
        <v>2597</v>
      </c>
      <c r="H700" s="71">
        <v>1071</v>
      </c>
      <c r="I700" s="71" t="s">
        <v>657</v>
      </c>
      <c r="J700" s="71">
        <v>1</v>
      </c>
      <c r="K700" s="71" t="s">
        <v>223</v>
      </c>
      <c r="L700" s="71" t="s">
        <v>2598</v>
      </c>
      <c r="M700" s="71" t="s">
        <v>2535</v>
      </c>
      <c r="N700" s="71">
        <v>97166731915</v>
      </c>
      <c r="Q700" s="71">
        <v>0</v>
      </c>
      <c r="R700" s="71" t="s">
        <v>427</v>
      </c>
      <c r="S700" s="71" t="s">
        <v>428</v>
      </c>
      <c r="T700" s="71" t="s">
        <v>429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FRENTE DE CAIXA</v>
      </c>
      <c r="C701" s="72" t="str">
        <f ca="1">IF(D701="Inativo","Inativo",IFERROR(VLOOKUP($G701,Conf!$F$19:$G$39,2,0),VLOOKUP($S701,Conf!$K:$M,3,0)))</f>
        <v>OPERADOR</v>
      </c>
      <c r="D701" s="72" t="str">
        <f ca="1">IFERROR(IF(TODAY()-K701&gt;365,"Inativo",IF(J701=2,"Férias",IF(J701=7,"Demitido","Afastamento"))),VLOOKUP(J701,Conf!$H:$I,2,0))</f>
        <v>Férias</v>
      </c>
      <c r="E701" s="71">
        <v>8</v>
      </c>
      <c r="F701" s="71">
        <v>2265</v>
      </c>
      <c r="G701" s="71" t="s">
        <v>2599</v>
      </c>
      <c r="H701" s="71">
        <v>1070</v>
      </c>
      <c r="I701" s="71" t="s">
        <v>657</v>
      </c>
      <c r="J701" s="71">
        <v>2</v>
      </c>
      <c r="K701" s="71" t="s">
        <v>471</v>
      </c>
      <c r="L701" s="71" t="s">
        <v>2600</v>
      </c>
      <c r="M701" s="71" t="s">
        <v>1202</v>
      </c>
      <c r="N701" s="71">
        <v>11817679970</v>
      </c>
      <c r="Q701" s="71">
        <v>0</v>
      </c>
      <c r="R701" s="71" t="s">
        <v>427</v>
      </c>
      <c r="S701" s="71" t="s">
        <v>428</v>
      </c>
      <c r="T701" s="71" t="s">
        <v>429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FRENTE DE CAIXA</v>
      </c>
      <c r="C702" s="72" t="str">
        <f ca="1">IF(D702="Inativo","Inativo",IFERROR(VLOOKUP($G702,Conf!$F$19:$G$39,2,0),VLOOKUP($S702,Conf!$K:$M,3,0)))</f>
        <v>OPERADOR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1980</v>
      </c>
      <c r="G702" s="71" t="s">
        <v>2601</v>
      </c>
      <c r="H702" s="71">
        <v>1070</v>
      </c>
      <c r="I702" s="71" t="s">
        <v>657</v>
      </c>
      <c r="J702" s="71">
        <v>1</v>
      </c>
      <c r="K702" s="71" t="s">
        <v>223</v>
      </c>
      <c r="L702" s="71" t="s">
        <v>2602</v>
      </c>
      <c r="M702" s="71" t="s">
        <v>2578</v>
      </c>
      <c r="N702" s="71">
        <v>46679456991</v>
      </c>
      <c r="Q702" s="71">
        <v>0</v>
      </c>
      <c r="R702" s="71" t="s">
        <v>427</v>
      </c>
      <c r="S702" s="71" t="s">
        <v>428</v>
      </c>
      <c r="T702" s="71" t="s">
        <v>429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FRENTE DE CAIXA</v>
      </c>
      <c r="C703" s="72" t="str">
        <f ca="1">IF(D703="Inativo","Inativo",IFERROR(VLOOKUP($G703,Conf!$F$19:$G$39,2,0),VLOOKUP($S703,Conf!$K:$M,3,0)))</f>
        <v>OPERADOR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2295</v>
      </c>
      <c r="G703" s="71" t="s">
        <v>2603</v>
      </c>
      <c r="H703" s="71">
        <v>1067</v>
      </c>
      <c r="I703" s="71" t="s">
        <v>657</v>
      </c>
      <c r="J703" s="71">
        <v>1</v>
      </c>
      <c r="K703" s="71" t="s">
        <v>223</v>
      </c>
      <c r="L703" s="71" t="s">
        <v>2604</v>
      </c>
      <c r="M703" s="71" t="s">
        <v>2605</v>
      </c>
      <c r="N703" s="71">
        <v>15298862950</v>
      </c>
      <c r="Q703" s="71">
        <v>0</v>
      </c>
      <c r="R703" s="71" t="s">
        <v>427</v>
      </c>
      <c r="S703" s="71" t="s">
        <v>428</v>
      </c>
      <c r="T703" s="71" t="s">
        <v>429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FRENTE DE CAIXA</v>
      </c>
      <c r="C704" s="72" t="str">
        <f ca="1">IF(D704="Inativo","Inativo",IFERROR(VLOOKUP($G704,Conf!$F$19:$G$39,2,0),VLOOKUP($S704,Conf!$K:$M,3,0)))</f>
        <v>OPERADOR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2414</v>
      </c>
      <c r="G704" s="71" t="s">
        <v>2606</v>
      </c>
      <c r="H704" s="71">
        <v>988</v>
      </c>
      <c r="I704" s="71" t="s">
        <v>657</v>
      </c>
      <c r="J704" s="71">
        <v>1</v>
      </c>
      <c r="K704" s="71" t="s">
        <v>223</v>
      </c>
      <c r="L704" s="71" t="s">
        <v>1176</v>
      </c>
      <c r="M704" s="71" t="s">
        <v>417</v>
      </c>
      <c r="N704" s="71">
        <v>14224023989</v>
      </c>
      <c r="O704" s="71" t="s">
        <v>245</v>
      </c>
      <c r="P704" s="71" t="s">
        <v>246</v>
      </c>
      <c r="Q704" s="71">
        <v>0</v>
      </c>
      <c r="R704" s="71" t="s">
        <v>427</v>
      </c>
      <c r="S704" s="71" t="s">
        <v>428</v>
      </c>
      <c r="T704" s="71" t="s">
        <v>429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FRENTE DE CAIXA</v>
      </c>
      <c r="C705" s="72" t="str">
        <f ca="1">IF(D705="Inativo","Inativo",IFERROR(VLOOKUP($G705,Conf!$F$19:$G$39,2,0),VLOOKUP($S705,Conf!$K:$M,3,0)))</f>
        <v>OPERADOR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2356</v>
      </c>
      <c r="G705" s="71" t="s">
        <v>2607</v>
      </c>
      <c r="H705" s="71">
        <v>1070</v>
      </c>
      <c r="I705" s="71" t="s">
        <v>657</v>
      </c>
      <c r="J705" s="71">
        <v>1</v>
      </c>
      <c r="K705" s="71" t="s">
        <v>223</v>
      </c>
      <c r="L705" s="71" t="s">
        <v>1146</v>
      </c>
      <c r="M705" s="71" t="s">
        <v>1239</v>
      </c>
      <c r="N705" s="71">
        <v>14397657904</v>
      </c>
      <c r="O705" s="71" t="s">
        <v>245</v>
      </c>
      <c r="P705" s="71" t="s">
        <v>246</v>
      </c>
      <c r="Q705" s="71">
        <v>0</v>
      </c>
      <c r="R705" s="71" t="s">
        <v>427</v>
      </c>
      <c r="S705" s="71" t="s">
        <v>428</v>
      </c>
      <c r="T705" s="71" t="s">
        <v>429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FRENTE DE CAIXA</v>
      </c>
      <c r="C706" s="72" t="str">
        <f ca="1">IF(D706="Inativo","Inativo",IFERROR(VLOOKUP($G706,Conf!$F$19:$G$39,2,0),VLOOKUP($S706,Conf!$K:$M,3,0)))</f>
        <v>OPERADOR</v>
      </c>
      <c r="D706" s="72" t="str">
        <f ca="1">IFERROR(IF(TODAY()-K706&gt;365,"Inativo",IF(J706=2,"Férias",IF(J706=7,"Demitido","Afastamento"))),VLOOKUP(J706,Conf!$H:$I,2,0))</f>
        <v>Demitido</v>
      </c>
      <c r="E706" s="71">
        <v>8</v>
      </c>
      <c r="F706" s="71">
        <v>2425</v>
      </c>
      <c r="G706" s="71" t="s">
        <v>2608</v>
      </c>
      <c r="H706" s="71">
        <v>990</v>
      </c>
      <c r="I706" s="71" t="s">
        <v>657</v>
      </c>
      <c r="J706" s="71">
        <v>7</v>
      </c>
      <c r="K706" s="71" t="s">
        <v>460</v>
      </c>
      <c r="L706" s="71" t="s">
        <v>2609</v>
      </c>
      <c r="M706" s="71" t="s">
        <v>231</v>
      </c>
      <c r="N706" s="71">
        <v>16631710928</v>
      </c>
      <c r="O706" s="71" t="s">
        <v>245</v>
      </c>
      <c r="P706" s="71" t="s">
        <v>246</v>
      </c>
      <c r="Q706" s="71">
        <v>0</v>
      </c>
      <c r="R706" s="71" t="s">
        <v>427</v>
      </c>
      <c r="S706" s="71" t="s">
        <v>428</v>
      </c>
      <c r="T706" s="71" t="s">
        <v>429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FRENTE DE CAIXA</v>
      </c>
      <c r="C707" s="72" t="str">
        <f ca="1">IF(D707="Inativo","Inativo",IFERROR(VLOOKUP($G707,Conf!$F$19:$G$39,2,0),VLOOKUP($S707,Conf!$K:$M,3,0)))</f>
        <v>OPERADOR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2423</v>
      </c>
      <c r="G707" s="71" t="s">
        <v>2610</v>
      </c>
      <c r="H707" s="71">
        <v>988</v>
      </c>
      <c r="I707" s="71" t="s">
        <v>657</v>
      </c>
      <c r="J707" s="71">
        <v>1</v>
      </c>
      <c r="K707" s="71" t="s">
        <v>223</v>
      </c>
      <c r="L707" s="71" t="s">
        <v>1294</v>
      </c>
      <c r="M707" s="71" t="s">
        <v>388</v>
      </c>
      <c r="N707" s="71">
        <v>10722311907</v>
      </c>
      <c r="O707" s="71" t="s">
        <v>245</v>
      </c>
      <c r="P707" s="71" t="s">
        <v>246</v>
      </c>
      <c r="Q707" s="71">
        <v>0</v>
      </c>
      <c r="R707" s="71" t="s">
        <v>427</v>
      </c>
      <c r="S707" s="71" t="s">
        <v>428</v>
      </c>
      <c r="T707" s="71" t="s">
        <v>429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FRENTE DE CAIXA</v>
      </c>
      <c r="C708" s="72" t="str">
        <f ca="1">IF(D708="Inativo","Inativo",IFERROR(VLOOKUP($G708,Conf!$F$19:$G$39,2,0),VLOOKUP($S708,Conf!$K:$M,3,0)))</f>
        <v>OPERADOR</v>
      </c>
      <c r="D708" s="72" t="str">
        <f ca="1">IFERROR(IF(TODAY()-K708&gt;365,"Inativo",IF(J708=2,"Férias",IF(J708=7,"Demitido","Afastamento"))),VLOOKUP(J708,Conf!$H:$I,2,0))</f>
        <v>Demitido</v>
      </c>
      <c r="E708" s="71">
        <v>8</v>
      </c>
      <c r="F708" s="71">
        <v>2426</v>
      </c>
      <c r="G708" s="71" t="s">
        <v>2611</v>
      </c>
      <c r="H708" s="71">
        <v>998</v>
      </c>
      <c r="I708" s="71" t="s">
        <v>657</v>
      </c>
      <c r="J708" s="71">
        <v>7</v>
      </c>
      <c r="K708" s="71" t="s">
        <v>3642</v>
      </c>
      <c r="L708" s="71" t="s">
        <v>2612</v>
      </c>
      <c r="M708" s="71" t="s">
        <v>231</v>
      </c>
      <c r="N708" s="71">
        <v>80063957990</v>
      </c>
      <c r="O708" s="71" t="s">
        <v>245</v>
      </c>
      <c r="P708" s="71" t="s">
        <v>246</v>
      </c>
      <c r="Q708" s="71">
        <v>0</v>
      </c>
      <c r="R708" s="71" t="s">
        <v>427</v>
      </c>
      <c r="S708" s="71" t="s">
        <v>428</v>
      </c>
      <c r="T708" s="71" t="s">
        <v>429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FRENTE DE CAIXA</v>
      </c>
      <c r="C709" s="72" t="str">
        <f ca="1">IF(D709="Inativo","Inativo",IFERROR(VLOOKUP($G709,Conf!$F$19:$G$39,2,0),VLOOKUP($S709,Conf!$K:$M,3,0)))</f>
        <v>OPERADOR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2420</v>
      </c>
      <c r="G709" s="71" t="s">
        <v>2613</v>
      </c>
      <c r="H709" s="71">
        <v>988</v>
      </c>
      <c r="I709" s="71" t="s">
        <v>657</v>
      </c>
      <c r="J709" s="71">
        <v>1</v>
      </c>
      <c r="K709" s="71" t="s">
        <v>223</v>
      </c>
      <c r="L709" s="71" t="s">
        <v>2614</v>
      </c>
      <c r="M709" s="71" t="s">
        <v>2110</v>
      </c>
      <c r="N709" s="71">
        <v>19785754839</v>
      </c>
      <c r="O709" s="71" t="s">
        <v>245</v>
      </c>
      <c r="P709" s="71" t="s">
        <v>246</v>
      </c>
      <c r="Q709" s="71">
        <v>0</v>
      </c>
      <c r="R709" s="71" t="s">
        <v>427</v>
      </c>
      <c r="S709" s="71" t="s">
        <v>428</v>
      </c>
      <c r="T709" s="71" t="s">
        <v>429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FRENTE DE CAIXA</v>
      </c>
      <c r="C710" s="72" t="str">
        <f ca="1">IF(D710="Inativo","Inativo",IFERROR(VLOOKUP($G710,Conf!$F$19:$G$39,2,0),VLOOKUP($S710,Conf!$K:$M,3,0)))</f>
        <v>OPERADOR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2351</v>
      </c>
      <c r="G710" s="71" t="s">
        <v>2615</v>
      </c>
      <c r="H710" s="71">
        <v>1071</v>
      </c>
      <c r="I710" s="71" t="s">
        <v>657</v>
      </c>
      <c r="J710" s="71">
        <v>1</v>
      </c>
      <c r="K710" s="71" t="s">
        <v>223</v>
      </c>
      <c r="L710" s="71" t="s">
        <v>2616</v>
      </c>
      <c r="M710" s="71" t="s">
        <v>1414</v>
      </c>
      <c r="N710" s="71">
        <v>12583925938</v>
      </c>
      <c r="O710" s="71" t="s">
        <v>245</v>
      </c>
      <c r="P710" s="71" t="s">
        <v>246</v>
      </c>
      <c r="Q710" s="71">
        <v>0</v>
      </c>
      <c r="R710" s="71" t="s">
        <v>427</v>
      </c>
      <c r="S710" s="71" t="s">
        <v>428</v>
      </c>
      <c r="T710" s="71" t="s">
        <v>429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FRENTE DE CAIXA</v>
      </c>
      <c r="C711" s="72" t="str">
        <f ca="1">IF(D711="Inativo","Inativo",IFERROR(VLOOKUP($G711,Conf!$F$19:$G$39,2,0),VLOOKUP($S711,Conf!$K:$M,3,0)))</f>
        <v>OPERADOR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1805</v>
      </c>
      <c r="G711" s="71" t="s">
        <v>2617</v>
      </c>
      <c r="H711" s="71">
        <v>1094</v>
      </c>
      <c r="I711" s="71" t="s">
        <v>238</v>
      </c>
      <c r="J711" s="71">
        <v>1</v>
      </c>
      <c r="K711" s="71" t="s">
        <v>223</v>
      </c>
      <c r="L711" s="71" t="s">
        <v>2618</v>
      </c>
      <c r="M711" s="71" t="s">
        <v>2619</v>
      </c>
      <c r="N711" s="71">
        <v>7210915982</v>
      </c>
      <c r="Q711" s="71">
        <v>0</v>
      </c>
      <c r="R711" s="71" t="s">
        <v>427</v>
      </c>
      <c r="S711" s="71" t="s">
        <v>428</v>
      </c>
      <c r="T711" s="71" t="s">
        <v>429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FRENTE DE CAIXA</v>
      </c>
      <c r="C712" s="72" t="str">
        <f ca="1">IF(D712="Inativo","Inativo",IFERROR(VLOOKUP($G712,Conf!$F$19:$G$39,2,0),VLOOKUP($S712,Conf!$K:$M,3,0)))</f>
        <v>OPERADOR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2143</v>
      </c>
      <c r="G712" s="71" t="s">
        <v>2620</v>
      </c>
      <c r="H712" s="71">
        <v>1092</v>
      </c>
      <c r="I712" s="71" t="s">
        <v>238</v>
      </c>
      <c r="J712" s="71">
        <v>1</v>
      </c>
      <c r="K712" s="71" t="s">
        <v>223</v>
      </c>
      <c r="L712" s="71" t="s">
        <v>2621</v>
      </c>
      <c r="M712" s="71" t="s">
        <v>2568</v>
      </c>
      <c r="N712" s="71">
        <v>72027681949</v>
      </c>
      <c r="Q712" s="71">
        <v>0</v>
      </c>
      <c r="R712" s="71" t="s">
        <v>427</v>
      </c>
      <c r="S712" s="71" t="s">
        <v>428</v>
      </c>
      <c r="T712" s="71" t="s">
        <v>429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FRENTE DE CAIXA</v>
      </c>
      <c r="C713" s="72" t="str">
        <f ca="1">IF(D713="Inativo","Inativo",IFERROR(VLOOKUP($G713,Conf!$F$19:$G$39,2,0),VLOOKUP($S713,Conf!$K:$M,3,0)))</f>
        <v>OPERADOR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2170</v>
      </c>
      <c r="G713" s="71" t="s">
        <v>2622</v>
      </c>
      <c r="H713" s="71">
        <v>1067</v>
      </c>
      <c r="I713" s="71" t="s">
        <v>657</v>
      </c>
      <c r="J713" s="71">
        <v>1</v>
      </c>
      <c r="K713" s="71" t="s">
        <v>223</v>
      </c>
      <c r="L713" s="71" t="s">
        <v>2623</v>
      </c>
      <c r="M713" s="71" t="s">
        <v>2624</v>
      </c>
      <c r="N713" s="71">
        <v>6086607958</v>
      </c>
      <c r="Q713" s="71">
        <v>0</v>
      </c>
      <c r="R713" s="71" t="s">
        <v>427</v>
      </c>
      <c r="S713" s="71" t="s">
        <v>428</v>
      </c>
      <c r="T713" s="71" t="s">
        <v>429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FRENTE DE CAIXA</v>
      </c>
      <c r="C714" s="72" t="str">
        <f ca="1">IF(D714="Inativo","Inativo",IFERROR(VLOOKUP($G714,Conf!$F$19:$G$39,2,0),VLOOKUP($S714,Conf!$K:$M,3,0)))</f>
        <v>OPERADOR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2012</v>
      </c>
      <c r="G714" s="71" t="s">
        <v>2625</v>
      </c>
      <c r="H714" s="71">
        <v>1095</v>
      </c>
      <c r="I714" s="71" t="s">
        <v>238</v>
      </c>
      <c r="J714" s="71">
        <v>1</v>
      </c>
      <c r="K714" s="71" t="s">
        <v>223</v>
      </c>
      <c r="L714" s="71" t="s">
        <v>2626</v>
      </c>
      <c r="M714" s="71" t="s">
        <v>2627</v>
      </c>
      <c r="N714" s="71">
        <v>52776620900</v>
      </c>
      <c r="Q714" s="71">
        <v>0</v>
      </c>
      <c r="R714" s="71" t="s">
        <v>427</v>
      </c>
      <c r="S714" s="71" t="s">
        <v>428</v>
      </c>
      <c r="T714" s="71" t="s">
        <v>429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FRENTE DE CAIXA</v>
      </c>
      <c r="C715" s="72" t="str">
        <f ca="1">IF(D715="Inativo","Inativo",IFERROR(VLOOKUP($G715,Conf!$F$19:$G$39,2,0),VLOOKUP($S715,Conf!$K:$M,3,0)))</f>
        <v>OPERADOR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1846</v>
      </c>
      <c r="G715" s="71" t="s">
        <v>2628</v>
      </c>
      <c r="H715" s="71">
        <v>1093</v>
      </c>
      <c r="I715" s="71" t="s">
        <v>238</v>
      </c>
      <c r="J715" s="71">
        <v>1</v>
      </c>
      <c r="K715" s="71" t="s">
        <v>223</v>
      </c>
      <c r="L715" s="71" t="s">
        <v>2629</v>
      </c>
      <c r="M715" s="71" t="s">
        <v>1830</v>
      </c>
      <c r="N715" s="71">
        <v>996589929</v>
      </c>
      <c r="Q715" s="71">
        <v>0</v>
      </c>
      <c r="R715" s="71" t="s">
        <v>427</v>
      </c>
      <c r="S715" s="71" t="s">
        <v>428</v>
      </c>
      <c r="T715" s="71" t="s">
        <v>429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FRENTE DE CAIXA</v>
      </c>
      <c r="C716" s="72" t="str">
        <f ca="1">IF(D716="Inativo","Inativo",IFERROR(VLOOKUP($G716,Conf!$F$19:$G$39,2,0),VLOOKUP($S716,Conf!$K:$M,3,0)))</f>
        <v>OPERADOR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2439</v>
      </c>
      <c r="G716" s="71" t="s">
        <v>3680</v>
      </c>
      <c r="H716" s="71">
        <v>1066</v>
      </c>
      <c r="I716" s="71" t="s">
        <v>2513</v>
      </c>
      <c r="J716" s="71">
        <v>1</v>
      </c>
      <c r="K716" s="71" t="s">
        <v>223</v>
      </c>
      <c r="L716" s="71" t="s">
        <v>3681</v>
      </c>
      <c r="M716" s="71" t="s">
        <v>3636</v>
      </c>
      <c r="N716" s="71">
        <v>15134512949</v>
      </c>
      <c r="O716" s="71" t="s">
        <v>245</v>
      </c>
      <c r="P716" s="71" t="s">
        <v>246</v>
      </c>
      <c r="Q716" s="71">
        <v>0</v>
      </c>
      <c r="R716" s="71" t="s">
        <v>427</v>
      </c>
      <c r="S716" s="71" t="s">
        <v>428</v>
      </c>
      <c r="T716" s="71" t="s">
        <v>429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FRENTE DE CAIXA</v>
      </c>
      <c r="C717" s="72" t="str">
        <f ca="1">IF(D717="Inativo","Inativo",IFERROR(VLOOKUP($G717,Conf!$F$19:$G$39,2,0),VLOOKUP($S717,Conf!$K:$M,3,0)))</f>
        <v>OPERADOR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2340</v>
      </c>
      <c r="G717" s="71" t="s">
        <v>2630</v>
      </c>
      <c r="H717" s="71">
        <v>1070</v>
      </c>
      <c r="I717" s="71" t="s">
        <v>657</v>
      </c>
      <c r="J717" s="71">
        <v>1</v>
      </c>
      <c r="K717" s="71" t="s">
        <v>223</v>
      </c>
      <c r="L717" s="71" t="s">
        <v>2631</v>
      </c>
      <c r="M717" s="71" t="s">
        <v>468</v>
      </c>
      <c r="N717" s="71">
        <v>10419924914</v>
      </c>
      <c r="O717" s="71" t="s">
        <v>245</v>
      </c>
      <c r="P717" s="71" t="s">
        <v>246</v>
      </c>
      <c r="Q717" s="71">
        <v>0</v>
      </c>
      <c r="R717" s="71" t="s">
        <v>427</v>
      </c>
      <c r="S717" s="71" t="s">
        <v>428</v>
      </c>
      <c r="T717" s="71" t="s">
        <v>429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FRENTE DE CAIXA</v>
      </c>
      <c r="C718" s="72" t="str">
        <f ca="1">IF(D718="Inativo","Inativo",IFERROR(VLOOKUP($G718,Conf!$F$19:$G$39,2,0),VLOOKUP($S718,Conf!$K:$M,3,0)))</f>
        <v>OPERADOR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2246</v>
      </c>
      <c r="G718" s="71" t="s">
        <v>2632</v>
      </c>
      <c r="H718" s="71">
        <v>1069</v>
      </c>
      <c r="I718" s="71" t="s">
        <v>657</v>
      </c>
      <c r="J718" s="71">
        <v>1</v>
      </c>
      <c r="K718" s="71" t="s">
        <v>223</v>
      </c>
      <c r="L718" s="71" t="s">
        <v>2633</v>
      </c>
      <c r="M718" s="71" t="s">
        <v>2634</v>
      </c>
      <c r="N718" s="71">
        <v>64656853968</v>
      </c>
      <c r="Q718" s="71">
        <v>0</v>
      </c>
      <c r="R718" s="71" t="s">
        <v>427</v>
      </c>
      <c r="S718" s="71" t="s">
        <v>428</v>
      </c>
      <c r="T718" s="71" t="s">
        <v>429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FRENTE DE CAIXA</v>
      </c>
      <c r="C719" s="72" t="str">
        <f ca="1">IF(D719="Inativo","Inativo",IFERROR(VLOOKUP($G719,Conf!$F$19:$G$39,2,0),VLOOKUP($S719,Conf!$K:$M,3,0)))</f>
        <v>OPERADOR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2095</v>
      </c>
      <c r="G719" s="71" t="s">
        <v>2635</v>
      </c>
      <c r="H719" s="71">
        <v>1093</v>
      </c>
      <c r="I719" s="71" t="s">
        <v>238</v>
      </c>
      <c r="J719" s="71">
        <v>1</v>
      </c>
      <c r="K719" s="71" t="s">
        <v>223</v>
      </c>
      <c r="L719" s="71" t="s">
        <v>2636</v>
      </c>
      <c r="M719" s="71" t="s">
        <v>532</v>
      </c>
      <c r="N719" s="71">
        <v>69538328949</v>
      </c>
      <c r="Q719" s="71">
        <v>0</v>
      </c>
      <c r="R719" s="71" t="s">
        <v>427</v>
      </c>
      <c r="S719" s="71" t="s">
        <v>428</v>
      </c>
      <c r="T719" s="71" t="s">
        <v>429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FRENTE DE CAIXA</v>
      </c>
      <c r="C720" s="72" t="str">
        <f ca="1">IF(D720="Inativo","Inativo",IFERROR(VLOOKUP($G720,Conf!$F$19:$G$39,2,0),VLOOKUP($S720,Conf!$K:$M,3,0)))</f>
        <v>OPERADOR</v>
      </c>
      <c r="D720" s="72" t="str">
        <f ca="1">IFERROR(IF(TODAY()-K720&gt;365,"Inativo",IF(J720=2,"Férias",IF(J720=7,"Demitido","Afastamento"))),VLOOKUP(J720,Conf!$H:$I,2,0))</f>
        <v>Férias</v>
      </c>
      <c r="E720" s="71">
        <v>8</v>
      </c>
      <c r="F720" s="71">
        <v>1828</v>
      </c>
      <c r="G720" s="71" t="s">
        <v>2637</v>
      </c>
      <c r="H720" s="71">
        <v>1085</v>
      </c>
      <c r="I720" s="71" t="s">
        <v>222</v>
      </c>
      <c r="J720" s="71">
        <v>2</v>
      </c>
      <c r="K720" s="71" t="s">
        <v>471</v>
      </c>
      <c r="L720" s="71" t="s">
        <v>2638</v>
      </c>
      <c r="M720" s="71" t="s">
        <v>2639</v>
      </c>
      <c r="N720" s="71">
        <v>28107594991</v>
      </c>
      <c r="Q720" s="71">
        <v>0</v>
      </c>
      <c r="R720" s="71" t="s">
        <v>427</v>
      </c>
      <c r="S720" s="71" t="s">
        <v>428</v>
      </c>
      <c r="T720" s="71" t="s">
        <v>429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FRENTE DE CAIXA</v>
      </c>
      <c r="C721" s="72" t="str">
        <f ca="1">IF(D721="Inativo","Inativo",IFERROR(VLOOKUP($G721,Conf!$F$19:$G$39,2,0),VLOOKUP($S721,Conf!$K:$M,3,0)))</f>
        <v>OPERADOR</v>
      </c>
      <c r="D721" s="72" t="str">
        <f ca="1">IFERROR(IF(TODAY()-K721&gt;365,"Inativo",IF(J721=2,"Férias",IF(J721=7,"Demitido","Afastamento"))),VLOOKUP(J721,Conf!$H:$I,2,0))</f>
        <v>Demitido</v>
      </c>
      <c r="E721" s="71">
        <v>8</v>
      </c>
      <c r="F721" s="71">
        <v>2305</v>
      </c>
      <c r="G721" s="71" t="s">
        <v>2640</v>
      </c>
      <c r="H721" s="71">
        <v>1069</v>
      </c>
      <c r="I721" s="71" t="s">
        <v>657</v>
      </c>
      <c r="J721" s="71">
        <v>7</v>
      </c>
      <c r="K721" s="71" t="s">
        <v>999</v>
      </c>
      <c r="L721" s="71" t="s">
        <v>2641</v>
      </c>
      <c r="M721" s="71" t="s">
        <v>2368</v>
      </c>
      <c r="N721" s="71">
        <v>46076832991</v>
      </c>
      <c r="Q721" s="71">
        <v>0</v>
      </c>
      <c r="R721" s="71" t="s">
        <v>427</v>
      </c>
      <c r="S721" s="71" t="s">
        <v>428</v>
      </c>
      <c r="T721" s="71" t="s">
        <v>429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FRIOS</v>
      </c>
      <c r="C722" s="72" t="str">
        <f ca="1">IF(D722="Inativo","Inativo",IFERROR(VLOOKUP($G722,Conf!$F$19:$G$39,2,0),VLOOKUP($S722,Conf!$K:$M,3,0)))</f>
        <v>BALCONISTA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177</v>
      </c>
      <c r="G722" s="71" t="s">
        <v>2642</v>
      </c>
      <c r="H722" s="71">
        <v>1088</v>
      </c>
      <c r="I722" s="71" t="s">
        <v>222</v>
      </c>
      <c r="J722" s="71">
        <v>1</v>
      </c>
      <c r="K722" s="71" t="s">
        <v>223</v>
      </c>
      <c r="L722" s="71" t="s">
        <v>2643</v>
      </c>
      <c r="M722" s="71" t="s">
        <v>2644</v>
      </c>
      <c r="N722" s="71">
        <v>54737311987</v>
      </c>
      <c r="Q722" s="71">
        <v>0</v>
      </c>
      <c r="R722" s="71" t="s">
        <v>2645</v>
      </c>
      <c r="S722" s="71" t="s">
        <v>2646</v>
      </c>
      <c r="T722" s="71" t="s">
        <v>2647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FRIOS</v>
      </c>
      <c r="C723" s="72" t="str">
        <f ca="1">IF(D723="Inativo","Inativo",IFERROR(VLOOKUP($G723,Conf!$F$19:$G$39,2,0),VLOOKUP($S723,Conf!$K:$M,3,0)))</f>
        <v>BALCONISTA</v>
      </c>
      <c r="D723" s="72" t="str">
        <f ca="1">IFERROR(IF(TODAY()-K723&gt;365,"Inativo",IF(J723=2,"Férias",IF(J723=7,"Demitido","Afastamento"))),VLOOKUP(J723,Conf!$H:$I,2,0))</f>
        <v>Demitido</v>
      </c>
      <c r="E723" s="71">
        <v>8</v>
      </c>
      <c r="F723" s="71">
        <v>160</v>
      </c>
      <c r="G723" s="71" t="s">
        <v>3818</v>
      </c>
      <c r="H723" s="71">
        <v>1070</v>
      </c>
      <c r="I723" s="71" t="s">
        <v>657</v>
      </c>
      <c r="J723" s="71">
        <v>7</v>
      </c>
      <c r="K723" s="71" t="s">
        <v>3819</v>
      </c>
      <c r="L723" s="71" t="s">
        <v>3820</v>
      </c>
      <c r="M723" s="71" t="s">
        <v>2247</v>
      </c>
      <c r="N723" s="71">
        <v>6909624955</v>
      </c>
      <c r="Q723" s="71">
        <v>0</v>
      </c>
      <c r="R723" s="71" t="s">
        <v>2645</v>
      </c>
      <c r="S723" s="71" t="s">
        <v>2646</v>
      </c>
      <c r="T723" s="71" t="s">
        <v>2647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FRIOS</v>
      </c>
      <c r="C724" s="72" t="str">
        <f ca="1">IF(D724="Inativo","Inativo",IFERROR(VLOOKUP($G724,Conf!$F$19:$G$39,2,0),VLOOKUP($S724,Conf!$K:$M,3,0)))</f>
        <v>BALCONISTA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313</v>
      </c>
      <c r="G724" s="71" t="s">
        <v>2648</v>
      </c>
      <c r="H724" s="71">
        <v>992</v>
      </c>
      <c r="I724" s="71" t="s">
        <v>657</v>
      </c>
      <c r="J724" s="71">
        <v>1</v>
      </c>
      <c r="K724" s="71" t="s">
        <v>223</v>
      </c>
      <c r="L724" s="71" t="s">
        <v>2649</v>
      </c>
      <c r="M724" s="71" t="s">
        <v>2280</v>
      </c>
      <c r="N724" s="71">
        <v>40986977934</v>
      </c>
      <c r="O724" s="71" t="s">
        <v>245</v>
      </c>
      <c r="P724" s="71" t="s">
        <v>246</v>
      </c>
      <c r="Q724" s="71">
        <v>0</v>
      </c>
      <c r="R724" s="71" t="s">
        <v>2645</v>
      </c>
      <c r="S724" s="71" t="s">
        <v>2646</v>
      </c>
      <c r="T724" s="71" t="s">
        <v>2647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FRIOS</v>
      </c>
      <c r="C725" s="72" t="str">
        <f ca="1">IF(D725="Inativo","Inativo",IFERROR(VLOOKUP($G725,Conf!$F$19:$G$39,2,0),VLOOKUP($S725,Conf!$K:$M,3,0)))</f>
        <v>BALCONISTA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289</v>
      </c>
      <c r="G725" s="71" t="s">
        <v>2650</v>
      </c>
      <c r="H725" s="71">
        <v>1066</v>
      </c>
      <c r="I725" s="71" t="s">
        <v>2513</v>
      </c>
      <c r="J725" s="71">
        <v>1</v>
      </c>
      <c r="K725" s="71" t="s">
        <v>223</v>
      </c>
      <c r="L725" s="71" t="s">
        <v>2651</v>
      </c>
      <c r="M725" s="71" t="s">
        <v>680</v>
      </c>
      <c r="N725" s="71">
        <v>92917682949</v>
      </c>
      <c r="Q725" s="71">
        <v>0</v>
      </c>
      <c r="R725" s="71" t="s">
        <v>2645</v>
      </c>
      <c r="S725" s="71" t="s">
        <v>2646</v>
      </c>
      <c r="T725" s="71" t="s">
        <v>2647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FRIOS</v>
      </c>
      <c r="C726" s="72" t="str">
        <f ca="1">IF(D726="Inativo","Inativo",IFERROR(VLOOKUP($G726,Conf!$F$19:$G$39,2,0),VLOOKUP($S726,Conf!$K:$M,3,0)))</f>
        <v>GERENTE</v>
      </c>
      <c r="D726" s="72" t="str">
        <f ca="1">IFERROR(IF(TODAY()-K726&gt;365,"Inativo",IF(J726=2,"Férias",IF(J726=7,"Demitido","Afastamento"))),VLOOKUP(J726,Conf!$H:$I,2,0))</f>
        <v>Férias</v>
      </c>
      <c r="E726" s="71">
        <v>8</v>
      </c>
      <c r="F726" s="71">
        <v>1</v>
      </c>
      <c r="G726" s="71" t="s">
        <v>2652</v>
      </c>
      <c r="H726" s="71">
        <v>6</v>
      </c>
      <c r="I726" s="71" t="s">
        <v>230</v>
      </c>
      <c r="J726" s="71">
        <v>2</v>
      </c>
      <c r="K726" s="71" t="s">
        <v>471</v>
      </c>
      <c r="L726" s="71" t="s">
        <v>2653</v>
      </c>
      <c r="M726" s="71" t="s">
        <v>2654</v>
      </c>
      <c r="N726" s="71">
        <v>5276389942</v>
      </c>
      <c r="Q726" s="71">
        <v>0</v>
      </c>
      <c r="R726" s="71" t="s">
        <v>2655</v>
      </c>
      <c r="S726" s="71" t="s">
        <v>2656</v>
      </c>
      <c r="T726" s="71" t="s">
        <v>2657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FRIOS</v>
      </c>
      <c r="C727" s="72" t="str">
        <f ca="1">IF(D727="Inativo","Inativo",IFERROR(VLOOKUP($G727,Conf!$F$19:$G$39,2,0),VLOOKUP($S727,Conf!$K:$M,3,0)))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260</v>
      </c>
      <c r="G727" s="71" t="s">
        <v>2658</v>
      </c>
      <c r="H727" s="71">
        <v>1074</v>
      </c>
      <c r="I727" s="71" t="s">
        <v>230</v>
      </c>
      <c r="J727" s="71">
        <v>1</v>
      </c>
      <c r="K727" s="71" t="s">
        <v>223</v>
      </c>
      <c r="L727" s="71" t="s">
        <v>2659</v>
      </c>
      <c r="M727" s="71" t="s">
        <v>2660</v>
      </c>
      <c r="N727" s="71">
        <v>11372499270</v>
      </c>
      <c r="Q727" s="71">
        <v>0</v>
      </c>
      <c r="R727" s="71" t="s">
        <v>2661</v>
      </c>
      <c r="S727" s="71" t="s">
        <v>2662</v>
      </c>
      <c r="T727" s="71" t="s">
        <v>2663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FRIOS</v>
      </c>
      <c r="C728" s="72" t="str">
        <f ca="1">IF(D728="Inativo","Inativo",IFERROR(VLOOKUP($G728,Conf!$F$19:$G$39,2,0),VLOOKUP($S728,Conf!$K:$M,3,0)))</f>
        <v>ESTOQUISTA</v>
      </c>
      <c r="D728" s="72" t="str">
        <f ca="1">IFERROR(IF(TODAY()-K728&gt;365,"Inativo",IF(J728=2,"Férias",IF(J728=7,"Demitido","Afastamento"))),VLOOKUP(J728,Conf!$H:$I,2,0))</f>
        <v>Demitido</v>
      </c>
      <c r="E728" s="71">
        <v>8</v>
      </c>
      <c r="F728" s="71">
        <v>188</v>
      </c>
      <c r="G728" s="71" t="s">
        <v>3765</v>
      </c>
      <c r="H728" s="71">
        <v>1067</v>
      </c>
      <c r="I728" s="71" t="s">
        <v>657</v>
      </c>
      <c r="J728" s="71">
        <v>7</v>
      </c>
      <c r="K728" s="71" t="s">
        <v>3766</v>
      </c>
      <c r="L728" s="71" t="s">
        <v>3767</v>
      </c>
      <c r="M728" s="71" t="s">
        <v>334</v>
      </c>
      <c r="N728" s="71">
        <v>69918511915</v>
      </c>
      <c r="Q728" s="71">
        <v>0</v>
      </c>
      <c r="R728" s="71" t="s">
        <v>2667</v>
      </c>
      <c r="S728" s="71" t="s">
        <v>2668</v>
      </c>
      <c r="T728" s="71" t="s">
        <v>2208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FRIOS</v>
      </c>
      <c r="C729" s="72" t="str">
        <f ca="1">IF(D729="Inativo","Inativo",IFERROR(VLOOKUP($G729,Conf!$F$19:$G$39,2,0),VLOOKUP($S729,Conf!$K:$M,3,0)))</f>
        <v>ESTOQUISTA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21</v>
      </c>
      <c r="G729" s="71" t="s">
        <v>2664</v>
      </c>
      <c r="H729" s="71">
        <v>1106</v>
      </c>
      <c r="I729" s="71" t="s">
        <v>740</v>
      </c>
      <c r="J729" s="71">
        <v>1</v>
      </c>
      <c r="K729" s="71" t="s">
        <v>223</v>
      </c>
      <c r="L729" s="71" t="s">
        <v>2665</v>
      </c>
      <c r="M729" s="71" t="s">
        <v>2666</v>
      </c>
      <c r="N729" s="71">
        <v>4804556869</v>
      </c>
      <c r="Q729" s="71">
        <v>0</v>
      </c>
      <c r="R729" s="71" t="s">
        <v>2667</v>
      </c>
      <c r="S729" s="71" t="s">
        <v>2668</v>
      </c>
      <c r="T729" s="71" t="s">
        <v>2208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FRIOS</v>
      </c>
      <c r="C730" s="72" t="str">
        <f ca="1">IF(D730="Inativo","Inativo",IFERROR(VLOOKUP($G730,Conf!$F$19:$G$39,2,0),VLOOKUP($S730,Conf!$K:$M,3,0)))</f>
        <v>REPOSITOR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264</v>
      </c>
      <c r="G730" s="71" t="s">
        <v>3861</v>
      </c>
      <c r="H730" s="71">
        <v>1067</v>
      </c>
      <c r="I730" s="71" t="s">
        <v>657</v>
      </c>
      <c r="J730" s="71">
        <v>7</v>
      </c>
      <c r="K730" s="71" t="s">
        <v>3862</v>
      </c>
      <c r="L730" s="71" t="s">
        <v>3863</v>
      </c>
      <c r="M730" s="71" t="s">
        <v>3864</v>
      </c>
      <c r="N730" s="71">
        <v>2638910112</v>
      </c>
      <c r="Q730" s="71">
        <v>0</v>
      </c>
      <c r="R730" s="71" t="s">
        <v>2661</v>
      </c>
      <c r="S730" s="71" t="s">
        <v>2662</v>
      </c>
      <c r="T730" s="71" t="s">
        <v>2663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FRIOS</v>
      </c>
      <c r="C731" s="72" t="str">
        <f ca="1">IF(D731="Inativo","Inativo",IFERROR(VLOOKUP($G731,Conf!$F$19:$G$39,2,0),VLOOKUP($S731,Conf!$K:$M,3,0)))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290</v>
      </c>
      <c r="G731" s="71" t="s">
        <v>2669</v>
      </c>
      <c r="H731" s="71">
        <v>1070</v>
      </c>
      <c r="I731" s="71" t="s">
        <v>657</v>
      </c>
      <c r="J731" s="71">
        <v>1</v>
      </c>
      <c r="K731" s="71" t="s">
        <v>223</v>
      </c>
      <c r="L731" s="71" t="s">
        <v>2670</v>
      </c>
      <c r="M731" s="71" t="s">
        <v>2671</v>
      </c>
      <c r="N731" s="71">
        <v>52754346856</v>
      </c>
      <c r="Q731" s="71">
        <v>0</v>
      </c>
      <c r="R731" s="71" t="s">
        <v>2661</v>
      </c>
      <c r="S731" s="71" t="s">
        <v>2662</v>
      </c>
      <c r="T731" s="71" t="s">
        <v>2663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FRIOS</v>
      </c>
      <c r="C732" s="72" t="str">
        <f ca="1">IF(D732="Inativo","Inativo",IFERROR(VLOOKUP($G732,Conf!$F$19:$G$39,2,0),VLOOKUP($S732,Conf!$K:$M,3,0)))</f>
        <v>REPOSITOR</v>
      </c>
      <c r="D732" s="72" t="str">
        <f ca="1">IFERROR(IF(TODAY()-K732&gt;365,"Inativo",IF(J732=2,"Férias",IF(J732=7,"Demitido","Afastamento"))),VLOOKUP(J732,Conf!$H:$I,2,0))</f>
        <v>Demitido</v>
      </c>
      <c r="E732" s="71">
        <v>8</v>
      </c>
      <c r="F732" s="71">
        <v>168</v>
      </c>
      <c r="G732" s="71" t="s">
        <v>3742</v>
      </c>
      <c r="H732" s="71">
        <v>1080</v>
      </c>
      <c r="I732" s="71" t="s">
        <v>772</v>
      </c>
      <c r="J732" s="71">
        <v>7</v>
      </c>
      <c r="K732" s="71" t="s">
        <v>262</v>
      </c>
      <c r="L732" s="71" t="s">
        <v>3743</v>
      </c>
      <c r="M732" s="71" t="s">
        <v>3744</v>
      </c>
      <c r="N732" s="71">
        <v>42188666860</v>
      </c>
      <c r="Q732" s="71">
        <v>0</v>
      </c>
      <c r="R732" s="71" t="s">
        <v>2661</v>
      </c>
      <c r="S732" s="71" t="s">
        <v>2662</v>
      </c>
      <c r="T732" s="71" t="s">
        <v>2663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FRIOS</v>
      </c>
      <c r="C733" s="72" t="str">
        <f ca="1">IF(D733="Inativo","Inativo",IFERROR(VLOOKUP($G733,Conf!$F$19:$G$39,2,0),VLOOKUP($S733,Conf!$K:$M,3,0)))</f>
        <v>REPOSITOR</v>
      </c>
      <c r="D733" s="72" t="str">
        <f ca="1">IFERROR(IF(TODAY()-K733&gt;365,"Inativo",IF(J733=2,"Férias",IF(J733=7,"Demitido","Afastamento"))),VLOOKUP(J733,Conf!$H:$I,2,0))</f>
        <v>Demitido</v>
      </c>
      <c r="E733" s="71">
        <v>8</v>
      </c>
      <c r="F733" s="71">
        <v>275</v>
      </c>
      <c r="G733" s="71" t="s">
        <v>3781</v>
      </c>
      <c r="H733" s="71">
        <v>47</v>
      </c>
      <c r="I733" s="71" t="s">
        <v>222</v>
      </c>
      <c r="J733" s="71">
        <v>7</v>
      </c>
      <c r="K733" s="71" t="s">
        <v>3778</v>
      </c>
      <c r="L733" s="71" t="s">
        <v>1321</v>
      </c>
      <c r="M733" s="71" t="s">
        <v>1472</v>
      </c>
      <c r="N733" s="71">
        <v>13594289923</v>
      </c>
      <c r="Q733" s="71">
        <v>0</v>
      </c>
      <c r="R733" s="71" t="s">
        <v>2661</v>
      </c>
      <c r="S733" s="71" t="s">
        <v>2662</v>
      </c>
      <c r="T733" s="71" t="s">
        <v>2663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FRIOS</v>
      </c>
      <c r="C734" s="72" t="str">
        <f ca="1">IF(D734="Inativo","Inativo",IFERROR(VLOOKUP($G734,Conf!$F$19:$G$39,2,0),VLOOKUP($S734,Conf!$K:$M,3,0)))</f>
        <v>REPOSITOR</v>
      </c>
      <c r="D734" s="72" t="str">
        <f ca="1">IFERROR(IF(TODAY()-K734&gt;365,"Inativo",IF(J734=2,"Férias",IF(J734=7,"Demitido","Afastamento"))),VLOOKUP(J734,Conf!$H:$I,2,0))</f>
        <v>Demitido</v>
      </c>
      <c r="E734" s="71">
        <v>8</v>
      </c>
      <c r="F734" s="71">
        <v>276</v>
      </c>
      <c r="G734" s="71" t="s">
        <v>3793</v>
      </c>
      <c r="H734" s="71">
        <v>1071</v>
      </c>
      <c r="I734" s="71" t="s">
        <v>657</v>
      </c>
      <c r="J734" s="71">
        <v>7</v>
      </c>
      <c r="K734" s="71" t="s">
        <v>2503</v>
      </c>
      <c r="L734" s="71" t="s">
        <v>3794</v>
      </c>
      <c r="M734" s="71" t="s">
        <v>1472</v>
      </c>
      <c r="N734" s="71">
        <v>15079242914</v>
      </c>
      <c r="Q734" s="71">
        <v>0</v>
      </c>
      <c r="R734" s="71" t="s">
        <v>2661</v>
      </c>
      <c r="S734" s="71" t="s">
        <v>2662</v>
      </c>
      <c r="T734" s="71" t="s">
        <v>2663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HORTIFRUTI</v>
      </c>
      <c r="C735" s="72" t="str">
        <f ca="1">IF(D735="Inativo","Inativo",IFERROR(VLOOKUP($G735,Conf!$F$19:$G$39,2,0),VLOOKUP($S735,Conf!$K:$M,3,0)))</f>
        <v>GERENTE</v>
      </c>
      <c r="D735" s="72" t="str">
        <f ca="1">IFERROR(IF(TODAY()-K735&gt;365,"Inativo",IF(J735=2,"Férias",IF(J735=7,"Demitido","Afastamento"))),VLOOKUP(J735,Conf!$H:$I,2,0))</f>
        <v>Ativos</v>
      </c>
      <c r="E735" s="71">
        <v>8</v>
      </c>
      <c r="F735" s="71">
        <v>271</v>
      </c>
      <c r="G735" s="71" t="s">
        <v>2672</v>
      </c>
      <c r="H735" s="71">
        <v>166</v>
      </c>
      <c r="I735" s="71" t="s">
        <v>347</v>
      </c>
      <c r="J735" s="71">
        <v>1</v>
      </c>
      <c r="K735" s="71" t="s">
        <v>223</v>
      </c>
      <c r="L735" s="71" t="s">
        <v>2673</v>
      </c>
      <c r="M735" s="71" t="s">
        <v>1447</v>
      </c>
      <c r="N735" s="71">
        <v>95846255949</v>
      </c>
      <c r="Q735" s="71">
        <v>0</v>
      </c>
      <c r="R735" s="71" t="s">
        <v>2674</v>
      </c>
      <c r="S735" s="71" t="s">
        <v>2675</v>
      </c>
      <c r="T735" s="71" t="s">
        <v>1162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HORTIFRUTI</v>
      </c>
      <c r="C736" s="72" t="str">
        <f ca="1">IF(D736="Inativo","Inativo",IFERROR(VLOOKUP($G736,Conf!$F$19:$G$39,2,0),VLOOKUP($S736,Conf!$K:$M,3,0)))</f>
        <v>GERENTE</v>
      </c>
      <c r="D736" s="72" t="str">
        <f ca="1">IFERROR(IF(TODAY()-K736&gt;365,"Inativo",IF(J736=2,"Férias",IF(J736=7,"Demitido","Afastamento"))),VLOOKUP(J736,Conf!$H:$I,2,0))</f>
        <v>Demitido</v>
      </c>
      <c r="E736" s="71">
        <v>8</v>
      </c>
      <c r="F736" s="71">
        <v>230</v>
      </c>
      <c r="G736" s="71" t="s">
        <v>3738</v>
      </c>
      <c r="H736" s="71">
        <v>12</v>
      </c>
      <c r="I736" s="71" t="s">
        <v>639</v>
      </c>
      <c r="J736" s="71">
        <v>7</v>
      </c>
      <c r="K736" s="71" t="s">
        <v>3736</v>
      </c>
      <c r="L736" s="71" t="s">
        <v>3739</v>
      </c>
      <c r="M736" s="71" t="s">
        <v>225</v>
      </c>
      <c r="N736" s="71">
        <v>38712865249</v>
      </c>
      <c r="Q736" s="71">
        <v>0</v>
      </c>
      <c r="R736" s="71" t="s">
        <v>2674</v>
      </c>
      <c r="S736" s="71" t="s">
        <v>2675</v>
      </c>
      <c r="T736" s="71" t="s">
        <v>1162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HORTIFRUTI</v>
      </c>
      <c r="C737" s="72" t="str">
        <f ca="1">IF(D737="Inativo","Inativo",IFERROR(VLOOKUP($G737,Conf!$F$19:$G$39,2,0),VLOOKUP($S737,Conf!$K:$M,3,0)))</f>
        <v>REPOSITOR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300</v>
      </c>
      <c r="G737" s="71" t="s">
        <v>2676</v>
      </c>
      <c r="H737" s="71">
        <v>6</v>
      </c>
      <c r="I737" s="71" t="s">
        <v>230</v>
      </c>
      <c r="J737" s="71">
        <v>1</v>
      </c>
      <c r="K737" s="71" t="s">
        <v>223</v>
      </c>
      <c r="L737" s="71" t="s">
        <v>2677</v>
      </c>
      <c r="M737" s="71" t="s">
        <v>1063</v>
      </c>
      <c r="N737" s="71">
        <v>4219087931</v>
      </c>
      <c r="O737" s="71" t="s">
        <v>245</v>
      </c>
      <c r="P737" s="71" t="s">
        <v>246</v>
      </c>
      <c r="Q737" s="71">
        <v>0</v>
      </c>
      <c r="R737" s="71" t="s">
        <v>2678</v>
      </c>
      <c r="S737" s="71" t="s">
        <v>2679</v>
      </c>
      <c r="T737" s="71" t="s">
        <v>1165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HORTIFRUTI</v>
      </c>
      <c r="C738" s="72" t="str">
        <f ca="1">IF(D738="Inativo","Inativo",IFERROR(VLOOKUP($G738,Conf!$F$19:$G$39,2,0),VLOOKUP($S738,Conf!$K:$M,3,0)))</f>
        <v>REPOSITOR</v>
      </c>
      <c r="D738" s="72" t="str">
        <f ca="1">IFERROR(IF(TODAY()-K738&gt;365,"Inativo",IF(J738=2,"Férias",IF(J738=7,"Demitido","Afastamento"))),VLOOKUP(J738,Conf!$H:$I,2,0))</f>
        <v>Demitido</v>
      </c>
      <c r="E738" s="71">
        <v>8</v>
      </c>
      <c r="F738" s="71">
        <v>329</v>
      </c>
      <c r="G738" s="71" t="s">
        <v>2680</v>
      </c>
      <c r="H738" s="71">
        <v>988</v>
      </c>
      <c r="I738" s="71" t="s">
        <v>657</v>
      </c>
      <c r="J738" s="71">
        <v>7</v>
      </c>
      <c r="K738" s="71" t="s">
        <v>840</v>
      </c>
      <c r="L738" s="71" t="s">
        <v>2681</v>
      </c>
      <c r="M738" s="71" t="s">
        <v>1920</v>
      </c>
      <c r="N738" s="71">
        <v>10800016971</v>
      </c>
      <c r="O738" s="71" t="s">
        <v>245</v>
      </c>
      <c r="P738" s="71" t="s">
        <v>246</v>
      </c>
      <c r="Q738" s="71">
        <v>0</v>
      </c>
      <c r="R738" s="71" t="s">
        <v>2678</v>
      </c>
      <c r="S738" s="71" t="s">
        <v>2679</v>
      </c>
      <c r="T738" s="71" t="s">
        <v>1165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HORTIFRUTI</v>
      </c>
      <c r="C739" s="72" t="str">
        <f ca="1">IF(D739="Inativo","Inativo",IFERROR(VLOOKUP($G739,Conf!$F$19:$G$39,2,0),VLOOKUP($S739,Conf!$K:$M,3,0)))</f>
        <v>REPOSITOR</v>
      </c>
      <c r="D739" s="72" t="str">
        <f ca="1">IFERROR(IF(TODAY()-K739&gt;365,"Inativo",IF(J739=2,"Férias",IF(J739=7,"Demitido","Afastamento"))),VLOOKUP(J739,Conf!$H:$I,2,0))</f>
        <v>Demitido</v>
      </c>
      <c r="E739" s="71">
        <v>8</v>
      </c>
      <c r="F739" s="71">
        <v>280</v>
      </c>
      <c r="G739" s="71" t="s">
        <v>3806</v>
      </c>
      <c r="H739" s="71">
        <v>47</v>
      </c>
      <c r="I739" s="71" t="s">
        <v>222</v>
      </c>
      <c r="J739" s="71">
        <v>7</v>
      </c>
      <c r="K739" s="71" t="s">
        <v>668</v>
      </c>
      <c r="L739" s="71" t="s">
        <v>3807</v>
      </c>
      <c r="M739" s="71" t="s">
        <v>1418</v>
      </c>
      <c r="N739" s="71">
        <v>4928731271</v>
      </c>
      <c r="Q739" s="71">
        <v>0</v>
      </c>
      <c r="R739" s="71" t="s">
        <v>2678</v>
      </c>
      <c r="S739" s="71" t="s">
        <v>2679</v>
      </c>
      <c r="T739" s="71" t="s">
        <v>1165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HORTIFRUTI</v>
      </c>
      <c r="C740" s="72" t="str">
        <f ca="1">IF(D740="Inativo","Inativo",IFERROR(VLOOKUP($G740,Conf!$F$19:$G$39,2,0),VLOOKUP($S740,Conf!$K:$M,3,0)))</f>
        <v>REPOSITOR</v>
      </c>
      <c r="D740" s="72" t="str">
        <f ca="1">IFERROR(IF(TODAY()-K740&gt;365,"Inativo",IF(J740=2,"Férias",IF(J740=7,"Demitido","Afastamento"))),VLOOKUP(J740,Conf!$H:$I,2,0))</f>
        <v>Ativos</v>
      </c>
      <c r="E740" s="71">
        <v>8</v>
      </c>
      <c r="F740" s="71">
        <v>299</v>
      </c>
      <c r="G740" s="71" t="s">
        <v>2682</v>
      </c>
      <c r="H740" s="71">
        <v>1071</v>
      </c>
      <c r="I740" s="71" t="s">
        <v>657</v>
      </c>
      <c r="J740" s="71">
        <v>1</v>
      </c>
      <c r="K740" s="71" t="s">
        <v>223</v>
      </c>
      <c r="L740" s="71" t="s">
        <v>2683</v>
      </c>
      <c r="M740" s="71" t="s">
        <v>1063</v>
      </c>
      <c r="N740" s="71">
        <v>71355732263</v>
      </c>
      <c r="O740" s="71" t="s">
        <v>245</v>
      </c>
      <c r="P740" s="71" t="s">
        <v>246</v>
      </c>
      <c r="Q740" s="71">
        <v>0</v>
      </c>
      <c r="R740" s="71" t="s">
        <v>2678</v>
      </c>
      <c r="S740" s="71" t="s">
        <v>2679</v>
      </c>
      <c r="T740" s="71" t="s">
        <v>1165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HORTIFRUTI</v>
      </c>
      <c r="C741" s="72" t="str">
        <f ca="1">IF(D741="Inativo","Inativo",IFERROR(VLOOKUP($G741,Conf!$F$19:$G$39,2,0),VLOOKUP($S741,Conf!$K:$M,3,0)))</f>
        <v>REPOSITOR</v>
      </c>
      <c r="D741" s="72" t="str">
        <f ca="1">IFERROR(IF(TODAY()-K741&gt;365,"Inativo",IF(J741=2,"Férias",IF(J741=7,"Demitido","Afastamento"))),VLOOKUP(J741,Conf!$H:$I,2,0))</f>
        <v>Demitido</v>
      </c>
      <c r="E741" s="71">
        <v>8</v>
      </c>
      <c r="F741" s="71">
        <v>258</v>
      </c>
      <c r="G741" s="71" t="s">
        <v>3777</v>
      </c>
      <c r="H741" s="71">
        <v>1109</v>
      </c>
      <c r="I741" s="71" t="s">
        <v>383</v>
      </c>
      <c r="J741" s="71">
        <v>7</v>
      </c>
      <c r="K741" s="71" t="s">
        <v>3778</v>
      </c>
      <c r="L741" s="71" t="s">
        <v>3779</v>
      </c>
      <c r="M741" s="71" t="s">
        <v>3780</v>
      </c>
      <c r="N741" s="71">
        <v>4714865900</v>
      </c>
      <c r="Q741" s="71">
        <v>0</v>
      </c>
      <c r="R741" s="71" t="s">
        <v>2678</v>
      </c>
      <c r="S741" s="71" t="s">
        <v>2679</v>
      </c>
      <c r="T741" s="71" t="s">
        <v>1165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HORTIFRUTI</v>
      </c>
      <c r="C742" s="72" t="str">
        <f ca="1">IF(D742="Inativo","Inativo",IFERROR(VLOOKUP($G742,Conf!$F$19:$G$39,2,0),VLOOKUP($S742,Conf!$K:$M,3,0)))</f>
        <v>REPOSITOR</v>
      </c>
      <c r="D742" s="72" t="str">
        <f ca="1">IFERROR(IF(TODAY()-K742&gt;365,"Inativo",IF(J742=2,"Férias",IF(J742=7,"Demitido","Afastamento"))),VLOOKUP(J742,Conf!$H:$I,2,0))</f>
        <v>Demitido</v>
      </c>
      <c r="E742" s="71">
        <v>8</v>
      </c>
      <c r="F742" s="71">
        <v>320</v>
      </c>
      <c r="G742" s="71" t="s">
        <v>3912</v>
      </c>
      <c r="H742" s="71">
        <v>988</v>
      </c>
      <c r="I742" s="71" t="s">
        <v>657</v>
      </c>
      <c r="J742" s="71">
        <v>7</v>
      </c>
      <c r="K742" s="71" t="s">
        <v>3913</v>
      </c>
      <c r="L742" s="71" t="s">
        <v>3914</v>
      </c>
      <c r="M742" s="71" t="s">
        <v>1084</v>
      </c>
      <c r="N742" s="71">
        <v>86910275500</v>
      </c>
      <c r="O742" s="71" t="s">
        <v>245</v>
      </c>
      <c r="P742" s="71" t="s">
        <v>246</v>
      </c>
      <c r="Q742" s="71">
        <v>0</v>
      </c>
      <c r="R742" s="71" t="s">
        <v>2678</v>
      </c>
      <c r="S742" s="71" t="s">
        <v>2679</v>
      </c>
      <c r="T742" s="71" t="s">
        <v>1165</v>
      </c>
    </row>
    <row r="743" spans="1:20" x14ac:dyDescent="0.3">
      <c r="A743" s="72">
        <f>IFERROR(VLOOKUP($G743,Conf!$B:$C,2,0),E743)</f>
        <v>8</v>
      </c>
      <c r="B743" s="72" t="str">
        <f ca="1">IF(D743="Inativo","Inativo",VLOOKUP($S743,Conf!$K:$M,2,0))</f>
        <v>HORTIFRUTI</v>
      </c>
      <c r="C743" s="72" t="str">
        <f ca="1">IF(D743="Inativo","Inativo",IFERROR(VLOOKUP($G743,Conf!$F$19:$G$39,2,0),VLOOKUP($S743,Conf!$K:$M,3,0)))</f>
        <v>REPOSITOR</v>
      </c>
      <c r="D743" s="72" t="str">
        <f ca="1">IFERROR(IF(TODAY()-K743&gt;365,"Inativo",IF(J743=2,"Férias",IF(J743=7,"Demitido","Afastamento"))),VLOOKUP(J743,Conf!$H:$I,2,0))</f>
        <v>Demitido</v>
      </c>
      <c r="E743" s="71">
        <v>8</v>
      </c>
      <c r="F743" s="71">
        <v>257</v>
      </c>
      <c r="G743" s="71" t="s">
        <v>3880</v>
      </c>
      <c r="H743" s="71">
        <v>1077</v>
      </c>
      <c r="I743" s="71" t="s">
        <v>230</v>
      </c>
      <c r="J743" s="71">
        <v>7</v>
      </c>
      <c r="K743" s="71" t="s">
        <v>3881</v>
      </c>
      <c r="L743" s="71" t="s">
        <v>3882</v>
      </c>
      <c r="M743" s="71" t="s">
        <v>2283</v>
      </c>
      <c r="N743" s="71">
        <v>15714715454</v>
      </c>
      <c r="Q743" s="71">
        <v>0</v>
      </c>
      <c r="R743" s="71" t="s">
        <v>2678</v>
      </c>
      <c r="S743" s="71" t="s">
        <v>2679</v>
      </c>
      <c r="T743" s="71" t="s">
        <v>1165</v>
      </c>
    </row>
    <row r="744" spans="1:20" x14ac:dyDescent="0.3">
      <c r="A744" s="72">
        <f>IFERROR(VLOOKUP($G744,Conf!$B:$C,2,0),E744)</f>
        <v>8</v>
      </c>
      <c r="B744" s="72" t="str">
        <f ca="1">IF(D744="Inativo","Inativo",VLOOKUP($S744,Conf!$K:$M,2,0))</f>
        <v>HORTIFRUTI</v>
      </c>
      <c r="C744" s="72" t="str">
        <f ca="1">IF(D744="Inativo","Inativo",IFERROR(VLOOKUP($G744,Conf!$F$19:$G$39,2,0),VLOOKUP($S744,Conf!$K:$M,3,0)))</f>
        <v>REPOSITOR</v>
      </c>
      <c r="D744" s="72" t="str">
        <f ca="1">IFERROR(IF(TODAY()-K744&gt;365,"Inativo",IF(J744=2,"Férias",IF(J744=7,"Demitido","Afastamento"))),VLOOKUP(J744,Conf!$H:$I,2,0))</f>
        <v>Demitido</v>
      </c>
      <c r="E744" s="71">
        <v>8</v>
      </c>
      <c r="F744" s="71">
        <v>281</v>
      </c>
      <c r="G744" s="71" t="s">
        <v>3836</v>
      </c>
      <c r="H744" s="71">
        <v>1071</v>
      </c>
      <c r="I744" s="71" t="s">
        <v>657</v>
      </c>
      <c r="J744" s="71">
        <v>7</v>
      </c>
      <c r="K744" s="71" t="s">
        <v>462</v>
      </c>
      <c r="L744" s="71" t="s">
        <v>3837</v>
      </c>
      <c r="M744" s="71" t="s">
        <v>1418</v>
      </c>
      <c r="N744" s="71">
        <v>11666759201</v>
      </c>
      <c r="Q744" s="71">
        <v>0</v>
      </c>
      <c r="R744" s="71" t="s">
        <v>2678</v>
      </c>
      <c r="S744" s="71" t="s">
        <v>2679</v>
      </c>
      <c r="T744" s="71" t="s">
        <v>1165</v>
      </c>
    </row>
    <row r="745" spans="1:20" x14ac:dyDescent="0.3">
      <c r="A745" s="72">
        <f>IFERROR(VLOOKUP($G745,Conf!$B:$C,2,0),E745)</f>
        <v>8</v>
      </c>
      <c r="B745" s="72" t="str">
        <f ca="1">IF(D745="Inativo","Inativo",VLOOKUP($S745,Conf!$K:$M,2,0))</f>
        <v>HORTIFRUTI</v>
      </c>
      <c r="C745" s="72" t="str">
        <f ca="1">IF(D745="Inativo","Inativo",IFERROR(VLOOKUP($G745,Conf!$F$19:$G$39,2,0),VLOOKUP($S745,Conf!$K:$M,3,0)))</f>
        <v>REPOSITOR</v>
      </c>
      <c r="D745" s="72" t="str">
        <f ca="1">IFERROR(IF(TODAY()-K745&gt;365,"Inativo",IF(J745=2,"Férias",IF(J745=7,"Demitido","Afastamento"))),VLOOKUP(J745,Conf!$H:$I,2,0))</f>
        <v>Demitido</v>
      </c>
      <c r="E745" s="71">
        <v>8</v>
      </c>
      <c r="F745" s="71">
        <v>232</v>
      </c>
      <c r="G745" s="71" t="s">
        <v>3749</v>
      </c>
      <c r="H745" s="71">
        <v>1074</v>
      </c>
      <c r="I745" s="71" t="s">
        <v>230</v>
      </c>
      <c r="J745" s="71">
        <v>7</v>
      </c>
      <c r="K745" s="71" t="s">
        <v>3750</v>
      </c>
      <c r="L745" s="71" t="s">
        <v>3751</v>
      </c>
      <c r="M745" s="71" t="s">
        <v>1341</v>
      </c>
      <c r="N745" s="71">
        <v>6977105488</v>
      </c>
      <c r="Q745" s="71">
        <v>0</v>
      </c>
      <c r="R745" s="71" t="s">
        <v>2678</v>
      </c>
      <c r="S745" s="71" t="s">
        <v>2679</v>
      </c>
      <c r="T745" s="71" t="s">
        <v>1165</v>
      </c>
    </row>
    <row r="746" spans="1:20" x14ac:dyDescent="0.3">
      <c r="A746" s="72">
        <f>IFERROR(VLOOKUP($G746,Conf!$B:$C,2,0),E746)</f>
        <v>8</v>
      </c>
      <c r="B746" s="72" t="str">
        <f ca="1">IF(D746="Inativo","Inativo",VLOOKUP($S746,Conf!$K:$M,2,0))</f>
        <v>HORTIFRUTI</v>
      </c>
      <c r="C746" s="72" t="str">
        <f ca="1">IF(D746="Inativo","Inativo",IFERROR(VLOOKUP($G746,Conf!$F$19:$G$39,2,0),VLOOKUP($S746,Conf!$K:$M,3,0)))</f>
        <v>REPOSITOR</v>
      </c>
      <c r="D746" s="72" t="str">
        <f ca="1">IFERROR(IF(TODAY()-K746&gt;365,"Inativo",IF(J746=2,"Férias",IF(J746=7,"Demitido","Afastamento"))),VLOOKUP(J746,Conf!$H:$I,2,0))</f>
        <v>Demitido</v>
      </c>
      <c r="E746" s="71">
        <v>8</v>
      </c>
      <c r="F746" s="71">
        <v>238</v>
      </c>
      <c r="G746" s="71" t="s">
        <v>3735</v>
      </c>
      <c r="H746" s="71">
        <v>1076</v>
      </c>
      <c r="I746" s="71" t="s">
        <v>230</v>
      </c>
      <c r="J746" s="71">
        <v>7</v>
      </c>
      <c r="K746" s="71" t="s">
        <v>3736</v>
      </c>
      <c r="L746" s="71" t="s">
        <v>3737</v>
      </c>
      <c r="M746" s="71" t="s">
        <v>1604</v>
      </c>
      <c r="N746" s="71">
        <v>9569080558</v>
      </c>
      <c r="Q746" s="71">
        <v>0</v>
      </c>
      <c r="R746" s="71" t="s">
        <v>2678</v>
      </c>
      <c r="S746" s="71" t="s">
        <v>2679</v>
      </c>
      <c r="T746" s="71" t="s">
        <v>1165</v>
      </c>
    </row>
    <row r="747" spans="1:20" x14ac:dyDescent="0.3">
      <c r="A747" s="72">
        <f>IFERROR(VLOOKUP($G747,Conf!$B:$C,2,0),E747)</f>
        <v>8</v>
      </c>
      <c r="B747" s="72" t="str">
        <f ca="1">IF(D747="Inativo","Inativo",VLOOKUP($S747,Conf!$K:$M,2,0))</f>
        <v>HORTIFRUTI</v>
      </c>
      <c r="C747" s="72" t="str">
        <f ca="1">IF(D747="Inativo","Inativo",IFERROR(VLOOKUP($G747,Conf!$F$19:$G$39,2,0),VLOOKUP($S747,Conf!$K:$M,3,0)))</f>
        <v>REPOSITOR</v>
      </c>
      <c r="D747" s="72" t="str">
        <f ca="1">IFERROR(IF(TODAY()-K747&gt;365,"Inativo",IF(J747=2,"Férias",IF(J747=7,"Demitido","Afastamento"))),VLOOKUP(J747,Conf!$H:$I,2,0))</f>
        <v>Demitido</v>
      </c>
      <c r="E747" s="71">
        <v>8</v>
      </c>
      <c r="F747" s="71">
        <v>301</v>
      </c>
      <c r="G747" s="71" t="s">
        <v>3842</v>
      </c>
      <c r="H747" s="71">
        <v>1068</v>
      </c>
      <c r="I747" s="71" t="s">
        <v>657</v>
      </c>
      <c r="J747" s="71">
        <v>7</v>
      </c>
      <c r="K747" s="71" t="s">
        <v>3839</v>
      </c>
      <c r="L747" s="71" t="s">
        <v>3843</v>
      </c>
      <c r="M747" s="71" t="s">
        <v>1063</v>
      </c>
      <c r="N747" s="71">
        <v>7220763980</v>
      </c>
      <c r="O747" s="71" t="s">
        <v>245</v>
      </c>
      <c r="P747" s="71" t="s">
        <v>246</v>
      </c>
      <c r="Q747" s="71">
        <v>0</v>
      </c>
      <c r="R747" s="71" t="s">
        <v>2678</v>
      </c>
      <c r="S747" s="71" t="s">
        <v>2679</v>
      </c>
      <c r="T747" s="71" t="s">
        <v>1165</v>
      </c>
    </row>
    <row r="748" spans="1:20" x14ac:dyDescent="0.3">
      <c r="A748" s="72">
        <f>IFERROR(VLOOKUP($G748,Conf!$B:$C,2,0),E748)</f>
        <v>8</v>
      </c>
      <c r="B748" s="72" t="str">
        <f ca="1">IF(D748="Inativo","Inativo",VLOOKUP($S748,Conf!$K:$M,2,0))</f>
        <v>HORTIFRUTI</v>
      </c>
      <c r="C748" s="72" t="str">
        <f ca="1">IF(D748="Inativo","Inativo",IFERROR(VLOOKUP($G748,Conf!$F$19:$G$39,2,0),VLOOKUP($S748,Conf!$K:$M,3,0)))</f>
        <v>REPOSITOR</v>
      </c>
      <c r="D748" s="72" t="str">
        <f ca="1">IFERROR(IF(TODAY()-K748&gt;365,"Inativo",IF(J748=2,"Férias",IF(J748=7,"Demitido","Afastamento"))),VLOOKUP(J748,Conf!$H:$I,2,0))</f>
        <v>Demitido</v>
      </c>
      <c r="E748" s="71">
        <v>8</v>
      </c>
      <c r="F748" s="71">
        <v>285</v>
      </c>
      <c r="G748" s="71" t="s">
        <v>3856</v>
      </c>
      <c r="H748" s="71">
        <v>1070</v>
      </c>
      <c r="I748" s="71" t="s">
        <v>657</v>
      </c>
      <c r="J748" s="71">
        <v>7</v>
      </c>
      <c r="K748" s="71" t="s">
        <v>3854</v>
      </c>
      <c r="L748" s="71" t="s">
        <v>3857</v>
      </c>
      <c r="M748" s="71" t="s">
        <v>712</v>
      </c>
      <c r="N748" s="71">
        <v>31915922291</v>
      </c>
      <c r="Q748" s="71">
        <v>0</v>
      </c>
      <c r="R748" s="71" t="s">
        <v>2678</v>
      </c>
      <c r="S748" s="71" t="s">
        <v>2679</v>
      </c>
      <c r="T748" s="71" t="s">
        <v>1165</v>
      </c>
    </row>
    <row r="749" spans="1:20" x14ac:dyDescent="0.3">
      <c r="A749" s="72">
        <f>IFERROR(VLOOKUP($G749,Conf!$B:$C,2,0),E749)</f>
        <v>8</v>
      </c>
      <c r="B749" s="72" t="str">
        <f ca="1">IF(D749="Inativo","Inativo",VLOOKUP($S749,Conf!$K:$M,2,0))</f>
        <v>HORTIFRUTI</v>
      </c>
      <c r="C749" s="72" t="str">
        <f ca="1">IF(D749="Inativo","Inativo",IFERROR(VLOOKUP($G749,Conf!$F$19:$G$39,2,0),VLOOKUP($S749,Conf!$K:$M,3,0)))</f>
        <v>REPOSITOR</v>
      </c>
      <c r="D749" s="72" t="str">
        <f ca="1">IFERROR(IF(TODAY()-K749&gt;365,"Inativo",IF(J749=2,"Férias",IF(J749=7,"Demitido","Afastamento"))),VLOOKUP(J749,Conf!$H:$I,2,0))</f>
        <v>Ativos</v>
      </c>
      <c r="E749" s="71">
        <v>8</v>
      </c>
      <c r="F749" s="71">
        <v>311</v>
      </c>
      <c r="G749" s="71" t="s">
        <v>2684</v>
      </c>
      <c r="H749" s="71">
        <v>283</v>
      </c>
      <c r="I749" s="71" t="s">
        <v>230</v>
      </c>
      <c r="J749" s="71">
        <v>1</v>
      </c>
      <c r="K749" s="71" t="s">
        <v>223</v>
      </c>
      <c r="L749" s="71" t="s">
        <v>2685</v>
      </c>
      <c r="M749" s="71" t="s">
        <v>2686</v>
      </c>
      <c r="N749" s="71">
        <v>33097332898</v>
      </c>
      <c r="O749" s="71" t="s">
        <v>245</v>
      </c>
      <c r="P749" s="71" t="s">
        <v>246</v>
      </c>
      <c r="Q749" s="71">
        <v>0</v>
      </c>
      <c r="R749" s="71" t="s">
        <v>2678</v>
      </c>
      <c r="S749" s="71" t="s">
        <v>2679</v>
      </c>
      <c r="T749" s="71" t="s">
        <v>1165</v>
      </c>
    </row>
    <row r="750" spans="1:20" x14ac:dyDescent="0.3">
      <c r="A750" s="72">
        <f>IFERROR(VLOOKUP($G750,Conf!$B:$C,2,0),E750)</f>
        <v>8</v>
      </c>
      <c r="B750" s="72" t="str">
        <f ca="1">IF(D750="Inativo","Inativo",VLOOKUP($S750,Conf!$K:$M,2,0))</f>
        <v>HORTIFRUTI</v>
      </c>
      <c r="C750" s="72" t="str">
        <f ca="1">IF(D750="Inativo","Inativo",IFERROR(VLOOKUP($G750,Conf!$F$19:$G$39,2,0),VLOOKUP($S750,Conf!$K:$M,3,0)))</f>
        <v>REPOSITOR</v>
      </c>
      <c r="D750" s="72" t="str">
        <f ca="1">IFERROR(IF(TODAY()-K750&gt;365,"Inativo",IF(J750=2,"Férias",IF(J750=7,"Demitido","Afastamento"))),VLOOKUP(J750,Conf!$H:$I,2,0))</f>
        <v>Demitido</v>
      </c>
      <c r="E750" s="71">
        <v>8</v>
      </c>
      <c r="F750" s="71">
        <v>309</v>
      </c>
      <c r="G750" s="71" t="s">
        <v>3893</v>
      </c>
      <c r="H750" s="71">
        <v>988</v>
      </c>
      <c r="I750" s="71" t="s">
        <v>657</v>
      </c>
      <c r="J750" s="71">
        <v>7</v>
      </c>
      <c r="K750" s="71" t="s">
        <v>3894</v>
      </c>
      <c r="L750" s="71" t="s">
        <v>3895</v>
      </c>
      <c r="M750" s="71" t="s">
        <v>1515</v>
      </c>
      <c r="N750" s="71">
        <v>13437676954</v>
      </c>
      <c r="O750" s="71" t="s">
        <v>245</v>
      </c>
      <c r="P750" s="71" t="s">
        <v>246</v>
      </c>
      <c r="Q750" s="71">
        <v>0</v>
      </c>
      <c r="R750" s="71" t="s">
        <v>2678</v>
      </c>
      <c r="S750" s="71" t="s">
        <v>2679</v>
      </c>
      <c r="T750" s="71" t="s">
        <v>1165</v>
      </c>
    </row>
    <row r="751" spans="1:20" x14ac:dyDescent="0.3">
      <c r="A751" s="72">
        <f>IFERROR(VLOOKUP($G751,Conf!$B:$C,2,0),E751)</f>
        <v>8</v>
      </c>
      <c r="B751" s="72" t="str">
        <f ca="1">IF(D751="Inativo","Inativo",VLOOKUP($S751,Conf!$K:$M,2,0))</f>
        <v>HORTIFRUTI</v>
      </c>
      <c r="C751" s="72" t="str">
        <f ca="1">IF(D751="Inativo","Inativo",IFERROR(VLOOKUP($G751,Conf!$F$19:$G$39,2,0),VLOOKUP($S751,Conf!$K:$M,3,0)))</f>
        <v>REPOSITOR</v>
      </c>
      <c r="D751" s="72" t="str">
        <f ca="1">IFERROR(IF(TODAY()-K751&gt;365,"Inativo",IF(J751=2,"Férias",IF(J751=7,"Demitido","Afastamento"))),VLOOKUP(J751,Conf!$H:$I,2,0))</f>
        <v>Ativos</v>
      </c>
      <c r="E751" s="71">
        <v>8</v>
      </c>
      <c r="F751" s="71">
        <v>331</v>
      </c>
      <c r="G751" s="71" t="s">
        <v>2687</v>
      </c>
      <c r="H751" s="71">
        <v>988</v>
      </c>
      <c r="I751" s="71" t="s">
        <v>657</v>
      </c>
      <c r="J751" s="71">
        <v>1</v>
      </c>
      <c r="K751" s="71" t="s">
        <v>223</v>
      </c>
      <c r="L751" s="71" t="s">
        <v>2688</v>
      </c>
      <c r="M751" s="71" t="s">
        <v>2689</v>
      </c>
      <c r="N751" s="71">
        <v>8395576200</v>
      </c>
      <c r="O751" s="71" t="s">
        <v>245</v>
      </c>
      <c r="P751" s="71" t="s">
        <v>246</v>
      </c>
      <c r="Q751" s="71">
        <v>0</v>
      </c>
      <c r="R751" s="71" t="s">
        <v>2678</v>
      </c>
      <c r="S751" s="71" t="s">
        <v>2679</v>
      </c>
      <c r="T751" s="71" t="s">
        <v>1165</v>
      </c>
    </row>
    <row r="752" spans="1:20" x14ac:dyDescent="0.3">
      <c r="A752" s="72">
        <f>IFERROR(VLOOKUP($G752,Conf!$B:$C,2,0),E752)</f>
        <v>8</v>
      </c>
      <c r="B752" s="72" t="str">
        <f ca="1">IF(D752="Inativo","Inativo",VLOOKUP($S752,Conf!$K:$M,2,0))</f>
        <v>HORTIFRUTI</v>
      </c>
      <c r="C752" s="72" t="str">
        <f ca="1">IF(D752="Inativo","Inativo",IFERROR(VLOOKUP($G752,Conf!$F$19:$G$39,2,0),VLOOKUP($S752,Conf!$K:$M,3,0)))</f>
        <v>REPOSITOR</v>
      </c>
      <c r="D752" s="72" t="str">
        <f ca="1">IFERROR(IF(TODAY()-K752&gt;365,"Inativo",IF(J752=2,"Férias",IF(J752=7,"Demitido","Afastamento"))),VLOOKUP(J752,Conf!$H:$I,2,0))</f>
        <v>Demitido</v>
      </c>
      <c r="E752" s="71">
        <v>8</v>
      </c>
      <c r="F752" s="71">
        <v>272</v>
      </c>
      <c r="G752" s="71" t="s">
        <v>3846</v>
      </c>
      <c r="H752" s="71">
        <v>1067</v>
      </c>
      <c r="I752" s="71" t="s">
        <v>657</v>
      </c>
      <c r="J752" s="71">
        <v>7</v>
      </c>
      <c r="K752" s="71" t="s">
        <v>3847</v>
      </c>
      <c r="L752" s="71" t="s">
        <v>3848</v>
      </c>
      <c r="M752" s="71" t="s">
        <v>2789</v>
      </c>
      <c r="N752" s="71">
        <v>6940402586</v>
      </c>
      <c r="Q752" s="71">
        <v>0</v>
      </c>
      <c r="R752" s="71" t="s">
        <v>2678</v>
      </c>
      <c r="S752" s="71" t="s">
        <v>2679</v>
      </c>
      <c r="T752" s="71" t="s">
        <v>1165</v>
      </c>
    </row>
    <row r="753" spans="1:20" x14ac:dyDescent="0.3">
      <c r="A753" s="72">
        <f>IFERROR(VLOOKUP($G753,Conf!$B:$C,2,0),E753)</f>
        <v>8</v>
      </c>
      <c r="B753" s="72" t="str">
        <f ca="1">IF(D753="Inativo","Inativo",VLOOKUP($S753,Conf!$K:$M,2,0))</f>
        <v>HORTIFRUTI</v>
      </c>
      <c r="C753" s="72" t="str">
        <f ca="1">IF(D753="Inativo","Inativo",IFERROR(VLOOKUP($G753,Conf!$F$19:$G$39,2,0),VLOOKUP($S753,Conf!$K:$M,3,0)))</f>
        <v>REPOSITOR</v>
      </c>
      <c r="D753" s="72" t="str">
        <f ca="1">IFERROR(IF(TODAY()-K753&gt;365,"Inativo",IF(J753=2,"Férias",IF(J753=7,"Demitido","Afastamento"))),VLOOKUP(J753,Conf!$H:$I,2,0))</f>
        <v>Ativos</v>
      </c>
      <c r="E753" s="71">
        <v>8</v>
      </c>
      <c r="F753" s="71">
        <v>344</v>
      </c>
      <c r="G753" s="71" t="s">
        <v>2690</v>
      </c>
      <c r="H753" s="71">
        <v>1066</v>
      </c>
      <c r="I753" s="71" t="s">
        <v>2513</v>
      </c>
      <c r="J753" s="71">
        <v>1</v>
      </c>
      <c r="K753" s="71" t="s">
        <v>223</v>
      </c>
      <c r="L753" s="71" t="s">
        <v>2691</v>
      </c>
      <c r="M753" s="71" t="s">
        <v>840</v>
      </c>
      <c r="N753" s="71">
        <v>18394940420</v>
      </c>
      <c r="O753" s="71" t="s">
        <v>245</v>
      </c>
      <c r="P753" s="71" t="s">
        <v>246</v>
      </c>
      <c r="Q753" s="71">
        <v>0</v>
      </c>
      <c r="R753" s="71" t="s">
        <v>2678</v>
      </c>
      <c r="S753" s="71" t="s">
        <v>2679</v>
      </c>
      <c r="T753" s="71" t="s">
        <v>1165</v>
      </c>
    </row>
    <row r="754" spans="1:20" x14ac:dyDescent="0.3">
      <c r="A754" s="72">
        <f>IFERROR(VLOOKUP($G754,Conf!$B:$C,2,0),E754)</f>
        <v>8</v>
      </c>
      <c r="B754" s="72" t="str">
        <f ca="1">IF(D754="Inativo","Inativo",VLOOKUP($S754,Conf!$K:$M,2,0))</f>
        <v>HORTIFRUTI</v>
      </c>
      <c r="C754" s="72" t="str">
        <f ca="1">IF(D754="Inativo","Inativo",IFERROR(VLOOKUP($G754,Conf!$F$19:$G$39,2,0),VLOOKUP($S754,Conf!$K:$M,3,0)))</f>
        <v>REPOSITOR</v>
      </c>
      <c r="D754" s="72" t="str">
        <f ca="1">IFERROR(IF(TODAY()-K754&gt;365,"Inativo",IF(J754=2,"Férias",IF(J754=7,"Demitido","Afastamento"))),VLOOKUP(J754,Conf!$H:$I,2,0))</f>
        <v>Demitido</v>
      </c>
      <c r="E754" s="71">
        <v>8</v>
      </c>
      <c r="F754" s="71">
        <v>235</v>
      </c>
      <c r="G754" s="71" t="s">
        <v>3867</v>
      </c>
      <c r="H754" s="71">
        <v>1082</v>
      </c>
      <c r="I754" s="71" t="s">
        <v>772</v>
      </c>
      <c r="J754" s="71">
        <v>7</v>
      </c>
      <c r="K754" s="71" t="s">
        <v>709</v>
      </c>
      <c r="L754" s="71" t="s">
        <v>3171</v>
      </c>
      <c r="M754" s="71" t="s">
        <v>1433</v>
      </c>
      <c r="N754" s="71">
        <v>15233991470</v>
      </c>
      <c r="Q754" s="71">
        <v>0</v>
      </c>
      <c r="R754" s="71" t="s">
        <v>2678</v>
      </c>
      <c r="S754" s="71" t="s">
        <v>2679</v>
      </c>
      <c r="T754" s="71" t="s">
        <v>1165</v>
      </c>
    </row>
    <row r="755" spans="1:20" x14ac:dyDescent="0.3">
      <c r="A755" s="72">
        <f>IFERROR(VLOOKUP($G755,Conf!$B:$C,2,0),E755)</f>
        <v>8</v>
      </c>
      <c r="B755" s="72" t="str">
        <f ca="1">IF(D755="Inativo","Inativo",VLOOKUP($S755,Conf!$K:$M,2,0))</f>
        <v>Inativo</v>
      </c>
      <c r="C755" s="72" t="str">
        <f ca="1">IF(D755="Inativo","Inativo",IFERROR(VLOOKUP($G755,Conf!$F$19:$G$39,2,0),VLOOKUP($S755,Conf!$K:$M,3,0)))</f>
        <v>Inativo</v>
      </c>
      <c r="D755" s="72" t="str">
        <f ca="1">IFERROR(IF(TODAY()-K755&gt;365,"Inativo",IF(J755=2,"Férias",IF(J755=7,"Demitido","Afastamento"))),VLOOKUP(J755,Conf!$H:$I,2,0))</f>
        <v>Inativo</v>
      </c>
      <c r="E755" s="71">
        <v>8</v>
      </c>
      <c r="F755" s="71">
        <v>196</v>
      </c>
      <c r="G755" s="71" t="s">
        <v>3702</v>
      </c>
      <c r="H755" s="71">
        <v>1074</v>
      </c>
      <c r="I755" s="71" t="s">
        <v>230</v>
      </c>
      <c r="J755" s="71">
        <v>7</v>
      </c>
      <c r="K755" s="71" t="s">
        <v>3156</v>
      </c>
      <c r="L755" s="71" t="s">
        <v>3703</v>
      </c>
      <c r="M755" s="71" t="s">
        <v>2838</v>
      </c>
      <c r="N755" s="71">
        <v>2486655964</v>
      </c>
      <c r="Q755" s="71">
        <v>0</v>
      </c>
      <c r="R755" s="71" t="s">
        <v>2780</v>
      </c>
      <c r="S755" s="71" t="s">
        <v>2781</v>
      </c>
      <c r="T755" s="71" t="s">
        <v>2782</v>
      </c>
    </row>
    <row r="756" spans="1:20" x14ac:dyDescent="0.3">
      <c r="A756" s="72">
        <f>IFERROR(VLOOKUP($G756,Conf!$B:$C,2,0),E756)</f>
        <v>8</v>
      </c>
      <c r="B756" s="72" t="str">
        <f ca="1">IF(D756="Inativo","Inativo",VLOOKUP($S756,Conf!$K:$M,2,0))</f>
        <v>Inativo</v>
      </c>
      <c r="C756" s="72" t="str">
        <f ca="1">IF(D756="Inativo","Inativo",IFERROR(VLOOKUP($G756,Conf!$F$19:$G$39,2,0),VLOOKUP($S756,Conf!$K:$M,3,0)))</f>
        <v>Inativo</v>
      </c>
      <c r="D756" s="72" t="str">
        <f ca="1">IFERROR(IF(TODAY()-K756&gt;365,"Inativo",IF(J756=2,"Férias",IF(J756=7,"Demitido","Afastamento"))),VLOOKUP(J756,Conf!$H:$I,2,0))</f>
        <v>Inativo</v>
      </c>
      <c r="E756" s="71">
        <v>8</v>
      </c>
      <c r="F756" s="71">
        <v>148</v>
      </c>
      <c r="G756" s="71" t="s">
        <v>3723</v>
      </c>
      <c r="H756" s="71">
        <v>1100</v>
      </c>
      <c r="I756" s="71" t="s">
        <v>279</v>
      </c>
      <c r="J756" s="71">
        <v>7</v>
      </c>
      <c r="K756" s="71" t="s">
        <v>420</v>
      </c>
      <c r="L756" s="71" t="s">
        <v>3724</v>
      </c>
      <c r="M756" s="71" t="s">
        <v>3725</v>
      </c>
      <c r="N756" s="71">
        <v>1673927270</v>
      </c>
      <c r="Q756" s="71">
        <v>0</v>
      </c>
      <c r="R756" s="71" t="s">
        <v>2842</v>
      </c>
      <c r="S756" s="71" t="s">
        <v>2843</v>
      </c>
      <c r="T756" s="71" t="s">
        <v>2844</v>
      </c>
    </row>
    <row r="757" spans="1:20" x14ac:dyDescent="0.3">
      <c r="A757" s="72">
        <f>IFERROR(VLOOKUP($G757,Conf!$B:$C,2,0),E757)</f>
        <v>8</v>
      </c>
      <c r="B757" s="72" t="str">
        <f ca="1">IF(D757="Inativo","Inativo",VLOOKUP($S757,Conf!$K:$M,2,0))</f>
        <v>Inativo</v>
      </c>
      <c r="C757" s="72" t="str">
        <f ca="1">IF(D757="Inativo","Inativo",IFERROR(VLOOKUP($G757,Conf!$F$19:$G$39,2,0),VLOOKUP($S757,Conf!$K:$M,3,0)))</f>
        <v>Inativo</v>
      </c>
      <c r="D757" s="72" t="str">
        <f ca="1">IFERROR(IF(TODAY()-K757&gt;365,"Inativo",IF(J757=2,"Férias",IF(J757=7,"Demitido","Afastamento"))),VLOOKUP(J757,Conf!$H:$I,2,0))</f>
        <v>Inativo</v>
      </c>
      <c r="E757" s="71">
        <v>8</v>
      </c>
      <c r="F757" s="71">
        <v>242</v>
      </c>
      <c r="G757" s="71" t="s">
        <v>3726</v>
      </c>
      <c r="H757" s="71">
        <v>1071</v>
      </c>
      <c r="I757" s="71" t="s">
        <v>657</v>
      </c>
      <c r="J757" s="71">
        <v>7</v>
      </c>
      <c r="K757" s="71" t="s">
        <v>3727</v>
      </c>
      <c r="L757" s="71" t="s">
        <v>3728</v>
      </c>
      <c r="M757" s="71" t="s">
        <v>805</v>
      </c>
      <c r="N757" s="71">
        <v>12826733940</v>
      </c>
      <c r="Q757" s="71">
        <v>0</v>
      </c>
      <c r="R757" s="71" t="s">
        <v>2775</v>
      </c>
      <c r="S757" s="71" t="s">
        <v>2776</v>
      </c>
      <c r="T757" s="71" t="s">
        <v>2777</v>
      </c>
    </row>
    <row r="758" spans="1:20" x14ac:dyDescent="0.3">
      <c r="A758" s="72">
        <f>IFERROR(VLOOKUP($G758,Conf!$B:$C,2,0),E758)</f>
        <v>8</v>
      </c>
      <c r="B758" s="72" t="str">
        <f ca="1">IF(D758="Inativo","Inativo",VLOOKUP($S758,Conf!$K:$M,2,0))</f>
        <v>Inativo</v>
      </c>
      <c r="C758" s="72" t="str">
        <f ca="1">IF(D758="Inativo","Inativo",IFERROR(VLOOKUP($G758,Conf!$F$19:$G$39,2,0),VLOOKUP($S758,Conf!$K:$M,3,0)))</f>
        <v>Inativo</v>
      </c>
      <c r="D758" s="72" t="str">
        <f ca="1">IFERROR(IF(TODAY()-K758&gt;365,"Inativo",IF(J758=2,"Férias",IF(J758=7,"Demitido","Afastamento"))),VLOOKUP(J758,Conf!$H:$I,2,0))</f>
        <v>Inativo</v>
      </c>
      <c r="E758" s="71">
        <v>8</v>
      </c>
      <c r="F758" s="71">
        <v>191</v>
      </c>
      <c r="G758" s="71" t="s">
        <v>3696</v>
      </c>
      <c r="H758" s="71">
        <v>1075</v>
      </c>
      <c r="I758" s="71" t="s">
        <v>230</v>
      </c>
      <c r="J758" s="71">
        <v>7</v>
      </c>
      <c r="K758" s="71" t="s">
        <v>3397</v>
      </c>
      <c r="L758" s="71" t="s">
        <v>3697</v>
      </c>
      <c r="M758" s="71" t="s">
        <v>3698</v>
      </c>
      <c r="N758" s="71">
        <v>98541480178</v>
      </c>
      <c r="Q758" s="71">
        <v>0</v>
      </c>
      <c r="R758" s="71" t="s">
        <v>2700</v>
      </c>
      <c r="S758" s="71" t="s">
        <v>2701</v>
      </c>
      <c r="T758" s="71" t="s">
        <v>2269</v>
      </c>
    </row>
    <row r="759" spans="1:20" x14ac:dyDescent="0.3">
      <c r="A759" s="72">
        <f>IFERROR(VLOOKUP($G759,Conf!$B:$C,2,0),E759)</f>
        <v>8</v>
      </c>
      <c r="B759" s="72" t="str">
        <f ca="1">IF(D759="Inativo","Inativo",VLOOKUP($S759,Conf!$K:$M,2,0))</f>
        <v>Inativo</v>
      </c>
      <c r="C759" s="72" t="str">
        <f ca="1">IF(D759="Inativo","Inativo",IFERROR(VLOOKUP($G759,Conf!$F$19:$G$39,2,0),VLOOKUP($S759,Conf!$K:$M,3,0)))</f>
        <v>Inativo</v>
      </c>
      <c r="D759" s="72" t="str">
        <f ca="1">IFERROR(IF(TODAY()-K759&gt;365,"Inativo",IF(J759=2,"Férias",IF(J759=7,"Demitido","Afastamento"))),VLOOKUP(J759,Conf!$H:$I,2,0))</f>
        <v>Inativo</v>
      </c>
      <c r="E759" s="71">
        <v>8</v>
      </c>
      <c r="F759" s="71">
        <v>250</v>
      </c>
      <c r="G759" s="71" t="s">
        <v>3713</v>
      </c>
      <c r="H759" s="71">
        <v>47</v>
      </c>
      <c r="I759" s="71" t="s">
        <v>222</v>
      </c>
      <c r="J759" s="71">
        <v>7</v>
      </c>
      <c r="K759" s="71" t="s">
        <v>1835</v>
      </c>
      <c r="L759" s="71" t="s">
        <v>3714</v>
      </c>
      <c r="M759" s="71" t="s">
        <v>1970</v>
      </c>
      <c r="N759" s="71">
        <v>27950752882</v>
      </c>
      <c r="Q759" s="71">
        <v>0</v>
      </c>
      <c r="R759" s="71" t="s">
        <v>3715</v>
      </c>
      <c r="S759" s="71" t="s">
        <v>3716</v>
      </c>
      <c r="T759" s="71" t="s">
        <v>3717</v>
      </c>
    </row>
    <row r="760" spans="1:20" x14ac:dyDescent="0.3">
      <c r="A760" s="72">
        <f>IFERROR(VLOOKUP($G760,Conf!$B:$C,2,0),E760)</f>
        <v>8</v>
      </c>
      <c r="B760" s="72" t="str">
        <f ca="1">IF(D760="Inativo","Inativo",VLOOKUP($S760,Conf!$K:$M,2,0))</f>
        <v>Inativo</v>
      </c>
      <c r="C760" s="72" t="str">
        <f ca="1">IF(D760="Inativo","Inativo",IFERROR(VLOOKUP($G760,Conf!$F$19:$G$39,2,0),VLOOKUP($S760,Conf!$K:$M,3,0)))</f>
        <v>Inativo</v>
      </c>
      <c r="D760" s="72" t="str">
        <f ca="1">IFERROR(IF(TODAY()-K760&gt;365,"Inativo",IF(J760=2,"Férias",IF(J760=7,"Demitido","Afastamento"))),VLOOKUP(J760,Conf!$H:$I,2,0))</f>
        <v>Inativo</v>
      </c>
      <c r="E760" s="71">
        <v>8</v>
      </c>
      <c r="F760" s="71">
        <v>245</v>
      </c>
      <c r="G760" s="71" t="s">
        <v>3704</v>
      </c>
      <c r="H760" s="71">
        <v>988</v>
      </c>
      <c r="I760" s="71" t="s">
        <v>657</v>
      </c>
      <c r="J760" s="71">
        <v>7</v>
      </c>
      <c r="K760" s="71" t="s">
        <v>3156</v>
      </c>
      <c r="L760" s="71" t="s">
        <v>3705</v>
      </c>
      <c r="M760" s="71" t="s">
        <v>1019</v>
      </c>
      <c r="N760" s="71">
        <v>11842587919</v>
      </c>
      <c r="Q760" s="71">
        <v>0</v>
      </c>
      <c r="R760" s="71" t="s">
        <v>2661</v>
      </c>
      <c r="S760" s="71" t="s">
        <v>2662</v>
      </c>
      <c r="T760" s="71" t="s">
        <v>2663</v>
      </c>
    </row>
    <row r="761" spans="1:20" x14ac:dyDescent="0.3">
      <c r="A761" s="72">
        <f>IFERROR(VLOOKUP($G761,Conf!$B:$C,2,0),E761)</f>
        <v>8</v>
      </c>
      <c r="B761" s="72" t="str">
        <f ca="1">IF(D761="Inativo","Inativo",VLOOKUP($S761,Conf!$K:$M,2,0))</f>
        <v>Inativo</v>
      </c>
      <c r="C761" s="72" t="str">
        <f ca="1">IF(D761="Inativo","Inativo",IFERROR(VLOOKUP($G761,Conf!$F$19:$G$39,2,0),VLOOKUP($S761,Conf!$K:$M,3,0)))</f>
        <v>Inativo</v>
      </c>
      <c r="D761" s="72" t="str">
        <f ca="1">IFERROR(IF(TODAY()-K761&gt;365,"Inativo",IF(J761=2,"Férias",IF(J761=7,"Demitido","Afastamento"))),VLOOKUP(J761,Conf!$H:$I,2,0))</f>
        <v>Inativo</v>
      </c>
      <c r="E761" s="71">
        <v>8</v>
      </c>
      <c r="F761" s="71">
        <v>227</v>
      </c>
      <c r="G761" s="71" t="s">
        <v>3711</v>
      </c>
      <c r="H761" s="71">
        <v>1089</v>
      </c>
      <c r="I761" s="71" t="s">
        <v>222</v>
      </c>
      <c r="J761" s="71">
        <v>7</v>
      </c>
      <c r="K761" s="71" t="s">
        <v>489</v>
      </c>
      <c r="L761" s="71" t="s">
        <v>3712</v>
      </c>
      <c r="M761" s="71" t="s">
        <v>3055</v>
      </c>
      <c r="N761" s="71">
        <v>11236236947</v>
      </c>
      <c r="Q761" s="71">
        <v>0</v>
      </c>
      <c r="R761" s="71" t="s">
        <v>2780</v>
      </c>
      <c r="S761" s="71" t="s">
        <v>2781</v>
      </c>
      <c r="T761" s="71" t="s">
        <v>2782</v>
      </c>
    </row>
    <row r="762" spans="1:20" x14ac:dyDescent="0.3">
      <c r="A762" s="72">
        <f>IFERROR(VLOOKUP($G762,Conf!$B:$C,2,0),E762)</f>
        <v>8</v>
      </c>
      <c r="B762" s="72" t="str">
        <f ca="1">IF(D762="Inativo","Inativo",VLOOKUP($S762,Conf!$K:$M,2,0))</f>
        <v>Inativo</v>
      </c>
      <c r="C762" s="72" t="str">
        <f ca="1">IF(D762="Inativo","Inativo",IFERROR(VLOOKUP($G762,Conf!$F$19:$G$39,2,0),VLOOKUP($S762,Conf!$K:$M,3,0)))</f>
        <v>Inativo</v>
      </c>
      <c r="D762" s="72" t="str">
        <f ca="1">IFERROR(IF(TODAY()-K762&gt;365,"Inativo",IF(J762=2,"Férias",IF(J762=7,"Demitido","Afastamento"))),VLOOKUP(J762,Conf!$H:$I,2,0))</f>
        <v>Inativo</v>
      </c>
      <c r="E762" s="71">
        <v>8</v>
      </c>
      <c r="F762" s="71">
        <v>167</v>
      </c>
      <c r="G762" s="71" t="s">
        <v>3709</v>
      </c>
      <c r="H762" s="71">
        <v>1071</v>
      </c>
      <c r="I762" s="71" t="s">
        <v>657</v>
      </c>
      <c r="J762" s="71">
        <v>7</v>
      </c>
      <c r="K762" s="71" t="s">
        <v>3707</v>
      </c>
      <c r="L762" s="71" t="s">
        <v>3710</v>
      </c>
      <c r="M762" s="71" t="s">
        <v>1362</v>
      </c>
      <c r="N762" s="71">
        <v>5337647938</v>
      </c>
      <c r="Q762" s="71">
        <v>0</v>
      </c>
      <c r="R762" s="71" t="s">
        <v>2515</v>
      </c>
      <c r="S762" s="71" t="s">
        <v>2516</v>
      </c>
      <c r="T762" s="71" t="s">
        <v>858</v>
      </c>
    </row>
    <row r="763" spans="1:20" x14ac:dyDescent="0.3">
      <c r="A763" s="72">
        <f>IFERROR(VLOOKUP($G763,Conf!$B:$C,2,0),E763)</f>
        <v>8</v>
      </c>
      <c r="B763" s="72" t="str">
        <f ca="1">IF(D763="Inativo","Inativo",VLOOKUP($S763,Conf!$K:$M,2,0))</f>
        <v>Inativo</v>
      </c>
      <c r="C763" s="72" t="str">
        <f ca="1">IF(D763="Inativo","Inativo",IFERROR(VLOOKUP($G763,Conf!$F$19:$G$39,2,0),VLOOKUP($S763,Conf!$K:$M,3,0)))</f>
        <v>Inativo</v>
      </c>
      <c r="D763" s="72" t="str">
        <f ca="1">IFERROR(IF(TODAY()-K763&gt;365,"Inativo",IF(J763=2,"Férias",IF(J763=7,"Demitido","Afastamento"))),VLOOKUP(J763,Conf!$H:$I,2,0))</f>
        <v>Inativo</v>
      </c>
      <c r="E763" s="71">
        <v>8</v>
      </c>
      <c r="F763" s="71">
        <v>206</v>
      </c>
      <c r="G763" s="71" t="s">
        <v>3718</v>
      </c>
      <c r="H763" s="71">
        <v>1070</v>
      </c>
      <c r="I763" s="71" t="s">
        <v>657</v>
      </c>
      <c r="J763" s="71">
        <v>7</v>
      </c>
      <c r="K763" s="71" t="s">
        <v>1202</v>
      </c>
      <c r="L763" s="71" t="s">
        <v>3719</v>
      </c>
      <c r="M763" s="71" t="s">
        <v>3720</v>
      </c>
      <c r="N763" s="71">
        <v>75931290982</v>
      </c>
      <c r="Q763" s="71">
        <v>0</v>
      </c>
      <c r="R763" s="71" t="s">
        <v>2678</v>
      </c>
      <c r="S763" s="71" t="s">
        <v>2679</v>
      </c>
      <c r="T763" s="71" t="s">
        <v>1165</v>
      </c>
    </row>
    <row r="764" spans="1:20" x14ac:dyDescent="0.3">
      <c r="A764" s="72">
        <f>IFERROR(VLOOKUP($G764,Conf!$B:$C,2,0),E764)</f>
        <v>8</v>
      </c>
      <c r="B764" s="72" t="str">
        <f ca="1">IF(D764="Inativo","Inativo",VLOOKUP($S764,Conf!$K:$M,2,0))</f>
        <v>Inativo</v>
      </c>
      <c r="C764" s="72" t="str">
        <f ca="1">IF(D764="Inativo","Inativo",IFERROR(VLOOKUP($G764,Conf!$F$19:$G$39,2,0),VLOOKUP($S764,Conf!$K:$M,3,0)))</f>
        <v>Inativo</v>
      </c>
      <c r="D764" s="72" t="str">
        <f ca="1">IFERROR(IF(TODAY()-K764&gt;365,"Inativo",IF(J764=2,"Férias",IF(J764=7,"Demitido","Afastamento"))),VLOOKUP(J764,Conf!$H:$I,2,0))</f>
        <v>Inativo</v>
      </c>
      <c r="E764" s="71">
        <v>8</v>
      </c>
      <c r="F764" s="71">
        <v>233</v>
      </c>
      <c r="G764" s="71" t="s">
        <v>3721</v>
      </c>
      <c r="H764" s="71">
        <v>6</v>
      </c>
      <c r="I764" s="71" t="s">
        <v>230</v>
      </c>
      <c r="J764" s="71">
        <v>7</v>
      </c>
      <c r="K764" s="71" t="s">
        <v>1202</v>
      </c>
      <c r="L764" s="71" t="s">
        <v>3722</v>
      </c>
      <c r="M764" s="71" t="s">
        <v>1341</v>
      </c>
      <c r="N764" s="71">
        <v>10758440960</v>
      </c>
      <c r="Q764" s="71">
        <v>0</v>
      </c>
      <c r="R764" s="71" t="s">
        <v>2678</v>
      </c>
      <c r="S764" s="71" t="s">
        <v>2679</v>
      </c>
      <c r="T764" s="71" t="s">
        <v>1165</v>
      </c>
    </row>
    <row r="765" spans="1:20" x14ac:dyDescent="0.3">
      <c r="A765" s="72">
        <f>IFERROR(VLOOKUP($G765,Conf!$B:$C,2,0),E765)</f>
        <v>8</v>
      </c>
      <c r="B765" s="72" t="str">
        <f ca="1">IF(D765="Inativo","Inativo",VLOOKUP($S765,Conf!$K:$M,2,0))</f>
        <v>Inativo</v>
      </c>
      <c r="C765" s="72" t="str">
        <f ca="1">IF(D765="Inativo","Inativo",IFERROR(VLOOKUP($G765,Conf!$F$19:$G$39,2,0),VLOOKUP($S765,Conf!$K:$M,3,0)))</f>
        <v>Inativo</v>
      </c>
      <c r="D765" s="72" t="str">
        <f ca="1">IFERROR(IF(TODAY()-K765&gt;365,"Inativo",IF(J765=2,"Férias",IF(J765=7,"Demitido","Afastamento"))),VLOOKUP(J765,Conf!$H:$I,2,0))</f>
        <v>Inativo</v>
      </c>
      <c r="E765" s="71">
        <v>8</v>
      </c>
      <c r="F765" s="71">
        <v>34</v>
      </c>
      <c r="G765" s="71" t="s">
        <v>2692</v>
      </c>
      <c r="H765" s="71">
        <v>6</v>
      </c>
      <c r="I765" s="71" t="s">
        <v>230</v>
      </c>
      <c r="J765" s="71">
        <v>3</v>
      </c>
      <c r="K765" s="71" t="s">
        <v>2693</v>
      </c>
      <c r="L765" s="71" t="s">
        <v>2694</v>
      </c>
      <c r="M765" s="71" t="s">
        <v>1275</v>
      </c>
      <c r="N765" s="71">
        <v>8244825901</v>
      </c>
      <c r="Q765" s="71">
        <v>0</v>
      </c>
      <c r="R765" s="71" t="s">
        <v>2695</v>
      </c>
      <c r="S765" s="71" t="s">
        <v>2696</v>
      </c>
      <c r="T765" s="71" t="s">
        <v>637</v>
      </c>
    </row>
    <row r="766" spans="1:20" x14ac:dyDescent="0.3">
      <c r="A766" s="72">
        <f>IFERROR(VLOOKUP($G766,Conf!$B:$C,2,0),E766)</f>
        <v>8</v>
      </c>
      <c r="B766" s="72" t="str">
        <f ca="1">IF(D766="Inativo","Inativo",VLOOKUP($S766,Conf!$K:$M,2,0))</f>
        <v>Inativo</v>
      </c>
      <c r="C766" s="72" t="str">
        <f ca="1">IF(D766="Inativo","Inativo",IFERROR(VLOOKUP($G766,Conf!$F$19:$G$39,2,0),VLOOKUP($S766,Conf!$K:$M,3,0)))</f>
        <v>Inativo</v>
      </c>
      <c r="D766" s="72" t="str">
        <f ca="1">IFERROR(IF(TODAY()-K766&gt;365,"Inativo",IF(J766=2,"Férias",IF(J766=7,"Demitido","Afastamento"))),VLOOKUP(J766,Conf!$H:$I,2,0))</f>
        <v>Inativo</v>
      </c>
      <c r="E766" s="71">
        <v>8</v>
      </c>
      <c r="F766" s="71">
        <v>185</v>
      </c>
      <c r="G766" s="71" t="s">
        <v>3706</v>
      </c>
      <c r="H766" s="71">
        <v>1085</v>
      </c>
      <c r="I766" s="71" t="s">
        <v>222</v>
      </c>
      <c r="J766" s="71">
        <v>7</v>
      </c>
      <c r="K766" s="71" t="s">
        <v>3707</v>
      </c>
      <c r="L766" s="71" t="s">
        <v>3708</v>
      </c>
      <c r="M766" s="71" t="s">
        <v>815</v>
      </c>
      <c r="N766" s="71">
        <v>4661160800</v>
      </c>
      <c r="Q766" s="71">
        <v>0</v>
      </c>
      <c r="R766" s="71" t="s">
        <v>2780</v>
      </c>
      <c r="S766" s="71" t="s">
        <v>2781</v>
      </c>
      <c r="T766" s="71" t="s">
        <v>2782</v>
      </c>
    </row>
    <row r="767" spans="1:20" x14ac:dyDescent="0.3">
      <c r="A767" s="72">
        <f>IFERROR(VLOOKUP($G767,Conf!$B:$C,2,0),E767)</f>
        <v>8</v>
      </c>
      <c r="B767" s="72" t="str">
        <f ca="1">IF(D767="Inativo","Inativo",VLOOKUP($S767,Conf!$K:$M,2,0))</f>
        <v>Inativo</v>
      </c>
      <c r="C767" s="72" t="str">
        <f ca="1">IF(D767="Inativo","Inativo",IFERROR(VLOOKUP($G767,Conf!$F$19:$G$39,2,0),VLOOKUP($S767,Conf!$K:$M,3,0)))</f>
        <v>Inativo</v>
      </c>
      <c r="D767" s="72" t="str">
        <f ca="1">IFERROR(IF(TODAY()-K767&gt;365,"Inativo",IF(J767=2,"Férias",IF(J767=7,"Demitido","Afastamento"))),VLOOKUP(J767,Conf!$H:$I,2,0))</f>
        <v>Inativo</v>
      </c>
      <c r="E767" s="71">
        <v>8</v>
      </c>
      <c r="F767" s="71">
        <v>45</v>
      </c>
      <c r="G767" s="71" t="s">
        <v>2697</v>
      </c>
      <c r="H767" s="71">
        <v>1009</v>
      </c>
      <c r="I767" s="71" t="s">
        <v>772</v>
      </c>
      <c r="J767" s="71">
        <v>22</v>
      </c>
      <c r="K767" s="71" t="s">
        <v>225</v>
      </c>
      <c r="L767" s="71" t="s">
        <v>2698</v>
      </c>
      <c r="M767" s="71" t="s">
        <v>2699</v>
      </c>
      <c r="N767" s="71">
        <v>16353086822</v>
      </c>
      <c r="Q767" s="71">
        <v>0</v>
      </c>
      <c r="R767" s="71" t="s">
        <v>2700</v>
      </c>
      <c r="S767" s="71" t="s">
        <v>2701</v>
      </c>
      <c r="T767" s="71" t="s">
        <v>2269</v>
      </c>
    </row>
    <row r="768" spans="1:20" x14ac:dyDescent="0.3">
      <c r="A768" s="72">
        <f>IFERROR(VLOOKUP($G768,Conf!$B:$C,2,0),E768)</f>
        <v>8</v>
      </c>
      <c r="B768" s="72" t="str">
        <f ca="1">IF(D768="Inativo","Inativo",VLOOKUP($S768,Conf!$K:$M,2,0))</f>
        <v>Inativo</v>
      </c>
      <c r="C768" s="72" t="str">
        <f ca="1">IF(D768="Inativo","Inativo",IFERROR(VLOOKUP($G768,Conf!$F$19:$G$39,2,0),VLOOKUP($S768,Conf!$K:$M,3,0)))</f>
        <v>Inativo</v>
      </c>
      <c r="D768" s="72" t="str">
        <f ca="1">IFERROR(IF(TODAY()-K768&gt;365,"Inativo",IF(J768=2,"Férias",IF(J768=7,"Demitido","Afastamento"))),VLOOKUP(J768,Conf!$H:$I,2,0))</f>
        <v>Inativo</v>
      </c>
      <c r="E768" s="71">
        <v>8</v>
      </c>
      <c r="F768" s="71">
        <v>212</v>
      </c>
      <c r="G768" s="71" t="s">
        <v>3699</v>
      </c>
      <c r="H768" s="71">
        <v>988</v>
      </c>
      <c r="I768" s="71" t="s">
        <v>657</v>
      </c>
      <c r="J768" s="71">
        <v>7</v>
      </c>
      <c r="K768" s="71" t="s">
        <v>3156</v>
      </c>
      <c r="L768" s="71" t="s">
        <v>3700</v>
      </c>
      <c r="M768" s="71" t="s">
        <v>3701</v>
      </c>
      <c r="N768" s="71">
        <v>44668163953</v>
      </c>
      <c r="Q768" s="71">
        <v>0</v>
      </c>
      <c r="R768" s="71" t="s">
        <v>2780</v>
      </c>
      <c r="S768" s="71" t="s">
        <v>2781</v>
      </c>
      <c r="T768" s="71" t="s">
        <v>2782</v>
      </c>
    </row>
    <row r="769" spans="1:20" x14ac:dyDescent="0.3">
      <c r="A769" s="72">
        <f>IFERROR(VLOOKUP($G769,Conf!$B:$C,2,0),E769)</f>
        <v>8</v>
      </c>
      <c r="B769" s="72" t="str">
        <f ca="1">IF(D769="Inativo","Inativo",VLOOKUP($S769,Conf!$K:$M,2,0))</f>
        <v>LIMPEZA</v>
      </c>
      <c r="C769" s="72" t="str">
        <f ca="1">IF(D769="Inativo","Inativo",IFERROR(VLOOKUP($G769,Conf!$F$19:$G$39,2,0),VLOOKUP($S769,Conf!$K:$M,3,0)))</f>
        <v>ZELADOR(A)</v>
      </c>
      <c r="D769" s="72" t="str">
        <f ca="1">IFERROR(IF(TODAY()-K769&gt;365,"Inativo",IF(J769=2,"Férias",IF(J769=7,"Demitido","Afastamento"))),VLOOKUP(J769,Conf!$H:$I,2,0))</f>
        <v>Ativos</v>
      </c>
      <c r="E769" s="71">
        <v>8</v>
      </c>
      <c r="F769" s="71">
        <v>338</v>
      </c>
      <c r="G769" s="71" t="s">
        <v>2702</v>
      </c>
      <c r="H769" s="71">
        <v>988</v>
      </c>
      <c r="I769" s="71" t="s">
        <v>657</v>
      </c>
      <c r="J769" s="71">
        <v>1</v>
      </c>
      <c r="K769" s="71" t="s">
        <v>223</v>
      </c>
      <c r="L769" s="71" t="s">
        <v>2703</v>
      </c>
      <c r="M769" s="71" t="s">
        <v>886</v>
      </c>
      <c r="N769" s="71">
        <v>8057259469</v>
      </c>
      <c r="O769" s="71" t="s">
        <v>245</v>
      </c>
      <c r="P769" s="71" t="s">
        <v>246</v>
      </c>
      <c r="Q769" s="71">
        <v>0</v>
      </c>
      <c r="R769" s="71" t="s">
        <v>2700</v>
      </c>
      <c r="S769" s="71" t="s">
        <v>2701</v>
      </c>
      <c r="T769" s="71" t="s">
        <v>2269</v>
      </c>
    </row>
    <row r="770" spans="1:20" x14ac:dyDescent="0.3">
      <c r="A770" s="72">
        <f>IFERROR(VLOOKUP($G770,Conf!$B:$C,2,0),E770)</f>
        <v>8</v>
      </c>
      <c r="B770" s="72" t="str">
        <f ca="1">IF(D770="Inativo","Inativo",VLOOKUP($S770,Conf!$K:$M,2,0))</f>
        <v>Inativo</v>
      </c>
      <c r="C770" s="72" t="str">
        <f ca="1">IF(D770="Inativo","Inativo",IFERROR(VLOOKUP($G770,Conf!$F$19:$G$39,2,0),VLOOKUP($S770,Conf!$K:$M,3,0)))</f>
        <v>Inativo</v>
      </c>
      <c r="D770" s="72" t="str">
        <f ca="1">IFERROR(IF(TODAY()-K770&gt;365,"Inativo",IF(J770=2,"Férias",IF(J770=7,"Demitido","Afastamento"))),VLOOKUP(J770,Conf!$H:$I,2,0))</f>
        <v>Inativo</v>
      </c>
      <c r="E770" s="71">
        <v>8</v>
      </c>
      <c r="F770" s="71">
        <v>252</v>
      </c>
      <c r="G770" s="71" t="s">
        <v>3732</v>
      </c>
      <c r="H770" s="71">
        <v>1070</v>
      </c>
      <c r="I770" s="71" t="s">
        <v>657</v>
      </c>
      <c r="J770" s="71">
        <v>7</v>
      </c>
      <c r="K770" s="71" t="s">
        <v>3733</v>
      </c>
      <c r="L770" s="71" t="s">
        <v>3734</v>
      </c>
      <c r="M770" s="71" t="s">
        <v>489</v>
      </c>
      <c r="N770" s="71">
        <v>110888855</v>
      </c>
      <c r="Q770" s="71">
        <v>0</v>
      </c>
      <c r="R770" s="71" t="s">
        <v>2700</v>
      </c>
      <c r="S770" s="71" t="s">
        <v>2701</v>
      </c>
      <c r="T770" s="71" t="s">
        <v>2269</v>
      </c>
    </row>
    <row r="771" spans="1:20" x14ac:dyDescent="0.3">
      <c r="A771" s="72">
        <f>IFERROR(VLOOKUP($G771,Conf!$B:$C,2,0),E771)</f>
        <v>8</v>
      </c>
      <c r="B771" s="72" t="str">
        <f ca="1">IF(D771="Inativo","Inativo",VLOOKUP($S771,Conf!$K:$M,2,0))</f>
        <v>LIMPEZA</v>
      </c>
      <c r="C771" s="72" t="str">
        <f ca="1">IF(D771="Inativo","Inativo",IFERROR(VLOOKUP($G771,Conf!$F$19:$G$39,2,0),VLOOKUP($S771,Conf!$K:$M,3,0)))</f>
        <v>ZELADOR(A)</v>
      </c>
      <c r="D771" s="72" t="str">
        <f ca="1">IFERROR(IF(TODAY()-K771&gt;365,"Inativo",IF(J771=2,"Férias",IF(J771=7,"Demitido","Afastamento"))),VLOOKUP(J771,Conf!$H:$I,2,0))</f>
        <v>Demitido</v>
      </c>
      <c r="E771" s="71">
        <v>8</v>
      </c>
      <c r="F771" s="71">
        <v>292</v>
      </c>
      <c r="G771" s="71" t="s">
        <v>3823</v>
      </c>
      <c r="H771" s="71">
        <v>1068</v>
      </c>
      <c r="I771" s="71" t="s">
        <v>657</v>
      </c>
      <c r="J771" s="71">
        <v>7</v>
      </c>
      <c r="K771" s="71" t="s">
        <v>735</v>
      </c>
      <c r="L771" s="71" t="s">
        <v>3824</v>
      </c>
      <c r="M771" s="71" t="s">
        <v>492</v>
      </c>
      <c r="N771" s="71">
        <v>708460909</v>
      </c>
      <c r="Q771" s="71">
        <v>0</v>
      </c>
      <c r="R771" s="71" t="s">
        <v>2700</v>
      </c>
      <c r="S771" s="71" t="s">
        <v>2701</v>
      </c>
      <c r="T771" s="71" t="s">
        <v>2269</v>
      </c>
    </row>
    <row r="772" spans="1:20" x14ac:dyDescent="0.3">
      <c r="A772" s="72">
        <f>IFERROR(VLOOKUP($G772,Conf!$B:$C,2,0),E772)</f>
        <v>8</v>
      </c>
      <c r="B772" s="72" t="str">
        <f ca="1">IF(D772="Inativo","Inativo",VLOOKUP($S772,Conf!$K:$M,2,0))</f>
        <v>LIMPEZA</v>
      </c>
      <c r="C772" s="72" t="str">
        <f ca="1">IF(D772="Inativo","Inativo",IFERROR(VLOOKUP($G772,Conf!$F$19:$G$39,2,0),VLOOKUP($S772,Conf!$K:$M,3,0)))</f>
        <v>ZELADOR(A)</v>
      </c>
      <c r="D772" s="72" t="str">
        <f ca="1">IFERROR(IF(TODAY()-K772&gt;365,"Inativo",IF(J772=2,"Férias",IF(J772=7,"Demitido","Afastamento"))),VLOOKUP(J772,Conf!$H:$I,2,0))</f>
        <v>Demitido</v>
      </c>
      <c r="E772" s="71">
        <v>8</v>
      </c>
      <c r="F772" s="71">
        <v>114</v>
      </c>
      <c r="G772" s="71" t="s">
        <v>3883</v>
      </c>
      <c r="H772" s="71">
        <v>1067</v>
      </c>
      <c r="I772" s="71" t="s">
        <v>657</v>
      </c>
      <c r="J772" s="71">
        <v>7</v>
      </c>
      <c r="K772" s="71" t="s">
        <v>439</v>
      </c>
      <c r="L772" s="71" t="s">
        <v>3884</v>
      </c>
      <c r="M772" s="71" t="s">
        <v>3885</v>
      </c>
      <c r="N772" s="71">
        <v>96443022904</v>
      </c>
      <c r="Q772" s="71">
        <v>0</v>
      </c>
      <c r="R772" s="71" t="s">
        <v>2700</v>
      </c>
      <c r="S772" s="71" t="s">
        <v>2701</v>
      </c>
      <c r="T772" s="71" t="s">
        <v>2269</v>
      </c>
    </row>
    <row r="773" spans="1:20" x14ac:dyDescent="0.3">
      <c r="A773" s="72">
        <f>IFERROR(VLOOKUP($G773,Conf!$B:$C,2,0),E773)</f>
        <v>8</v>
      </c>
      <c r="B773" s="72" t="str">
        <f ca="1">IF(D773="Inativo","Inativo",VLOOKUP($S773,Conf!$K:$M,2,0))</f>
        <v>LIMPEZA</v>
      </c>
      <c r="C773" s="72" t="str">
        <f ca="1">IF(D773="Inativo","Inativo",IFERROR(VLOOKUP($G773,Conf!$F$19:$G$39,2,0),VLOOKUP($S773,Conf!$K:$M,3,0)))</f>
        <v>ZELADOR(A)</v>
      </c>
      <c r="D773" s="72" t="str">
        <f ca="1">IFERROR(IF(TODAY()-K773&gt;365,"Inativo",IF(J773=2,"Férias",IF(J773=7,"Demitido","Afastamento"))),VLOOKUP(J773,Conf!$H:$I,2,0))</f>
        <v>Ativos</v>
      </c>
      <c r="E773" s="71">
        <v>8</v>
      </c>
      <c r="F773" s="71">
        <v>310</v>
      </c>
      <c r="G773" s="71" t="s">
        <v>2704</v>
      </c>
      <c r="H773" s="71">
        <v>1069</v>
      </c>
      <c r="I773" s="71" t="s">
        <v>657</v>
      </c>
      <c r="J773" s="71">
        <v>1</v>
      </c>
      <c r="K773" s="71" t="s">
        <v>223</v>
      </c>
      <c r="L773" s="71" t="s">
        <v>2705</v>
      </c>
      <c r="M773" s="71" t="s">
        <v>2706</v>
      </c>
      <c r="N773" s="71">
        <v>5472340829</v>
      </c>
      <c r="O773" s="71" t="s">
        <v>245</v>
      </c>
      <c r="P773" s="71" t="s">
        <v>246</v>
      </c>
      <c r="Q773" s="71">
        <v>0</v>
      </c>
      <c r="R773" s="71" t="s">
        <v>2700</v>
      </c>
      <c r="S773" s="71" t="s">
        <v>2701</v>
      </c>
      <c r="T773" s="71" t="s">
        <v>2269</v>
      </c>
    </row>
    <row r="774" spans="1:20" x14ac:dyDescent="0.3">
      <c r="A774" s="72">
        <f>IFERROR(VLOOKUP($G774,Conf!$B:$C,2,0),E774)</f>
        <v>8</v>
      </c>
      <c r="B774" s="72" t="str">
        <f ca="1">IF(D774="Inativo","Inativo",VLOOKUP($S774,Conf!$K:$M,2,0))</f>
        <v>LIMPEZA</v>
      </c>
      <c r="C774" s="72" t="str">
        <f ca="1">IF(D774="Inativo","Inativo",IFERROR(VLOOKUP($G774,Conf!$F$19:$G$39,2,0),VLOOKUP($S774,Conf!$K:$M,3,0)))</f>
        <v>ZELADOR(A)</v>
      </c>
      <c r="D774" s="72" t="str">
        <f ca="1">IFERROR(IF(TODAY()-K774&gt;365,"Inativo",IF(J774=2,"Férias",IF(J774=7,"Demitido","Afastamento"))),VLOOKUP(J774,Conf!$H:$I,2,0))</f>
        <v>Demitido</v>
      </c>
      <c r="E774" s="71">
        <v>8</v>
      </c>
      <c r="F774" s="71">
        <v>244</v>
      </c>
      <c r="G774" s="71" t="s">
        <v>3898</v>
      </c>
      <c r="H774" s="71">
        <v>71</v>
      </c>
      <c r="I774" s="71" t="s">
        <v>1844</v>
      </c>
      <c r="J774" s="71">
        <v>7</v>
      </c>
      <c r="K774" s="71" t="s">
        <v>3899</v>
      </c>
      <c r="L774" s="71" t="s">
        <v>3900</v>
      </c>
      <c r="M774" s="71" t="s">
        <v>1355</v>
      </c>
      <c r="N774" s="71">
        <v>48488526920</v>
      </c>
      <c r="Q774" s="71">
        <v>0</v>
      </c>
      <c r="R774" s="71" t="s">
        <v>2700</v>
      </c>
      <c r="S774" s="71" t="s">
        <v>2701</v>
      </c>
      <c r="T774" s="71" t="s">
        <v>2269</v>
      </c>
    </row>
    <row r="775" spans="1:20" x14ac:dyDescent="0.3">
      <c r="A775" s="72">
        <f>IFERROR(VLOOKUP($G775,Conf!$B:$C,2,0),E775)</f>
        <v>8</v>
      </c>
      <c r="B775" s="72" t="str">
        <f ca="1">IF(D775="Inativo","Inativo",VLOOKUP($S775,Conf!$K:$M,2,0))</f>
        <v>LIMPEZA</v>
      </c>
      <c r="C775" s="72" t="str">
        <f ca="1">IF(D775="Inativo","Inativo",IFERROR(VLOOKUP($G775,Conf!$F$19:$G$39,2,0),VLOOKUP($S775,Conf!$K:$M,3,0)))</f>
        <v>ZELADOR(A)</v>
      </c>
      <c r="D775" s="72" t="str">
        <f ca="1">IFERROR(IF(TODAY()-K775&gt;365,"Inativo",IF(J775=2,"Férias",IF(J775=7,"Demitido","Afastamento"))),VLOOKUP(J775,Conf!$H:$I,2,0))</f>
        <v>Demitido</v>
      </c>
      <c r="E775" s="71">
        <v>8</v>
      </c>
      <c r="F775" s="71">
        <v>265</v>
      </c>
      <c r="G775" s="71" t="s">
        <v>3762</v>
      </c>
      <c r="H775" s="71">
        <v>1070</v>
      </c>
      <c r="I775" s="71" t="s">
        <v>657</v>
      </c>
      <c r="J775" s="71">
        <v>7</v>
      </c>
      <c r="K775" s="71" t="s">
        <v>3763</v>
      </c>
      <c r="L775" s="71" t="s">
        <v>3764</v>
      </c>
      <c r="M775" s="71" t="s">
        <v>671</v>
      </c>
      <c r="N775" s="71">
        <v>11616139277</v>
      </c>
      <c r="Q775" s="71">
        <v>0</v>
      </c>
      <c r="R775" s="71" t="s">
        <v>2700</v>
      </c>
      <c r="S775" s="71" t="s">
        <v>2701</v>
      </c>
      <c r="T775" s="71" t="s">
        <v>2269</v>
      </c>
    </row>
    <row r="776" spans="1:20" x14ac:dyDescent="0.3">
      <c r="A776" s="72">
        <f>IFERROR(VLOOKUP($G776,Conf!$B:$C,2,0),E776)</f>
        <v>8</v>
      </c>
      <c r="B776" s="72" t="str">
        <f ca="1">IF(D776="Inativo","Inativo",VLOOKUP($S776,Conf!$K:$M,2,0))</f>
        <v>LIMPEZA</v>
      </c>
      <c r="C776" s="72" t="str">
        <f ca="1">IF(D776="Inativo","Inativo",IFERROR(VLOOKUP($G776,Conf!$F$19:$G$39,2,0),VLOOKUP($S776,Conf!$K:$M,3,0)))</f>
        <v>ZELADOR(A)</v>
      </c>
      <c r="D776" s="72" t="str">
        <f ca="1">IFERROR(IF(TODAY()-K776&gt;365,"Inativo",IF(J776=2,"Férias",IF(J776=7,"Demitido","Afastamento"))),VLOOKUP(J776,Conf!$H:$I,2,0))</f>
        <v>Ativos</v>
      </c>
      <c r="E776" s="71">
        <v>8</v>
      </c>
      <c r="F776" s="71">
        <v>337</v>
      </c>
      <c r="G776" s="71" t="s">
        <v>2707</v>
      </c>
      <c r="H776" s="71">
        <v>189</v>
      </c>
      <c r="I776" s="71" t="s">
        <v>799</v>
      </c>
      <c r="J776" s="71">
        <v>1</v>
      </c>
      <c r="K776" s="71" t="s">
        <v>223</v>
      </c>
      <c r="L776" s="71" t="s">
        <v>2708</v>
      </c>
      <c r="M776" s="71" t="s">
        <v>834</v>
      </c>
      <c r="N776" s="71">
        <v>4295194948</v>
      </c>
      <c r="O776" s="71" t="s">
        <v>245</v>
      </c>
      <c r="P776" s="71" t="s">
        <v>246</v>
      </c>
      <c r="Q776" s="71">
        <v>0</v>
      </c>
      <c r="R776" s="71" t="s">
        <v>2700</v>
      </c>
      <c r="S776" s="71" t="s">
        <v>2701</v>
      </c>
      <c r="T776" s="71" t="s">
        <v>2269</v>
      </c>
    </row>
    <row r="777" spans="1:20" x14ac:dyDescent="0.3">
      <c r="A777" s="72">
        <f>IFERROR(VLOOKUP($G777,Conf!$B:$C,2,0),E777)</f>
        <v>8</v>
      </c>
      <c r="B777" s="72" t="str">
        <f ca="1">IF(D777="Inativo","Inativo",VLOOKUP($S777,Conf!$K:$M,2,0))</f>
        <v>LIMPEZA</v>
      </c>
      <c r="C777" s="72" t="str">
        <f ca="1">IF(D777="Inativo","Inativo",IFERROR(VLOOKUP($G777,Conf!$F$19:$G$39,2,0),VLOOKUP($S777,Conf!$K:$M,3,0)))</f>
        <v>ZELADOR(A)</v>
      </c>
      <c r="D777" s="72" t="str">
        <f ca="1">IFERROR(IF(TODAY()-K777&gt;365,"Inativo",IF(J777=2,"Férias",IF(J777=7,"Demitido","Afastamento"))),VLOOKUP(J777,Conf!$H:$I,2,0))</f>
        <v>Férias</v>
      </c>
      <c r="E777" s="71">
        <v>8</v>
      </c>
      <c r="F777" s="71">
        <v>53</v>
      </c>
      <c r="G777" s="71" t="s">
        <v>2709</v>
      </c>
      <c r="H777" s="71">
        <v>1082</v>
      </c>
      <c r="I777" s="71" t="s">
        <v>772</v>
      </c>
      <c r="J777" s="71">
        <v>2</v>
      </c>
      <c r="K777" s="71" t="s">
        <v>471</v>
      </c>
      <c r="L777" s="71" t="s">
        <v>2710</v>
      </c>
      <c r="M777" s="71" t="s">
        <v>2711</v>
      </c>
      <c r="N777" s="71">
        <v>2022143973</v>
      </c>
      <c r="Q777" s="71">
        <v>0</v>
      </c>
      <c r="R777" s="71" t="s">
        <v>2700</v>
      </c>
      <c r="S777" s="71" t="s">
        <v>2701</v>
      </c>
      <c r="T777" s="71" t="s">
        <v>2269</v>
      </c>
    </row>
    <row r="778" spans="1:20" x14ac:dyDescent="0.3">
      <c r="A778" s="72">
        <f>IFERROR(VLOOKUP($G778,Conf!$B:$C,2,0),E778)</f>
        <v>8</v>
      </c>
      <c r="B778" s="72" t="str">
        <f ca="1">IF(D778="Inativo","Inativo",VLOOKUP($S778,Conf!$K:$M,2,0))</f>
        <v>LOJA</v>
      </c>
      <c r="C778" s="72" t="str">
        <f ca="1">IF(D778="Inativo","Inativo",IFERROR(VLOOKUP($G778,Conf!$F$19:$G$39,2,0),VLOOKUP($S778,Conf!$K:$M,3,0)))</f>
        <v>APRENDIZ</v>
      </c>
      <c r="D778" s="72" t="str">
        <f ca="1">IFERROR(IF(TODAY()-K778&gt;365,"Inativo",IF(J778=2,"Férias",IF(J778=7,"Demitido","Afastamento"))),VLOOKUP(J778,Conf!$H:$I,2,0))</f>
        <v>Ativos</v>
      </c>
      <c r="E778" s="71">
        <v>8</v>
      </c>
      <c r="F778" s="71">
        <v>2374</v>
      </c>
      <c r="G778" s="71" t="s">
        <v>2712</v>
      </c>
      <c r="H778" s="71">
        <v>1124</v>
      </c>
      <c r="I778" s="71" t="s">
        <v>2713</v>
      </c>
      <c r="J778" s="71">
        <v>1</v>
      </c>
      <c r="K778" s="71" t="s">
        <v>223</v>
      </c>
      <c r="L778" s="71" t="s">
        <v>2714</v>
      </c>
      <c r="M778" s="71" t="s">
        <v>439</v>
      </c>
      <c r="N778" s="71">
        <v>12315595940</v>
      </c>
      <c r="O778" s="71" t="s">
        <v>245</v>
      </c>
      <c r="P778" s="71" t="s">
        <v>246</v>
      </c>
      <c r="Q778" s="71">
        <v>0</v>
      </c>
      <c r="R778" s="71" t="s">
        <v>2715</v>
      </c>
      <c r="S778" s="71" t="s">
        <v>22</v>
      </c>
      <c r="T778" s="71" t="s">
        <v>2716</v>
      </c>
    </row>
    <row r="779" spans="1:20" x14ac:dyDescent="0.3">
      <c r="A779" s="72">
        <f>IFERROR(VLOOKUP($G779,Conf!$B:$C,2,0),E779)</f>
        <v>8</v>
      </c>
      <c r="B779" s="72" t="str">
        <f ca="1">IF(D779="Inativo","Inativo",VLOOKUP($S779,Conf!$K:$M,2,0))</f>
        <v>LOJA</v>
      </c>
      <c r="C779" s="72" t="str">
        <f ca="1">IF(D779="Inativo","Inativo",IFERROR(VLOOKUP($G779,Conf!$F$19:$G$39,2,0),VLOOKUP($S779,Conf!$K:$M,3,0)))</f>
        <v>APRENDIZ</v>
      </c>
      <c r="D779" s="72" t="str">
        <f ca="1">IFERROR(IF(TODAY()-K779&gt;365,"Inativo",IF(J779=2,"Férias",IF(J779=7,"Demitido","Afastamento"))),VLOOKUP(J779,Conf!$H:$I,2,0))</f>
        <v>Ativos</v>
      </c>
      <c r="E779" s="71">
        <v>8</v>
      </c>
      <c r="F779" s="71">
        <v>2376</v>
      </c>
      <c r="G779" s="71" t="s">
        <v>2717</v>
      </c>
      <c r="H779" s="71">
        <v>1124</v>
      </c>
      <c r="I779" s="71" t="s">
        <v>2713</v>
      </c>
      <c r="J779" s="71">
        <v>1</v>
      </c>
      <c r="K779" s="71" t="s">
        <v>223</v>
      </c>
      <c r="L779" s="71" t="s">
        <v>2718</v>
      </c>
      <c r="M779" s="71" t="s">
        <v>439</v>
      </c>
      <c r="N779" s="71">
        <v>14553009935</v>
      </c>
      <c r="O779" s="71" t="s">
        <v>245</v>
      </c>
      <c r="P779" s="71" t="s">
        <v>246</v>
      </c>
      <c r="Q779" s="71">
        <v>0</v>
      </c>
      <c r="R779" s="71" t="s">
        <v>2715</v>
      </c>
      <c r="S779" s="71" t="s">
        <v>22</v>
      </c>
      <c r="T779" s="71" t="s">
        <v>2716</v>
      </c>
    </row>
    <row r="780" spans="1:20" x14ac:dyDescent="0.3">
      <c r="A780" s="72">
        <f>IFERROR(VLOOKUP($G780,Conf!$B:$C,2,0),E780)</f>
        <v>8</v>
      </c>
      <c r="B780" s="72" t="str">
        <f ca="1">IF(D780="Inativo","Inativo",VLOOKUP($S780,Conf!$K:$M,2,0))</f>
        <v>LOJA</v>
      </c>
      <c r="C780" s="72" t="str">
        <f ca="1">IF(D780="Inativo","Inativo",IFERROR(VLOOKUP($G780,Conf!$F$19:$G$39,2,0),VLOOKUP($S780,Conf!$K:$M,3,0)))</f>
        <v>CARTAZISTA</v>
      </c>
      <c r="D780" s="72" t="str">
        <f ca="1">IFERROR(IF(TODAY()-K780&gt;365,"Inativo",IF(J780=2,"Férias",IF(J780=7,"Demitido","Afastamento"))),VLOOKUP(J780,Conf!$H:$I,2,0))</f>
        <v>Ativos</v>
      </c>
      <c r="E780" s="71">
        <v>8</v>
      </c>
      <c r="F780" s="71">
        <v>178</v>
      </c>
      <c r="G780" s="71" t="s">
        <v>2719</v>
      </c>
      <c r="H780" s="71">
        <v>141</v>
      </c>
      <c r="I780" s="71" t="s">
        <v>238</v>
      </c>
      <c r="J780" s="71">
        <v>1</v>
      </c>
      <c r="K780" s="71" t="s">
        <v>223</v>
      </c>
      <c r="L780" s="71" t="s">
        <v>2720</v>
      </c>
      <c r="M780" s="71" t="s">
        <v>2644</v>
      </c>
      <c r="N780" s="71">
        <v>15178922956</v>
      </c>
      <c r="Q780" s="71">
        <v>0</v>
      </c>
      <c r="R780" s="71" t="s">
        <v>2721</v>
      </c>
      <c r="S780" s="71" t="s">
        <v>2722</v>
      </c>
      <c r="T780" s="71" t="s">
        <v>2434</v>
      </c>
    </row>
    <row r="781" spans="1:20" x14ac:dyDescent="0.3">
      <c r="A781" s="72">
        <f>IFERROR(VLOOKUP($G781,Conf!$B:$C,2,0),E781)</f>
        <v>8</v>
      </c>
      <c r="B781" s="72" t="str">
        <f ca="1">IF(D781="Inativo","Inativo",VLOOKUP($S781,Conf!$K:$M,2,0))</f>
        <v>LOJA</v>
      </c>
      <c r="C781" s="72" t="str">
        <f ca="1">IF(D781="Inativo","Inativo",IFERROR(VLOOKUP($G781,Conf!$F$19:$G$39,2,0),VLOOKUP($S781,Conf!$K:$M,3,0)))</f>
        <v>GERENTE</v>
      </c>
      <c r="D781" s="72" t="str">
        <f ca="1">IFERROR(IF(TODAY()-K781&gt;365,"Inativo",IF(J781=2,"Férias",IF(J781=7,"Demitido","Afastamento"))),VLOOKUP(J781,Conf!$H:$I,2,0))</f>
        <v>Ativos</v>
      </c>
      <c r="E781" s="71">
        <v>8</v>
      </c>
      <c r="F781" s="71">
        <v>283</v>
      </c>
      <c r="G781" s="71" t="s">
        <v>2723</v>
      </c>
      <c r="H781" s="71">
        <v>1070</v>
      </c>
      <c r="I781" s="71" t="s">
        <v>657</v>
      </c>
      <c r="J781" s="71">
        <v>1</v>
      </c>
      <c r="K781" s="71" t="s">
        <v>223</v>
      </c>
      <c r="L781" s="71" t="s">
        <v>2724</v>
      </c>
      <c r="M781" s="71" t="s">
        <v>1317</v>
      </c>
      <c r="N781" s="71">
        <v>8475074910</v>
      </c>
      <c r="Q781" s="71">
        <v>0</v>
      </c>
      <c r="R781" s="71" t="s">
        <v>2725</v>
      </c>
      <c r="S781" s="71" t="s">
        <v>2726</v>
      </c>
      <c r="T781" s="71" t="s">
        <v>395</v>
      </c>
    </row>
    <row r="782" spans="1:20" x14ac:dyDescent="0.3">
      <c r="A782" s="72">
        <f>IFERROR(VLOOKUP($G782,Conf!$B:$C,2,0),E782)</f>
        <v>8</v>
      </c>
      <c r="B782" s="72" t="str">
        <f ca="1">IF(D782="Inativo","Inativo",VLOOKUP($S782,Conf!$K:$M,2,0))</f>
        <v>LOJA</v>
      </c>
      <c r="C782" s="72" t="str">
        <f ca="1">IF(D782="Inativo","Inativo",IFERROR(VLOOKUP($G782,Conf!$F$19:$G$39,2,0),VLOOKUP($S782,Conf!$K:$M,3,0)))</f>
        <v>GERENTE</v>
      </c>
      <c r="D782" s="72" t="str">
        <f ca="1">IFERROR(IF(TODAY()-K782&gt;365,"Inativo",IF(J782=2,"Férias",IF(J782=7,"Demitido","Afastamento"))),VLOOKUP(J782,Conf!$H:$I,2,0))</f>
        <v>Ativos</v>
      </c>
      <c r="E782" s="71">
        <v>8</v>
      </c>
      <c r="F782" s="71">
        <v>222</v>
      </c>
      <c r="G782" s="71" t="s">
        <v>2727</v>
      </c>
      <c r="H782" s="71">
        <v>1067</v>
      </c>
      <c r="I782" s="71" t="s">
        <v>657</v>
      </c>
      <c r="J782" s="71">
        <v>1</v>
      </c>
      <c r="K782" s="71" t="s">
        <v>223</v>
      </c>
      <c r="L782" s="71" t="s">
        <v>2728</v>
      </c>
      <c r="M782" s="71" t="s">
        <v>2729</v>
      </c>
      <c r="N782" s="71">
        <v>71154582949</v>
      </c>
      <c r="Q782" s="71">
        <v>0</v>
      </c>
      <c r="R782" s="71" t="s">
        <v>2725</v>
      </c>
      <c r="S782" s="71" t="s">
        <v>2726</v>
      </c>
      <c r="T782" s="71" t="s">
        <v>395</v>
      </c>
    </row>
    <row r="783" spans="1:20" x14ac:dyDescent="0.3">
      <c r="A783" s="72">
        <f>IFERROR(VLOOKUP($G783,Conf!$B:$C,2,0),E783)</f>
        <v>8</v>
      </c>
      <c r="B783" s="72" t="str">
        <f ca="1">IF(D783="Inativo","Inativo",VLOOKUP($S783,Conf!$K:$M,2,0))</f>
        <v>LOJA</v>
      </c>
      <c r="C783" s="72" t="str">
        <f ca="1">IF(D783="Inativo","Inativo",IFERROR(VLOOKUP($G783,Conf!$F$19:$G$39,2,0),VLOOKUP($S783,Conf!$K:$M,3,0)))</f>
        <v>GERENTE</v>
      </c>
      <c r="D783" s="72" t="str">
        <f ca="1">IFERROR(IF(TODAY()-K783&gt;365,"Inativo",IF(J783=2,"Férias",IF(J783=7,"Demitido","Afastamento"))),VLOOKUP(J783,Conf!$H:$I,2,0))</f>
        <v>Demitido</v>
      </c>
      <c r="E783" s="71">
        <v>8</v>
      </c>
      <c r="F783" s="71">
        <v>163</v>
      </c>
      <c r="G783" s="71" t="s">
        <v>3800</v>
      </c>
      <c r="H783" s="71">
        <v>1070</v>
      </c>
      <c r="I783" s="71" t="s">
        <v>657</v>
      </c>
      <c r="J783" s="71">
        <v>7</v>
      </c>
      <c r="K783" s="71" t="s">
        <v>2360</v>
      </c>
      <c r="L783" s="71" t="s">
        <v>3801</v>
      </c>
      <c r="M783" s="71" t="s">
        <v>3802</v>
      </c>
      <c r="N783" s="71">
        <v>3181343226</v>
      </c>
      <c r="Q783" s="71">
        <v>0</v>
      </c>
      <c r="R783" s="71" t="s">
        <v>2725</v>
      </c>
      <c r="S783" s="71" t="s">
        <v>2726</v>
      </c>
      <c r="T783" s="71" t="s">
        <v>395</v>
      </c>
    </row>
    <row r="784" spans="1:20" x14ac:dyDescent="0.3">
      <c r="A784" s="72">
        <f>IFERROR(VLOOKUP($G784,Conf!$B:$C,2,0),E784)</f>
        <v>8</v>
      </c>
      <c r="B784" s="72" t="str">
        <f ca="1">IF(D784="Inativo","Inativo",VLOOKUP($S784,Conf!$K:$M,2,0))</f>
        <v>LOJA</v>
      </c>
      <c r="C784" s="72" t="str">
        <f ca="1">IF(D784="Inativo","Inativo",IFERROR(VLOOKUP($G784,Conf!$F$19:$G$39,2,0),VLOOKUP($S784,Conf!$K:$M,3,0)))</f>
        <v>REPOSITOR</v>
      </c>
      <c r="D784" s="72" t="str">
        <f ca="1">IFERROR(IF(TODAY()-K784&gt;365,"Inativo",IF(J784=2,"Férias",IF(J784=7,"Demitido","Afastamento"))),VLOOKUP(J784,Conf!$H:$I,2,0))</f>
        <v>Demitido</v>
      </c>
      <c r="E784" s="71">
        <v>8</v>
      </c>
      <c r="F784" s="71">
        <v>259</v>
      </c>
      <c r="G784" s="71" t="s">
        <v>3745</v>
      </c>
      <c r="H784" s="71">
        <v>1069</v>
      </c>
      <c r="I784" s="71" t="s">
        <v>657</v>
      </c>
      <c r="J784" s="71">
        <v>7</v>
      </c>
      <c r="K784" s="71" t="s">
        <v>3746</v>
      </c>
      <c r="L784" s="71" t="s">
        <v>3747</v>
      </c>
      <c r="M784" s="71" t="s">
        <v>3748</v>
      </c>
      <c r="N784" s="71">
        <v>12762039932</v>
      </c>
      <c r="Q784" s="71">
        <v>0</v>
      </c>
      <c r="R784" s="71" t="s">
        <v>2736</v>
      </c>
      <c r="S784" s="71" t="s">
        <v>2737</v>
      </c>
      <c r="T784" s="71" t="s">
        <v>405</v>
      </c>
    </row>
    <row r="785" spans="1:20" x14ac:dyDescent="0.3">
      <c r="A785" s="72">
        <f>IFERROR(VLOOKUP($G785,Conf!$B:$C,2,0),E785)</f>
        <v>8</v>
      </c>
      <c r="B785" s="72" t="str">
        <f ca="1">IF(D785="Inativo","Inativo",VLOOKUP($S785,Conf!$K:$M,2,0))</f>
        <v>LOJA</v>
      </c>
      <c r="C785" s="72" t="str">
        <f ca="1">IF(D785="Inativo","Inativo",IFERROR(VLOOKUP($G785,Conf!$F$19:$G$39,2,0),VLOOKUP($S785,Conf!$K:$M,3,0)))</f>
        <v>REPOSITOR</v>
      </c>
      <c r="D785" s="72" t="str">
        <f ca="1">IFERROR(IF(TODAY()-K785&gt;365,"Inativo",IF(J785=2,"Férias",IF(J785=7,"Demitido","Afastamento"))),VLOOKUP(J785,Conf!$H:$I,2,0))</f>
        <v>Demitido</v>
      </c>
      <c r="E785" s="71">
        <v>8</v>
      </c>
      <c r="F785" s="71">
        <v>327</v>
      </c>
      <c r="G785" s="71" t="s">
        <v>3915</v>
      </c>
      <c r="H785" s="71">
        <v>988</v>
      </c>
      <c r="I785" s="71" t="s">
        <v>657</v>
      </c>
      <c r="J785" s="71">
        <v>7</v>
      </c>
      <c r="K785" s="71" t="s">
        <v>411</v>
      </c>
      <c r="L785" s="71" t="s">
        <v>3916</v>
      </c>
      <c r="M785" s="71" t="s">
        <v>1523</v>
      </c>
      <c r="N785" s="71">
        <v>23865217885</v>
      </c>
      <c r="O785" s="71" t="s">
        <v>245</v>
      </c>
      <c r="P785" s="71" t="s">
        <v>246</v>
      </c>
      <c r="Q785" s="71">
        <v>0</v>
      </c>
      <c r="R785" s="71" t="s">
        <v>2736</v>
      </c>
      <c r="S785" s="71" t="s">
        <v>2737</v>
      </c>
      <c r="T785" s="71" t="s">
        <v>405</v>
      </c>
    </row>
    <row r="786" spans="1:20" x14ac:dyDescent="0.3">
      <c r="A786" s="72">
        <f>IFERROR(VLOOKUP($G786,Conf!$B:$C,2,0),E786)</f>
        <v>8</v>
      </c>
      <c r="B786" s="72" t="str">
        <f ca="1">IF(D786="Inativo","Inativo",VLOOKUP($S786,Conf!$K:$M,2,0))</f>
        <v>LOJA</v>
      </c>
      <c r="C786" s="72" t="str">
        <f ca="1">IF(D786="Inativo","Inativo",IFERROR(VLOOKUP($G786,Conf!$F$19:$G$39,2,0),VLOOKUP($S786,Conf!$K:$M,3,0)))</f>
        <v>REPOSITOR</v>
      </c>
      <c r="D786" s="72" t="str">
        <f ca="1">IFERROR(IF(TODAY()-K786&gt;365,"Inativo",IF(J786=2,"Férias",IF(J786=7,"Demitido","Afastamento"))),VLOOKUP(J786,Conf!$H:$I,2,0))</f>
        <v>Demitido</v>
      </c>
      <c r="E786" s="71">
        <v>8</v>
      </c>
      <c r="F786" s="71">
        <v>305</v>
      </c>
      <c r="G786" s="71" t="s">
        <v>3888</v>
      </c>
      <c r="H786" s="71">
        <v>71</v>
      </c>
      <c r="I786" s="71" t="s">
        <v>1844</v>
      </c>
      <c r="J786" s="71">
        <v>7</v>
      </c>
      <c r="K786" s="71" t="s">
        <v>3889</v>
      </c>
      <c r="L786" s="71" t="s">
        <v>3890</v>
      </c>
      <c r="M786" s="71" t="s">
        <v>758</v>
      </c>
      <c r="N786" s="71">
        <v>8335797110</v>
      </c>
      <c r="O786" s="71" t="s">
        <v>245</v>
      </c>
      <c r="P786" s="71" t="s">
        <v>246</v>
      </c>
      <c r="Q786" s="71">
        <v>0</v>
      </c>
      <c r="R786" s="71" t="s">
        <v>2736</v>
      </c>
      <c r="S786" s="71" t="s">
        <v>2737</v>
      </c>
      <c r="T786" s="71" t="s">
        <v>405</v>
      </c>
    </row>
    <row r="787" spans="1:20" x14ac:dyDescent="0.3">
      <c r="A787" s="72">
        <f>IFERROR(VLOOKUP($G787,Conf!$B:$C,2,0),E787)</f>
        <v>8</v>
      </c>
      <c r="B787" s="72" t="str">
        <f ca="1">IF(D787="Inativo","Inativo",VLOOKUP($S787,Conf!$K:$M,2,0))</f>
        <v>LOJA</v>
      </c>
      <c r="C787" s="72" t="str">
        <f ca="1">IF(D787="Inativo","Inativo",IFERROR(VLOOKUP($G787,Conf!$F$19:$G$39,2,0),VLOOKUP($S787,Conf!$K:$M,3,0)))</f>
        <v>REPOSITOR</v>
      </c>
      <c r="D787" s="72" t="str">
        <f ca="1">IFERROR(IF(TODAY()-K787&gt;365,"Inativo",IF(J787=2,"Férias",IF(J787=7,"Demitido","Afastamento"))),VLOOKUP(J787,Conf!$H:$I,2,0))</f>
        <v>Ativos</v>
      </c>
      <c r="E787" s="71">
        <v>8</v>
      </c>
      <c r="F787" s="71">
        <v>333</v>
      </c>
      <c r="G787" s="71" t="s">
        <v>2734</v>
      </c>
      <c r="H787" s="71">
        <v>988</v>
      </c>
      <c r="I787" s="71" t="s">
        <v>657</v>
      </c>
      <c r="J787" s="71">
        <v>1</v>
      </c>
      <c r="K787" s="71" t="s">
        <v>223</v>
      </c>
      <c r="L787" s="71" t="s">
        <v>2735</v>
      </c>
      <c r="M787" s="71" t="s">
        <v>423</v>
      </c>
      <c r="N787" s="71">
        <v>56640531860</v>
      </c>
      <c r="O787" s="71" t="s">
        <v>245</v>
      </c>
      <c r="P787" s="71" t="s">
        <v>246</v>
      </c>
      <c r="Q787" s="71">
        <v>0</v>
      </c>
      <c r="R787" s="71" t="s">
        <v>2736</v>
      </c>
      <c r="S787" s="71" t="s">
        <v>2737</v>
      </c>
      <c r="T787" s="71" t="s">
        <v>405</v>
      </c>
    </row>
    <row r="788" spans="1:20" x14ac:dyDescent="0.3">
      <c r="A788" s="72">
        <f>IFERROR(VLOOKUP($G788,Conf!$B:$C,2,0),E788)</f>
        <v>8</v>
      </c>
      <c r="B788" s="72" t="str">
        <f ca="1">IF(D788="Inativo","Inativo",VLOOKUP($S788,Conf!$K:$M,2,0))</f>
        <v>LOJA</v>
      </c>
      <c r="C788" s="72" t="str">
        <f ca="1">IF(D788="Inativo","Inativo",IFERROR(VLOOKUP($G788,Conf!$F$19:$G$39,2,0),VLOOKUP($S788,Conf!$K:$M,3,0)))</f>
        <v>REPOSITOR</v>
      </c>
      <c r="D788" s="72" t="str">
        <f ca="1">IFERROR(IF(TODAY()-K788&gt;365,"Inativo",IF(J788=2,"Férias",IF(J788=7,"Demitido","Afastamento"))),VLOOKUP(J788,Conf!$H:$I,2,0))</f>
        <v>Demitido</v>
      </c>
      <c r="E788" s="71">
        <v>8</v>
      </c>
      <c r="F788" s="71">
        <v>287</v>
      </c>
      <c r="G788" s="71" t="s">
        <v>3865</v>
      </c>
      <c r="H788" s="71">
        <v>1067</v>
      </c>
      <c r="I788" s="71" t="s">
        <v>657</v>
      </c>
      <c r="J788" s="71">
        <v>7</v>
      </c>
      <c r="K788" s="71" t="s">
        <v>1804</v>
      </c>
      <c r="L788" s="71" t="s">
        <v>3866</v>
      </c>
      <c r="M788" s="71" t="s">
        <v>680</v>
      </c>
      <c r="N788" s="71">
        <v>46996697867</v>
      </c>
      <c r="Q788" s="71">
        <v>0</v>
      </c>
      <c r="R788" s="71" t="s">
        <v>2736</v>
      </c>
      <c r="S788" s="71" t="s">
        <v>2737</v>
      </c>
      <c r="T788" s="71" t="s">
        <v>405</v>
      </c>
    </row>
    <row r="789" spans="1:20" x14ac:dyDescent="0.3">
      <c r="A789" s="72">
        <f>IFERROR(VLOOKUP($G789,Conf!$B:$C,2,0),E789)</f>
        <v>8</v>
      </c>
      <c r="B789" s="72" t="str">
        <f ca="1">IF(D789="Inativo","Inativo",VLOOKUP($S789,Conf!$K:$M,2,0))</f>
        <v>LOJA</v>
      </c>
      <c r="C789" s="72" t="str">
        <f ca="1">IF(D789="Inativo","Inativo",IFERROR(VLOOKUP($G789,Conf!$F$19:$G$39,2,0),VLOOKUP($S789,Conf!$K:$M,3,0)))</f>
        <v>REPOSITOR</v>
      </c>
      <c r="D789" s="72" t="str">
        <f ca="1">IFERROR(IF(TODAY()-K789&gt;365,"Inativo",IF(J789=2,"Férias",IF(J789=7,"Demitido","Afastamento"))),VLOOKUP(J789,Conf!$H:$I,2,0))</f>
        <v>Ativos</v>
      </c>
      <c r="E789" s="71">
        <v>8</v>
      </c>
      <c r="F789" s="71">
        <v>334</v>
      </c>
      <c r="G789" s="71" t="s">
        <v>2738</v>
      </c>
      <c r="H789" s="71">
        <v>988</v>
      </c>
      <c r="I789" s="71" t="s">
        <v>657</v>
      </c>
      <c r="J789" s="71">
        <v>1</v>
      </c>
      <c r="K789" s="71" t="s">
        <v>223</v>
      </c>
      <c r="L789" s="71" t="s">
        <v>2739</v>
      </c>
      <c r="M789" s="71" t="s">
        <v>417</v>
      </c>
      <c r="N789" s="71">
        <v>13925379916</v>
      </c>
      <c r="O789" s="71" t="s">
        <v>245</v>
      </c>
      <c r="P789" s="71" t="s">
        <v>246</v>
      </c>
      <c r="Q789" s="71">
        <v>0</v>
      </c>
      <c r="R789" s="71" t="s">
        <v>2740</v>
      </c>
      <c r="S789" s="71" t="s">
        <v>2741</v>
      </c>
      <c r="T789" s="71" t="s">
        <v>2470</v>
      </c>
    </row>
    <row r="790" spans="1:20" x14ac:dyDescent="0.3">
      <c r="A790" s="72">
        <f>IFERROR(VLOOKUP($G790,Conf!$B:$C,2,0),E790)</f>
        <v>8</v>
      </c>
      <c r="B790" s="72" t="str">
        <f ca="1">IF(D790="Inativo","Inativo",VLOOKUP($S790,Conf!$K:$M,2,0))</f>
        <v>LOJA</v>
      </c>
      <c r="C790" s="72" t="str">
        <f ca="1">IF(D790="Inativo","Inativo",IFERROR(VLOOKUP($G790,Conf!$F$19:$G$39,2,0),VLOOKUP($S790,Conf!$K:$M,3,0)))</f>
        <v>REPOSITOR</v>
      </c>
      <c r="D790" s="72" t="str">
        <f ca="1">IFERROR(IF(TODAY()-K790&gt;365,"Inativo",IF(J790=2,"Férias",IF(J790=7,"Demitido","Afastamento"))),VLOOKUP(J790,Conf!$H:$I,2,0))</f>
        <v>Demitido</v>
      </c>
      <c r="E790" s="71">
        <v>8</v>
      </c>
      <c r="F790" s="71">
        <v>237</v>
      </c>
      <c r="G790" s="71" t="s">
        <v>3875</v>
      </c>
      <c r="H790" s="71">
        <v>1070</v>
      </c>
      <c r="I790" s="71" t="s">
        <v>657</v>
      </c>
      <c r="J790" s="71">
        <v>7</v>
      </c>
      <c r="K790" s="71" t="s">
        <v>1495</v>
      </c>
      <c r="L790" s="71" t="s">
        <v>3876</v>
      </c>
      <c r="M790" s="71" t="s">
        <v>3877</v>
      </c>
      <c r="N790" s="71">
        <v>4712862904</v>
      </c>
      <c r="Q790" s="71">
        <v>0</v>
      </c>
      <c r="R790" s="71" t="s">
        <v>2736</v>
      </c>
      <c r="S790" s="71" t="s">
        <v>2737</v>
      </c>
      <c r="T790" s="71" t="s">
        <v>405</v>
      </c>
    </row>
    <row r="791" spans="1:20" x14ac:dyDescent="0.3">
      <c r="A791" s="72">
        <f>IFERROR(VLOOKUP($G791,Conf!$B:$C,2,0),E791)</f>
        <v>8</v>
      </c>
      <c r="B791" s="72" t="str">
        <f ca="1">IF(D791="Inativo","Inativo",VLOOKUP($S791,Conf!$K:$M,2,0))</f>
        <v>LOJA</v>
      </c>
      <c r="C791" s="72" t="str">
        <f ca="1">IF(D791="Inativo","Inativo",IFERROR(VLOOKUP($G791,Conf!$F$19:$G$39,2,0),VLOOKUP($S791,Conf!$K:$M,3,0)))</f>
        <v>REPOSITOR</v>
      </c>
      <c r="D791" s="72" t="str">
        <f ca="1">IFERROR(IF(TODAY()-K791&gt;365,"Inativo",IF(J791=2,"Férias",IF(J791=7,"Demitido","Afastamento"))),VLOOKUP(J791,Conf!$H:$I,2,0))</f>
        <v>Ativos</v>
      </c>
      <c r="E791" s="71">
        <v>8</v>
      </c>
      <c r="F791" s="71">
        <v>326</v>
      </c>
      <c r="G791" s="71" t="s">
        <v>2742</v>
      </c>
      <c r="H791" s="71">
        <v>988</v>
      </c>
      <c r="I791" s="71" t="s">
        <v>657</v>
      </c>
      <c r="J791" s="71">
        <v>1</v>
      </c>
      <c r="K791" s="71" t="s">
        <v>223</v>
      </c>
      <c r="L791" s="71" t="s">
        <v>2743</v>
      </c>
      <c r="M791" s="71" t="s">
        <v>449</v>
      </c>
      <c r="N791" s="71">
        <v>10200050923</v>
      </c>
      <c r="O791" s="71" t="s">
        <v>245</v>
      </c>
      <c r="P791" s="71" t="s">
        <v>246</v>
      </c>
      <c r="Q791" s="71">
        <v>0</v>
      </c>
      <c r="R791" s="71" t="s">
        <v>2736</v>
      </c>
      <c r="S791" s="71" t="s">
        <v>2737</v>
      </c>
      <c r="T791" s="71" t="s">
        <v>405</v>
      </c>
    </row>
    <row r="792" spans="1:20" x14ac:dyDescent="0.3">
      <c r="A792" s="72">
        <f>IFERROR(VLOOKUP($G792,Conf!$B:$C,2,0),E792)</f>
        <v>8</v>
      </c>
      <c r="B792" s="72" t="str">
        <f ca="1">IF(D792="Inativo","Inativo",VLOOKUP($S792,Conf!$K:$M,2,0))</f>
        <v>LOJA</v>
      </c>
      <c r="C792" s="72" t="str">
        <f ca="1">IF(D792="Inativo","Inativo",IFERROR(VLOOKUP($G792,Conf!$F$19:$G$39,2,0),VLOOKUP($S792,Conf!$K:$M,3,0)))</f>
        <v>REPOSITOR</v>
      </c>
      <c r="D792" s="72" t="str">
        <f ca="1">IFERROR(IF(TODAY()-K792&gt;365,"Inativo",IF(J792=2,"Férias",IF(J792=7,"Demitido","Afastamento"))),VLOOKUP(J792,Conf!$H:$I,2,0))</f>
        <v>Ativos</v>
      </c>
      <c r="E792" s="71">
        <v>8</v>
      </c>
      <c r="F792" s="71">
        <v>325</v>
      </c>
      <c r="G792" s="71" t="s">
        <v>2744</v>
      </c>
      <c r="H792" s="71">
        <v>1066</v>
      </c>
      <c r="I792" s="71" t="s">
        <v>2513</v>
      </c>
      <c r="J792" s="71">
        <v>1</v>
      </c>
      <c r="K792" s="71" t="s">
        <v>223</v>
      </c>
      <c r="L792" s="71" t="s">
        <v>2745</v>
      </c>
      <c r="M792" s="71" t="s">
        <v>449</v>
      </c>
      <c r="N792" s="71">
        <v>53402420805</v>
      </c>
      <c r="O792" s="71" t="s">
        <v>245</v>
      </c>
      <c r="P792" s="71" t="s">
        <v>246</v>
      </c>
      <c r="Q792" s="71">
        <v>0</v>
      </c>
      <c r="R792" s="71" t="s">
        <v>2736</v>
      </c>
      <c r="S792" s="71" t="s">
        <v>2737</v>
      </c>
      <c r="T792" s="71" t="s">
        <v>405</v>
      </c>
    </row>
    <row r="793" spans="1:20" x14ac:dyDescent="0.3">
      <c r="A793" s="72">
        <f>IFERROR(VLOOKUP($G793,Conf!$B:$C,2,0),E793)</f>
        <v>8</v>
      </c>
      <c r="B793" s="72" t="str">
        <f ca="1">IF(D793="Inativo","Inativo",VLOOKUP($S793,Conf!$K:$M,2,0))</f>
        <v>LOJA</v>
      </c>
      <c r="C793" s="72" t="str">
        <f ca="1">IF(D793="Inativo","Inativo",IFERROR(VLOOKUP($G793,Conf!$F$19:$G$39,2,0),VLOOKUP($S793,Conf!$K:$M,3,0)))</f>
        <v>REPOSITOR</v>
      </c>
      <c r="D793" s="72" t="str">
        <f ca="1">IFERROR(IF(TODAY()-K793&gt;365,"Inativo",IF(J793=2,"Férias",IF(J793=7,"Demitido","Afastamento"))),VLOOKUP(J793,Conf!$H:$I,2,0))</f>
        <v>Demitido</v>
      </c>
      <c r="E793" s="71">
        <v>8</v>
      </c>
      <c r="F793" s="71">
        <v>297</v>
      </c>
      <c r="G793" s="71" t="s">
        <v>3828</v>
      </c>
      <c r="H793" s="71">
        <v>1066</v>
      </c>
      <c r="I793" s="71" t="s">
        <v>2513</v>
      </c>
      <c r="J793" s="71">
        <v>7</v>
      </c>
      <c r="K793" s="71" t="s">
        <v>1376</v>
      </c>
      <c r="L793" s="71" t="s">
        <v>3829</v>
      </c>
      <c r="M793" s="71" t="s">
        <v>2836</v>
      </c>
      <c r="N793" s="71">
        <v>10377648973</v>
      </c>
      <c r="Q793" s="71">
        <v>0</v>
      </c>
      <c r="R793" s="71" t="s">
        <v>2736</v>
      </c>
      <c r="S793" s="71" t="s">
        <v>2737</v>
      </c>
      <c r="T793" s="71" t="s">
        <v>405</v>
      </c>
    </row>
    <row r="794" spans="1:20" x14ac:dyDescent="0.3">
      <c r="A794" s="72">
        <f>IFERROR(VLOOKUP($G794,Conf!$B:$C,2,0),E794)</f>
        <v>8</v>
      </c>
      <c r="B794" s="72" t="str">
        <f ca="1">IF(D794="Inativo","Inativo",VLOOKUP($S794,Conf!$K:$M,2,0))</f>
        <v>LOJA</v>
      </c>
      <c r="C794" s="72" t="str">
        <f ca="1">IF(D794="Inativo","Inativo",IFERROR(VLOOKUP($G794,Conf!$F$19:$G$39,2,0),VLOOKUP($S794,Conf!$K:$M,3,0)))</f>
        <v>REPOSITOR</v>
      </c>
      <c r="D794" s="72" t="str">
        <f ca="1">IFERROR(IF(TODAY()-K794&gt;365,"Inativo",IF(J794=2,"Férias",IF(J794=7,"Demitido","Afastamento"))),VLOOKUP(J794,Conf!$H:$I,2,0))</f>
        <v>Demitido</v>
      </c>
      <c r="E794" s="71">
        <v>8</v>
      </c>
      <c r="F794" s="71">
        <v>288</v>
      </c>
      <c r="G794" s="71" t="s">
        <v>3821</v>
      </c>
      <c r="H794" s="71">
        <v>47</v>
      </c>
      <c r="I794" s="71" t="s">
        <v>222</v>
      </c>
      <c r="J794" s="71">
        <v>7</v>
      </c>
      <c r="K794" s="71" t="s">
        <v>1827</v>
      </c>
      <c r="L794" s="71" t="s">
        <v>3822</v>
      </c>
      <c r="M794" s="71" t="s">
        <v>680</v>
      </c>
      <c r="N794" s="71">
        <v>8362201100</v>
      </c>
      <c r="Q794" s="71">
        <v>0</v>
      </c>
      <c r="R794" s="71" t="s">
        <v>2736</v>
      </c>
      <c r="S794" s="71" t="s">
        <v>2737</v>
      </c>
      <c r="T794" s="71" t="s">
        <v>405</v>
      </c>
    </row>
    <row r="795" spans="1:20" x14ac:dyDescent="0.3">
      <c r="A795" s="72">
        <f>IFERROR(VLOOKUP($G795,Conf!$B:$C,2,0),E795)</f>
        <v>8</v>
      </c>
      <c r="B795" s="72" t="str">
        <f ca="1">IF(D795="Inativo","Inativo",VLOOKUP($S795,Conf!$K:$M,2,0))</f>
        <v>FRIOS</v>
      </c>
      <c r="C795" s="72" t="str">
        <f ca="1">IF(D795="Inativo","Inativo",IFERROR(VLOOKUP($G795,Conf!$F$19:$G$39,2,0),VLOOKUP($S795,Conf!$K:$M,3,0)))</f>
        <v>REPOSITOR</v>
      </c>
      <c r="D795" s="72" t="str">
        <f ca="1">IFERROR(IF(TODAY()-K795&gt;365,"Inativo",IF(J795=2,"Férias",IF(J795=7,"Demitido","Afastamento"))),VLOOKUP(J795,Conf!$H:$I,2,0))</f>
        <v>Ativos</v>
      </c>
      <c r="E795" s="71">
        <v>8</v>
      </c>
      <c r="F795" s="71">
        <v>341</v>
      </c>
      <c r="G795" s="71" t="s">
        <v>2746</v>
      </c>
      <c r="H795" s="71">
        <v>990</v>
      </c>
      <c r="I795" s="71" t="s">
        <v>657</v>
      </c>
      <c r="J795" s="71">
        <v>1</v>
      </c>
      <c r="K795" s="71" t="s">
        <v>223</v>
      </c>
      <c r="L795" s="71" t="s">
        <v>2747</v>
      </c>
      <c r="M795" s="71" t="s">
        <v>231</v>
      </c>
      <c r="N795" s="71">
        <v>14663975941</v>
      </c>
      <c r="O795" s="71" t="s">
        <v>245</v>
      </c>
      <c r="P795" s="71" t="s">
        <v>246</v>
      </c>
      <c r="Q795" s="71">
        <v>0</v>
      </c>
      <c r="R795" s="71" t="s">
        <v>2748</v>
      </c>
      <c r="S795" s="71" t="s">
        <v>2749</v>
      </c>
      <c r="T795" s="71" t="s">
        <v>2750</v>
      </c>
    </row>
    <row r="796" spans="1:20" x14ac:dyDescent="0.3">
      <c r="A796" s="72">
        <f>IFERROR(VLOOKUP($G796,Conf!$B:$C,2,0),E796)</f>
        <v>8</v>
      </c>
      <c r="B796" s="72" t="str">
        <f ca="1">IF(D796="Inativo","Inativo",VLOOKUP($S796,Conf!$K:$M,2,0))</f>
        <v>LOJA</v>
      </c>
      <c r="C796" s="72" t="str">
        <f ca="1">IF(D796="Inativo","Inativo",IFERROR(VLOOKUP($G796,Conf!$F$19:$G$39,2,0),VLOOKUP($S796,Conf!$K:$M,3,0)))</f>
        <v>REPOSITOR</v>
      </c>
      <c r="D796" s="72" t="str">
        <f ca="1">IFERROR(IF(TODAY()-K796&gt;365,"Inativo",IF(J796=2,"Férias",IF(J796=7,"Demitido","Afastamento"))),VLOOKUP(J796,Conf!$H:$I,2,0))</f>
        <v>Ativos</v>
      </c>
      <c r="E796" s="71">
        <v>8</v>
      </c>
      <c r="F796" s="71">
        <v>323</v>
      </c>
      <c r="G796" s="71" t="s">
        <v>2751</v>
      </c>
      <c r="H796" s="71">
        <v>988</v>
      </c>
      <c r="I796" s="71" t="s">
        <v>657</v>
      </c>
      <c r="J796" s="71">
        <v>1</v>
      </c>
      <c r="K796" s="71" t="s">
        <v>223</v>
      </c>
      <c r="L796" s="71" t="s">
        <v>2752</v>
      </c>
      <c r="M796" s="71" t="s">
        <v>2075</v>
      </c>
      <c r="N796" s="71">
        <v>13834939951</v>
      </c>
      <c r="O796" s="71" t="s">
        <v>245</v>
      </c>
      <c r="P796" s="71" t="s">
        <v>246</v>
      </c>
      <c r="Q796" s="71">
        <v>0</v>
      </c>
      <c r="R796" s="71" t="s">
        <v>2736</v>
      </c>
      <c r="S796" s="71" t="s">
        <v>2737</v>
      </c>
      <c r="T796" s="71" t="s">
        <v>405</v>
      </c>
    </row>
    <row r="797" spans="1:20" x14ac:dyDescent="0.3">
      <c r="A797" s="72">
        <f>IFERROR(VLOOKUP($G797,Conf!$B:$C,2,0),E797)</f>
        <v>8</v>
      </c>
      <c r="B797" s="72" t="str">
        <f ca="1">IF(D797="Inativo","Inativo",VLOOKUP($S797,Conf!$K:$M,2,0))</f>
        <v>LOJA</v>
      </c>
      <c r="C797" s="72" t="str">
        <f ca="1">IF(D797="Inativo","Inativo",IFERROR(VLOOKUP($G797,Conf!$F$19:$G$39,2,0),VLOOKUP($S797,Conf!$K:$M,3,0)))</f>
        <v>REPOSITOR</v>
      </c>
      <c r="D797" s="72" t="str">
        <f ca="1">IFERROR(IF(TODAY()-K797&gt;365,"Inativo",IF(J797=2,"Férias",IF(J797=7,"Demitido","Afastamento"))),VLOOKUP(J797,Conf!$H:$I,2,0))</f>
        <v>Demitido</v>
      </c>
      <c r="E797" s="71">
        <v>8</v>
      </c>
      <c r="F797" s="71">
        <v>223</v>
      </c>
      <c r="G797" s="71" t="s">
        <v>3795</v>
      </c>
      <c r="H797" s="71">
        <v>1068</v>
      </c>
      <c r="I797" s="71" t="s">
        <v>657</v>
      </c>
      <c r="J797" s="71">
        <v>7</v>
      </c>
      <c r="K797" s="71" t="s">
        <v>1780</v>
      </c>
      <c r="L797" s="71" t="s">
        <v>3796</v>
      </c>
      <c r="M797" s="71" t="s">
        <v>3797</v>
      </c>
      <c r="N797" s="71">
        <v>97885495515</v>
      </c>
      <c r="Q797" s="71">
        <v>0</v>
      </c>
      <c r="R797" s="71" t="s">
        <v>2736</v>
      </c>
      <c r="S797" s="71" t="s">
        <v>2737</v>
      </c>
      <c r="T797" s="71" t="s">
        <v>405</v>
      </c>
    </row>
    <row r="798" spans="1:20" x14ac:dyDescent="0.3">
      <c r="A798" s="72">
        <f>IFERROR(VLOOKUP($G798,Conf!$B:$C,2,0),E798)</f>
        <v>8</v>
      </c>
      <c r="B798" s="72" t="str">
        <f ca="1">IF(D798="Inativo","Inativo",VLOOKUP($S798,Conf!$K:$M,2,0))</f>
        <v>LOJA</v>
      </c>
      <c r="C798" s="72" t="str">
        <f ca="1">IF(D798="Inativo","Inativo",IFERROR(VLOOKUP($G798,Conf!$F$19:$G$39,2,0),VLOOKUP($S798,Conf!$K:$M,3,0)))</f>
        <v>REPOSITOR</v>
      </c>
      <c r="D798" s="72" t="str">
        <f ca="1">IFERROR(IF(TODAY()-K798&gt;365,"Inativo",IF(J798=2,"Férias",IF(J798=7,"Demitido","Afastamento"))),VLOOKUP(J798,Conf!$H:$I,2,0))</f>
        <v>Demitido</v>
      </c>
      <c r="E798" s="71">
        <v>8</v>
      </c>
      <c r="F798" s="71">
        <v>295</v>
      </c>
      <c r="G798" s="71" t="s">
        <v>3825</v>
      </c>
      <c r="H798" s="71">
        <v>1067</v>
      </c>
      <c r="I798" s="71" t="s">
        <v>657</v>
      </c>
      <c r="J798" s="71">
        <v>7</v>
      </c>
      <c r="K798" s="71" t="s">
        <v>735</v>
      </c>
      <c r="L798" s="71" t="s">
        <v>3826</v>
      </c>
      <c r="M798" s="71" t="s">
        <v>3827</v>
      </c>
      <c r="N798" s="71">
        <v>7302541949</v>
      </c>
      <c r="Q798" s="71">
        <v>0</v>
      </c>
      <c r="R798" s="71" t="s">
        <v>2736</v>
      </c>
      <c r="S798" s="71" t="s">
        <v>2737</v>
      </c>
      <c r="T798" s="71" t="s">
        <v>405</v>
      </c>
    </row>
    <row r="799" spans="1:20" x14ac:dyDescent="0.3">
      <c r="A799" s="72">
        <f>IFERROR(VLOOKUP($G799,Conf!$B:$C,2,0),E799)</f>
        <v>8</v>
      </c>
      <c r="B799" s="72" t="str">
        <f ca="1">IF(D799="Inativo","Inativo",VLOOKUP($S799,Conf!$K:$M,2,0))</f>
        <v>LOJA</v>
      </c>
      <c r="C799" s="72" t="str">
        <f ca="1">IF(D799="Inativo","Inativo",IFERROR(VLOOKUP($G799,Conf!$F$19:$G$39,2,0),VLOOKUP($S799,Conf!$K:$M,3,0)))</f>
        <v>REPOSITOR</v>
      </c>
      <c r="D799" s="72" t="str">
        <f ca="1">IFERROR(IF(TODAY()-K799&gt;365,"Inativo",IF(J799=2,"Férias",IF(J799=7,"Demitido","Afastamento"))),VLOOKUP(J799,Conf!$H:$I,2,0))</f>
        <v>Ativos</v>
      </c>
      <c r="E799" s="71">
        <v>8</v>
      </c>
      <c r="F799" s="71">
        <v>336</v>
      </c>
      <c r="G799" s="71" t="s">
        <v>2753</v>
      </c>
      <c r="H799" s="71">
        <v>6</v>
      </c>
      <c r="I799" s="71" t="s">
        <v>230</v>
      </c>
      <c r="J799" s="71">
        <v>1</v>
      </c>
      <c r="K799" s="71" t="s">
        <v>223</v>
      </c>
      <c r="L799" s="71" t="s">
        <v>2754</v>
      </c>
      <c r="M799" s="71" t="s">
        <v>2306</v>
      </c>
      <c r="N799" s="71">
        <v>11940479983</v>
      </c>
      <c r="O799" s="71" t="s">
        <v>245</v>
      </c>
      <c r="P799" s="71" t="s">
        <v>246</v>
      </c>
      <c r="Q799" s="71">
        <v>0</v>
      </c>
      <c r="R799" s="71" t="s">
        <v>2736</v>
      </c>
      <c r="S799" s="71" t="s">
        <v>2737</v>
      </c>
      <c r="T799" s="71" t="s">
        <v>405</v>
      </c>
    </row>
    <row r="800" spans="1:20" x14ac:dyDescent="0.3">
      <c r="A800" s="72">
        <f>IFERROR(VLOOKUP($G800,Conf!$B:$C,2,0),E800)</f>
        <v>8</v>
      </c>
      <c r="B800" s="72" t="str">
        <f ca="1">IF(D800="Inativo","Inativo",VLOOKUP($S800,Conf!$K:$M,2,0))</f>
        <v>LOJA</v>
      </c>
      <c r="C800" s="72" t="str">
        <f ca="1">IF(D800="Inativo","Inativo",IFERROR(VLOOKUP($G800,Conf!$F$19:$G$39,2,0),VLOOKUP($S800,Conf!$K:$M,3,0)))</f>
        <v>REPOSITOR</v>
      </c>
      <c r="D800" s="72" t="str">
        <f ca="1">IFERROR(IF(TODAY()-K800&gt;365,"Inativo",IF(J800=2,"Férias",IF(J800=7,"Demitido","Afastamento"))),VLOOKUP(J800,Conf!$H:$I,2,0))</f>
        <v>Demitido</v>
      </c>
      <c r="E800" s="71">
        <v>8</v>
      </c>
      <c r="F800" s="71">
        <v>330</v>
      </c>
      <c r="G800" s="71" t="s">
        <v>3901</v>
      </c>
      <c r="H800" s="71">
        <v>11</v>
      </c>
      <c r="I800" s="71" t="s">
        <v>400</v>
      </c>
      <c r="J800" s="71">
        <v>7</v>
      </c>
      <c r="K800" s="71" t="s">
        <v>3902</v>
      </c>
      <c r="L800" s="71" t="s">
        <v>3903</v>
      </c>
      <c r="M800" s="71" t="s">
        <v>2689</v>
      </c>
      <c r="N800" s="71">
        <v>11294904914</v>
      </c>
      <c r="O800" s="71" t="s">
        <v>245</v>
      </c>
      <c r="P800" s="71" t="s">
        <v>246</v>
      </c>
      <c r="Q800" s="71">
        <v>0</v>
      </c>
      <c r="R800" s="71" t="s">
        <v>2736</v>
      </c>
      <c r="S800" s="71" t="s">
        <v>2737</v>
      </c>
      <c r="T800" s="71" t="s">
        <v>405</v>
      </c>
    </row>
    <row r="801" spans="1:20" x14ac:dyDescent="0.3">
      <c r="A801" s="72">
        <f>IFERROR(VLOOKUP($G801,Conf!$B:$C,2,0),E801)</f>
        <v>8</v>
      </c>
      <c r="B801" s="72" t="str">
        <f ca="1">IF(D801="Inativo","Inativo",VLOOKUP($S801,Conf!$K:$M,2,0))</f>
        <v>LOJA</v>
      </c>
      <c r="C801" s="72" t="str">
        <f ca="1">IF(D801="Inativo","Inativo",IFERROR(VLOOKUP($G801,Conf!$F$19:$G$39,2,0),VLOOKUP($S801,Conf!$K:$M,3,0)))</f>
        <v>REPOSITOR</v>
      </c>
      <c r="D801" s="72" t="str">
        <f ca="1">IFERROR(IF(TODAY()-K801&gt;365,"Inativo",IF(J801=2,"Férias",IF(J801=7,"Demitido","Afastamento"))),VLOOKUP(J801,Conf!$H:$I,2,0))</f>
        <v>Demitido</v>
      </c>
      <c r="E801" s="71">
        <v>8</v>
      </c>
      <c r="F801" s="71">
        <v>267</v>
      </c>
      <c r="G801" s="71" t="s">
        <v>3798</v>
      </c>
      <c r="H801" s="71">
        <v>1071</v>
      </c>
      <c r="I801" s="71" t="s">
        <v>657</v>
      </c>
      <c r="J801" s="71">
        <v>7</v>
      </c>
      <c r="K801" s="71" t="s">
        <v>3799</v>
      </c>
      <c r="L801" s="71" t="s">
        <v>732</v>
      </c>
      <c r="M801" s="71" t="s">
        <v>2080</v>
      </c>
      <c r="N801" s="71">
        <v>12804607925</v>
      </c>
      <c r="Q801" s="71">
        <v>0</v>
      </c>
      <c r="R801" s="71" t="s">
        <v>2736</v>
      </c>
      <c r="S801" s="71" t="s">
        <v>2737</v>
      </c>
      <c r="T801" s="71" t="s">
        <v>405</v>
      </c>
    </row>
    <row r="802" spans="1:20" x14ac:dyDescent="0.3">
      <c r="A802" s="72">
        <f>IFERROR(VLOOKUP($G802,Conf!$B:$C,2,0),E802)</f>
        <v>8</v>
      </c>
      <c r="B802" s="72" t="str">
        <f ca="1">IF(D802="Inativo","Inativo",VLOOKUP($S802,Conf!$K:$M,2,0))</f>
        <v>LOJA</v>
      </c>
      <c r="C802" s="72" t="str">
        <f ca="1">IF(D802="Inativo","Inativo",IFERROR(VLOOKUP($G802,Conf!$F$19:$G$39,2,0),VLOOKUP($S802,Conf!$K:$M,3,0)))</f>
        <v>REPOSITOR</v>
      </c>
      <c r="D802" s="72" t="str">
        <f ca="1">IFERROR(IF(TODAY()-K802&gt;365,"Inativo",IF(J802=2,"Férias",IF(J802=7,"Demitido","Afastamento"))),VLOOKUP(J802,Conf!$H:$I,2,0))</f>
        <v>Demitido</v>
      </c>
      <c r="E802" s="71">
        <v>8</v>
      </c>
      <c r="F802" s="71">
        <v>138</v>
      </c>
      <c r="G802" s="71" t="s">
        <v>3782</v>
      </c>
      <c r="H802" s="71">
        <v>2</v>
      </c>
      <c r="I802" s="71" t="s">
        <v>1109</v>
      </c>
      <c r="J802" s="71">
        <v>7</v>
      </c>
      <c r="K802" s="71" t="s">
        <v>1460</v>
      </c>
      <c r="L802" s="71" t="s">
        <v>3783</v>
      </c>
      <c r="M802" s="71" t="s">
        <v>3784</v>
      </c>
      <c r="N802" s="71">
        <v>8244424907</v>
      </c>
      <c r="Q802" s="71">
        <v>0</v>
      </c>
      <c r="R802" s="71" t="s">
        <v>2740</v>
      </c>
      <c r="S802" s="71" t="s">
        <v>2741</v>
      </c>
      <c r="T802" s="71" t="s">
        <v>2470</v>
      </c>
    </row>
    <row r="803" spans="1:20" x14ac:dyDescent="0.3">
      <c r="A803" s="72">
        <f>IFERROR(VLOOKUP($G803,Conf!$B:$C,2,0),E803)</f>
        <v>8</v>
      </c>
      <c r="B803" s="72" t="str">
        <f ca="1">IF(D803="Inativo","Inativo",VLOOKUP($S803,Conf!$K:$M,2,0))</f>
        <v>LOJA</v>
      </c>
      <c r="C803" s="72" t="str">
        <f ca="1">IF(D803="Inativo","Inativo",IFERROR(VLOOKUP($G803,Conf!$F$19:$G$39,2,0),VLOOKUP($S803,Conf!$K:$M,3,0)))</f>
        <v>REPOSITOR</v>
      </c>
      <c r="D803" s="72" t="str">
        <f ca="1">IFERROR(IF(TODAY()-K803&gt;365,"Inativo",IF(J803=2,"Férias",IF(J803=7,"Demitido","Afastamento"))),VLOOKUP(J803,Conf!$H:$I,2,0))</f>
        <v>Demitido</v>
      </c>
      <c r="E803" s="71">
        <v>8</v>
      </c>
      <c r="F803" s="71">
        <v>141</v>
      </c>
      <c r="G803" s="71" t="s">
        <v>3759</v>
      </c>
      <c r="H803" s="71">
        <v>1082</v>
      </c>
      <c r="I803" s="71" t="s">
        <v>772</v>
      </c>
      <c r="J803" s="71">
        <v>7</v>
      </c>
      <c r="K803" s="71" t="s">
        <v>3760</v>
      </c>
      <c r="L803" s="71" t="s">
        <v>3761</v>
      </c>
      <c r="M803" s="71" t="s">
        <v>2627</v>
      </c>
      <c r="N803" s="71">
        <v>71843909111</v>
      </c>
      <c r="Q803" s="71">
        <v>0</v>
      </c>
      <c r="R803" s="71" t="s">
        <v>2736</v>
      </c>
      <c r="S803" s="71" t="s">
        <v>2737</v>
      </c>
      <c r="T803" s="71" t="s">
        <v>405</v>
      </c>
    </row>
    <row r="804" spans="1:20" x14ac:dyDescent="0.3">
      <c r="A804" s="72">
        <f>IFERROR(VLOOKUP($G804,Conf!$B:$C,2,0),E804)</f>
        <v>8</v>
      </c>
      <c r="B804" s="72" t="str">
        <f ca="1">IF(D804="Inativo","Inativo",VLOOKUP($S804,Conf!$K:$M,2,0))</f>
        <v>LOJA</v>
      </c>
      <c r="C804" s="72" t="str">
        <f ca="1">IF(D804="Inativo","Inativo",IFERROR(VLOOKUP($G804,Conf!$F$19:$G$39,2,0),VLOOKUP($S804,Conf!$K:$M,3,0)))</f>
        <v>REPOSITOR</v>
      </c>
      <c r="D804" s="72" t="str">
        <f ca="1">IFERROR(IF(TODAY()-K804&gt;365,"Inativo",IF(J804=2,"Férias",IF(J804=7,"Demitido","Afastamento"))),VLOOKUP(J804,Conf!$H:$I,2,0))</f>
        <v>Demitido</v>
      </c>
      <c r="E804" s="71">
        <v>8</v>
      </c>
      <c r="F804" s="71">
        <v>256</v>
      </c>
      <c r="G804" s="71" t="s">
        <v>3816</v>
      </c>
      <c r="H804" s="71">
        <v>1070</v>
      </c>
      <c r="I804" s="71" t="s">
        <v>657</v>
      </c>
      <c r="J804" s="71">
        <v>7</v>
      </c>
      <c r="K804" s="71" t="s">
        <v>1210</v>
      </c>
      <c r="L804" s="71" t="s">
        <v>3817</v>
      </c>
      <c r="M804" s="71" t="s">
        <v>2283</v>
      </c>
      <c r="N804" s="71">
        <v>9185281433</v>
      </c>
      <c r="Q804" s="71">
        <v>0</v>
      </c>
      <c r="R804" s="71" t="s">
        <v>2740</v>
      </c>
      <c r="S804" s="71" t="s">
        <v>2741</v>
      </c>
      <c r="T804" s="71" t="s">
        <v>2470</v>
      </c>
    </row>
    <row r="805" spans="1:20" x14ac:dyDescent="0.3">
      <c r="A805" s="72">
        <f>IFERROR(VLOOKUP($G805,Conf!$B:$C,2,0),E805)</f>
        <v>8</v>
      </c>
      <c r="B805" s="72" t="str">
        <f ca="1">IF(D805="Inativo","Inativo",VLOOKUP($S805,Conf!$K:$M,2,0))</f>
        <v>LOJA</v>
      </c>
      <c r="C805" s="72" t="str">
        <f ca="1">IF(D805="Inativo","Inativo",IFERROR(VLOOKUP($G805,Conf!$F$19:$G$39,2,0),VLOOKUP($S805,Conf!$K:$M,3,0)))</f>
        <v>REPOSITOR</v>
      </c>
      <c r="D805" s="72" t="str">
        <f ca="1">IFERROR(IF(TODAY()-K805&gt;365,"Inativo",IF(J805=2,"Férias",IF(J805=7,"Demitido","Afastamento"))),VLOOKUP(J805,Conf!$H:$I,2,0))</f>
        <v>Ativos</v>
      </c>
      <c r="E805" s="71">
        <v>8</v>
      </c>
      <c r="F805" s="71">
        <v>335</v>
      </c>
      <c r="G805" s="71" t="s">
        <v>2755</v>
      </c>
      <c r="H805" s="71">
        <v>988</v>
      </c>
      <c r="I805" s="71" t="s">
        <v>657</v>
      </c>
      <c r="J805" s="71">
        <v>1</v>
      </c>
      <c r="K805" s="71" t="s">
        <v>223</v>
      </c>
      <c r="L805" s="71" t="s">
        <v>2756</v>
      </c>
      <c r="M805" s="71" t="s">
        <v>417</v>
      </c>
      <c r="N805" s="71">
        <v>8847724970</v>
      </c>
      <c r="O805" s="71" t="s">
        <v>245</v>
      </c>
      <c r="P805" s="71" t="s">
        <v>246</v>
      </c>
      <c r="Q805" s="71">
        <v>0</v>
      </c>
      <c r="R805" s="71" t="s">
        <v>2736</v>
      </c>
      <c r="S805" s="71" t="s">
        <v>2737</v>
      </c>
      <c r="T805" s="71" t="s">
        <v>405</v>
      </c>
    </row>
    <row r="806" spans="1:20" x14ac:dyDescent="0.3">
      <c r="A806" s="72">
        <f>IFERROR(VLOOKUP($G806,Conf!$B:$C,2,0),E806)</f>
        <v>8</v>
      </c>
      <c r="B806" s="72" t="str">
        <f ca="1">IF(D806="Inativo","Inativo",VLOOKUP($S806,Conf!$K:$M,2,0))</f>
        <v>LOJA</v>
      </c>
      <c r="C806" s="72" t="str">
        <f ca="1">IF(D806="Inativo","Inativo",IFERROR(VLOOKUP($G806,Conf!$F$19:$G$39,2,0),VLOOKUP($S806,Conf!$K:$M,3,0)))</f>
        <v>REPOSITOR</v>
      </c>
      <c r="D806" s="72" t="str">
        <f ca="1">IFERROR(IF(TODAY()-K806&gt;365,"Inativo",IF(J806=2,"Férias",IF(J806=7,"Demitido","Afastamento"))),VLOOKUP(J806,Conf!$H:$I,2,0))</f>
        <v>Demitido</v>
      </c>
      <c r="E806" s="71">
        <v>8</v>
      </c>
      <c r="F806" s="71">
        <v>324</v>
      </c>
      <c r="G806" s="71" t="s">
        <v>3906</v>
      </c>
      <c r="H806" s="71">
        <v>988</v>
      </c>
      <c r="I806" s="71" t="s">
        <v>657</v>
      </c>
      <c r="J806" s="71">
        <v>7</v>
      </c>
      <c r="K806" s="71" t="s">
        <v>3907</v>
      </c>
      <c r="L806" s="71" t="s">
        <v>3908</v>
      </c>
      <c r="M806" s="71" t="s">
        <v>449</v>
      </c>
      <c r="N806" s="71">
        <v>14772392947</v>
      </c>
      <c r="O806" s="71" t="s">
        <v>245</v>
      </c>
      <c r="P806" s="71" t="s">
        <v>246</v>
      </c>
      <c r="Q806" s="71">
        <v>0</v>
      </c>
      <c r="R806" s="71" t="s">
        <v>2736</v>
      </c>
      <c r="S806" s="71" t="s">
        <v>2737</v>
      </c>
      <c r="T806" s="71" t="s">
        <v>405</v>
      </c>
    </row>
    <row r="807" spans="1:20" x14ac:dyDescent="0.3">
      <c r="A807" s="72">
        <f>IFERROR(VLOOKUP($G807,Conf!$B:$C,2,0),E807)</f>
        <v>8</v>
      </c>
      <c r="B807" s="72" t="str">
        <f ca="1">IF(D807="Inativo","Inativo",VLOOKUP($S807,Conf!$K:$M,2,0))</f>
        <v>LOJA</v>
      </c>
      <c r="C807" s="72" t="str">
        <f ca="1">IF(D807="Inativo","Inativo",IFERROR(VLOOKUP($G807,Conf!$F$19:$G$39,2,0),VLOOKUP($S807,Conf!$K:$M,3,0)))</f>
        <v>REPOSITOR</v>
      </c>
      <c r="D807" s="72" t="str">
        <f ca="1">IFERROR(IF(TODAY()-K807&gt;365,"Inativo",IF(J807=2,"Férias",IF(J807=7,"Demitido","Afastamento"))),VLOOKUP(J807,Conf!$H:$I,2,0))</f>
        <v>Demitido</v>
      </c>
      <c r="E807" s="71">
        <v>8</v>
      </c>
      <c r="F807" s="71">
        <v>312</v>
      </c>
      <c r="G807" s="71" t="s">
        <v>2757</v>
      </c>
      <c r="H807" s="71">
        <v>992</v>
      </c>
      <c r="I807" s="71" t="s">
        <v>657</v>
      </c>
      <c r="J807" s="71">
        <v>7</v>
      </c>
      <c r="K807" s="71" t="s">
        <v>3661</v>
      </c>
      <c r="L807" s="71" t="s">
        <v>2758</v>
      </c>
      <c r="M807" s="71" t="s">
        <v>2280</v>
      </c>
      <c r="N807" s="71">
        <v>5525775964</v>
      </c>
      <c r="O807" s="71" t="s">
        <v>245</v>
      </c>
      <c r="P807" s="71" t="s">
        <v>246</v>
      </c>
      <c r="Q807" s="71">
        <v>0</v>
      </c>
      <c r="R807" s="71" t="s">
        <v>2736</v>
      </c>
      <c r="S807" s="71" t="s">
        <v>2737</v>
      </c>
      <c r="T807" s="71" t="s">
        <v>405</v>
      </c>
    </row>
    <row r="808" spans="1:20" x14ac:dyDescent="0.3">
      <c r="A808" s="72">
        <f>IFERROR(VLOOKUP($G808,Conf!$B:$C,2,0),E808)</f>
        <v>8</v>
      </c>
      <c r="B808" s="72" t="str">
        <f ca="1">IF(D808="Inativo","Inativo",VLOOKUP($S808,Conf!$K:$M,2,0))</f>
        <v>LOJA</v>
      </c>
      <c r="C808" s="72" t="str">
        <f ca="1">IF(D808="Inativo","Inativo",IFERROR(VLOOKUP($G808,Conf!$F$19:$G$39,2,0),VLOOKUP($S808,Conf!$K:$M,3,0)))</f>
        <v>REPOSITOR</v>
      </c>
      <c r="D808" s="72" t="str">
        <f ca="1">IFERROR(IF(TODAY()-K808&gt;365,"Inativo",IF(J808=2,"Férias",IF(J808=7,"Demitido","Afastamento"))),VLOOKUP(J808,Conf!$H:$I,2,0))</f>
        <v>Ativos</v>
      </c>
      <c r="E808" s="71">
        <v>8</v>
      </c>
      <c r="F808" s="71">
        <v>347</v>
      </c>
      <c r="G808" s="71" t="s">
        <v>1741</v>
      </c>
      <c r="H808" s="71">
        <v>994</v>
      </c>
      <c r="I808" s="71" t="s">
        <v>657</v>
      </c>
      <c r="J808" s="71">
        <v>1</v>
      </c>
      <c r="K808" s="71" t="s">
        <v>223</v>
      </c>
      <c r="L808" s="71" t="s">
        <v>1742</v>
      </c>
      <c r="M808" s="71" t="s">
        <v>3642</v>
      </c>
      <c r="N808" s="71">
        <v>2778166963</v>
      </c>
      <c r="O808" s="71" t="s">
        <v>245</v>
      </c>
      <c r="P808" s="71" t="s">
        <v>246</v>
      </c>
      <c r="Q808" s="71">
        <v>0</v>
      </c>
      <c r="R808" s="71" t="s">
        <v>2736</v>
      </c>
      <c r="S808" s="71" t="s">
        <v>2737</v>
      </c>
      <c r="T808" s="71" t="s">
        <v>405</v>
      </c>
    </row>
    <row r="809" spans="1:20" x14ac:dyDescent="0.3">
      <c r="A809" s="72">
        <f>IFERROR(VLOOKUP($G809,Conf!$B:$C,2,0),E809)</f>
        <v>8</v>
      </c>
      <c r="B809" s="72" t="str">
        <f ca="1">IF(D809="Inativo","Inativo",VLOOKUP($S809,Conf!$K:$M,2,0))</f>
        <v>LOJA</v>
      </c>
      <c r="C809" s="72" t="str">
        <f ca="1">IF(D809="Inativo","Inativo",IFERROR(VLOOKUP($G809,Conf!$F$19:$G$39,2,0),VLOOKUP($S809,Conf!$K:$M,3,0)))</f>
        <v>REPOSITOR</v>
      </c>
      <c r="D809" s="72" t="str">
        <f ca="1">IFERROR(IF(TODAY()-K809&gt;365,"Inativo",IF(J809=2,"Férias",IF(J809=7,"Demitido","Afastamento"))),VLOOKUP(J809,Conf!$H:$I,2,0))</f>
        <v>Demitido</v>
      </c>
      <c r="E809" s="71">
        <v>8</v>
      </c>
      <c r="F809" s="71">
        <v>322</v>
      </c>
      <c r="G809" s="71" t="s">
        <v>3896</v>
      </c>
      <c r="H809" s="71">
        <v>1066</v>
      </c>
      <c r="I809" s="71" t="s">
        <v>2513</v>
      </c>
      <c r="J809" s="71">
        <v>7</v>
      </c>
      <c r="K809" s="71" t="s">
        <v>538</v>
      </c>
      <c r="L809" s="71" t="s">
        <v>3897</v>
      </c>
      <c r="M809" s="71" t="s">
        <v>2075</v>
      </c>
      <c r="N809" s="71">
        <v>83057129234</v>
      </c>
      <c r="O809" s="71" t="s">
        <v>245</v>
      </c>
      <c r="P809" s="71" t="s">
        <v>246</v>
      </c>
      <c r="Q809" s="71">
        <v>0</v>
      </c>
      <c r="R809" s="71" t="s">
        <v>2736</v>
      </c>
      <c r="S809" s="71" t="s">
        <v>2737</v>
      </c>
      <c r="T809" s="71" t="s">
        <v>405</v>
      </c>
    </row>
    <row r="810" spans="1:20" x14ac:dyDescent="0.3">
      <c r="A810" s="72">
        <f>IFERROR(VLOOKUP($G810,Conf!$B:$C,2,0),E810)</f>
        <v>8</v>
      </c>
      <c r="B810" s="72" t="str">
        <f ca="1">IF(D810="Inativo","Inativo",VLOOKUP($S810,Conf!$K:$M,2,0))</f>
        <v>LOJA</v>
      </c>
      <c r="C810" s="72" t="str">
        <f ca="1">IF(D810="Inativo","Inativo",IFERROR(VLOOKUP($G810,Conf!$F$19:$G$39,2,0),VLOOKUP($S810,Conf!$K:$M,3,0)))</f>
        <v>REPOSITOR</v>
      </c>
      <c r="D810" s="72" t="str">
        <f ca="1">IFERROR(IF(TODAY()-K810&gt;365,"Inativo",IF(J810=2,"Férias",IF(J810=7,"Demitido","Afastamento"))),VLOOKUP(J810,Conf!$H:$I,2,0))</f>
        <v>Demitido</v>
      </c>
      <c r="E810" s="71">
        <v>8</v>
      </c>
      <c r="F810" s="71">
        <v>253</v>
      </c>
      <c r="G810" s="71" t="s">
        <v>3878</v>
      </c>
      <c r="H810" s="71">
        <v>1067</v>
      </c>
      <c r="I810" s="71" t="s">
        <v>657</v>
      </c>
      <c r="J810" s="71">
        <v>7</v>
      </c>
      <c r="K810" s="71" t="s">
        <v>465</v>
      </c>
      <c r="L810" s="71" t="s">
        <v>3879</v>
      </c>
      <c r="M810" s="71" t="s">
        <v>1304</v>
      </c>
      <c r="N810" s="71">
        <v>71093941235</v>
      </c>
      <c r="Q810" s="71">
        <v>0</v>
      </c>
      <c r="R810" s="71" t="s">
        <v>2736</v>
      </c>
      <c r="S810" s="71" t="s">
        <v>2737</v>
      </c>
      <c r="T810" s="71" t="s">
        <v>405</v>
      </c>
    </row>
    <row r="811" spans="1:20" x14ac:dyDescent="0.3">
      <c r="A811" s="72">
        <f>IFERROR(VLOOKUP($G811,Conf!$B:$C,2,0),E811)</f>
        <v>8</v>
      </c>
      <c r="B811" s="72" t="str">
        <f ca="1">IF(D811="Inativo","Inativo",VLOOKUP($S811,Conf!$K:$M,2,0))</f>
        <v>LOJA</v>
      </c>
      <c r="C811" s="72" t="str">
        <f ca="1">IF(D811="Inativo","Inativo",IFERROR(VLOOKUP($G811,Conf!$F$19:$G$39,2,0),VLOOKUP($S811,Conf!$K:$M,3,0)))</f>
        <v>REPOSITOR</v>
      </c>
      <c r="D811" s="72" t="str">
        <f ca="1">IFERROR(IF(TODAY()-K811&gt;365,"Inativo",IF(J811=2,"Férias",IF(J811=7,"Demitido","Afastamento"))),VLOOKUP(J811,Conf!$H:$I,2,0))</f>
        <v>Demitido</v>
      </c>
      <c r="E811" s="71">
        <v>8</v>
      </c>
      <c r="F811" s="71">
        <v>315</v>
      </c>
      <c r="G811" s="71" t="s">
        <v>2759</v>
      </c>
      <c r="H811" s="71">
        <v>992</v>
      </c>
      <c r="I811" s="71" t="s">
        <v>657</v>
      </c>
      <c r="J811" s="71">
        <v>7</v>
      </c>
      <c r="K811" s="71" t="s">
        <v>801</v>
      </c>
      <c r="L811" s="71" t="s">
        <v>2760</v>
      </c>
      <c r="M811" s="71" t="s">
        <v>446</v>
      </c>
      <c r="N811" s="71">
        <v>80182559971</v>
      </c>
      <c r="O811" s="71" t="s">
        <v>245</v>
      </c>
      <c r="P811" s="71" t="s">
        <v>246</v>
      </c>
      <c r="Q811" s="71">
        <v>0</v>
      </c>
      <c r="R811" s="71" t="s">
        <v>2736</v>
      </c>
      <c r="S811" s="71" t="s">
        <v>2737</v>
      </c>
      <c r="T811" s="71" t="s">
        <v>405</v>
      </c>
    </row>
    <row r="812" spans="1:20" x14ac:dyDescent="0.3">
      <c r="A812" s="72">
        <f>IFERROR(VLOOKUP($G812,Conf!$B:$C,2,0),E812)</f>
        <v>8</v>
      </c>
      <c r="B812" s="72" t="str">
        <f ca="1">IF(D812="Inativo","Inativo",VLOOKUP($S812,Conf!$K:$M,2,0))</f>
        <v>LOJA</v>
      </c>
      <c r="C812" s="72" t="str">
        <f ca="1">IF(D812="Inativo","Inativo",IFERROR(VLOOKUP($G812,Conf!$F$19:$G$39,2,0),VLOOKUP($S812,Conf!$K:$M,3,0)))</f>
        <v>REPOSITOR</v>
      </c>
      <c r="D812" s="72" t="str">
        <f ca="1">IFERROR(IF(TODAY()-K812&gt;365,"Inativo",IF(J812=2,"Férias",IF(J812=7,"Demitido","Afastamento"))),VLOOKUP(J812,Conf!$H:$I,2,0))</f>
        <v>Demitido</v>
      </c>
      <c r="E812" s="71">
        <v>8</v>
      </c>
      <c r="F812" s="71">
        <v>303</v>
      </c>
      <c r="G812" s="71" t="s">
        <v>3838</v>
      </c>
      <c r="H812" s="71">
        <v>6</v>
      </c>
      <c r="I812" s="71" t="s">
        <v>230</v>
      </c>
      <c r="J812" s="71">
        <v>7</v>
      </c>
      <c r="K812" s="71" t="s">
        <v>3839</v>
      </c>
      <c r="L812" s="71" t="s">
        <v>3840</v>
      </c>
      <c r="M812" s="71" t="s">
        <v>3841</v>
      </c>
      <c r="N812" s="71">
        <v>52874190829</v>
      </c>
      <c r="O812" s="71" t="s">
        <v>245</v>
      </c>
      <c r="P812" s="71" t="s">
        <v>246</v>
      </c>
      <c r="Q812" s="71">
        <v>0</v>
      </c>
      <c r="R812" s="71" t="s">
        <v>2736</v>
      </c>
      <c r="S812" s="71" t="s">
        <v>2737</v>
      </c>
      <c r="T812" s="71" t="s">
        <v>405</v>
      </c>
    </row>
    <row r="813" spans="1:20" x14ac:dyDescent="0.3">
      <c r="A813" s="72">
        <f>IFERROR(VLOOKUP($G813,Conf!$B:$C,2,0),E813)</f>
        <v>8</v>
      </c>
      <c r="B813" s="72" t="str">
        <f ca="1">IF(D813="Inativo","Inativo",VLOOKUP($S813,Conf!$K:$M,2,0))</f>
        <v>LOJA</v>
      </c>
      <c r="C813" s="72" t="str">
        <f ca="1">IF(D813="Inativo","Inativo",IFERROR(VLOOKUP($G813,Conf!$F$19:$G$39,2,0),VLOOKUP($S813,Conf!$K:$M,3,0)))</f>
        <v>REPOSITOR</v>
      </c>
      <c r="D813" s="72" t="str">
        <f ca="1">IFERROR(IF(TODAY()-K813&gt;365,"Inativo",IF(J813=2,"Férias",IF(J813=7,"Demitido","Afastamento"))),VLOOKUP(J813,Conf!$H:$I,2,0))</f>
        <v>Demitido</v>
      </c>
      <c r="E813" s="71">
        <v>8</v>
      </c>
      <c r="F813" s="71">
        <v>296</v>
      </c>
      <c r="G813" s="71" t="s">
        <v>3871</v>
      </c>
      <c r="H813" s="71">
        <v>1067</v>
      </c>
      <c r="I813" s="71" t="s">
        <v>657</v>
      </c>
      <c r="J813" s="71">
        <v>7</v>
      </c>
      <c r="K813" s="71" t="s">
        <v>738</v>
      </c>
      <c r="L813" s="71" t="s">
        <v>3872</v>
      </c>
      <c r="M813" s="71" t="s">
        <v>1180</v>
      </c>
      <c r="N813" s="71">
        <v>7863016940</v>
      </c>
      <c r="Q813" s="71">
        <v>0</v>
      </c>
      <c r="R813" s="71" t="s">
        <v>2736</v>
      </c>
      <c r="S813" s="71" t="s">
        <v>2737</v>
      </c>
      <c r="T813" s="71" t="s">
        <v>405</v>
      </c>
    </row>
    <row r="814" spans="1:20" x14ac:dyDescent="0.3">
      <c r="A814" s="72">
        <f>IFERROR(VLOOKUP($G814,Conf!$B:$C,2,0),E814)</f>
        <v>8</v>
      </c>
      <c r="B814" s="72" t="str">
        <f ca="1">IF(D814="Inativo","Inativo",VLOOKUP($S814,Conf!$K:$M,2,0))</f>
        <v>LOJA</v>
      </c>
      <c r="C814" s="72" t="str">
        <f ca="1">IF(D814="Inativo","Inativo",IFERROR(VLOOKUP($G814,Conf!$F$19:$G$39,2,0),VLOOKUP($S814,Conf!$K:$M,3,0)))</f>
        <v>REPOSITOR</v>
      </c>
      <c r="D814" s="72" t="str">
        <f ca="1">IFERROR(IF(TODAY()-K814&gt;365,"Inativo",IF(J814=2,"Férias",IF(J814=7,"Demitido","Afastamento"))),VLOOKUP(J814,Conf!$H:$I,2,0))</f>
        <v>Demitido</v>
      </c>
      <c r="E814" s="71">
        <v>8</v>
      </c>
      <c r="F814" s="71">
        <v>321</v>
      </c>
      <c r="G814" s="71" t="s">
        <v>3904</v>
      </c>
      <c r="H814" s="71">
        <v>1066</v>
      </c>
      <c r="I814" s="71" t="s">
        <v>2513</v>
      </c>
      <c r="J814" s="71">
        <v>7</v>
      </c>
      <c r="K814" s="71" t="s">
        <v>2306</v>
      </c>
      <c r="L814" s="71" t="s">
        <v>3905</v>
      </c>
      <c r="M814" s="71" t="s">
        <v>2075</v>
      </c>
      <c r="N814" s="71">
        <v>14129814923</v>
      </c>
      <c r="O814" s="71" t="s">
        <v>245</v>
      </c>
      <c r="P814" s="71" t="s">
        <v>246</v>
      </c>
      <c r="Q814" s="71">
        <v>0</v>
      </c>
      <c r="R814" s="71" t="s">
        <v>2736</v>
      </c>
      <c r="S814" s="71" t="s">
        <v>2737</v>
      </c>
      <c r="T814" s="71" t="s">
        <v>405</v>
      </c>
    </row>
    <row r="815" spans="1:20" x14ac:dyDescent="0.3">
      <c r="A815" s="72">
        <f>IFERROR(VLOOKUP($G815,Conf!$B:$C,2,0),E815)</f>
        <v>8</v>
      </c>
      <c r="B815" s="72" t="str">
        <f ca="1">IF(D815="Inativo","Inativo",VLOOKUP($S815,Conf!$K:$M,2,0))</f>
        <v>LOJA</v>
      </c>
      <c r="C815" s="72" t="str">
        <f ca="1">IF(D815="Inativo","Inativo",IFERROR(VLOOKUP($G815,Conf!$F$19:$G$39,2,0),VLOOKUP($S815,Conf!$K:$M,3,0)))</f>
        <v>REPOSITOR</v>
      </c>
      <c r="D815" s="72" t="str">
        <f ca="1">IFERROR(IF(TODAY()-K815&gt;365,"Inativo",IF(J815=2,"Férias",IF(J815=7,"Demitido","Afastamento"))),VLOOKUP(J815,Conf!$H:$I,2,0))</f>
        <v>Demitido</v>
      </c>
      <c r="E815" s="71">
        <v>8</v>
      </c>
      <c r="F815" s="71">
        <v>293</v>
      </c>
      <c r="G815" s="71" t="s">
        <v>3873</v>
      </c>
      <c r="H815" s="71">
        <v>1069</v>
      </c>
      <c r="I815" s="71" t="s">
        <v>657</v>
      </c>
      <c r="J815" s="71">
        <v>7</v>
      </c>
      <c r="K815" s="71" t="s">
        <v>455</v>
      </c>
      <c r="L815" s="71" t="s">
        <v>3874</v>
      </c>
      <c r="M815" s="71" t="s">
        <v>1210</v>
      </c>
      <c r="N815" s="71">
        <v>14508428959</v>
      </c>
      <c r="Q815" s="71">
        <v>0</v>
      </c>
      <c r="R815" s="71" t="s">
        <v>2736</v>
      </c>
      <c r="S815" s="71" t="s">
        <v>2737</v>
      </c>
      <c r="T815" s="71" t="s">
        <v>405</v>
      </c>
    </row>
    <row r="816" spans="1:20" x14ac:dyDescent="0.3">
      <c r="A816" s="72">
        <f>IFERROR(VLOOKUP($G816,Conf!$B:$C,2,0),E816)</f>
        <v>8</v>
      </c>
      <c r="B816" s="72" t="str">
        <f ca="1">IF(D816="Inativo","Inativo",VLOOKUP($S816,Conf!$K:$M,2,0))</f>
        <v>LOJA</v>
      </c>
      <c r="C816" s="72" t="str">
        <f ca="1">IF(D816="Inativo","Inativo",IFERROR(VLOOKUP($G816,Conf!$F$19:$G$39,2,0),VLOOKUP($S816,Conf!$K:$M,3,0)))</f>
        <v>REPOSITOR</v>
      </c>
      <c r="D816" s="72" t="str">
        <f ca="1">IFERROR(IF(TODAY()-K816&gt;365,"Inativo",IF(J816=2,"Férias",IF(J816=7,"Demitido","Afastamento"))),VLOOKUP(J816,Conf!$H:$I,2,0))</f>
        <v>Demitido</v>
      </c>
      <c r="E816" s="71">
        <v>8</v>
      </c>
      <c r="F816" s="71">
        <v>302</v>
      </c>
      <c r="G816" s="71" t="s">
        <v>3886</v>
      </c>
      <c r="H816" s="71">
        <v>1069</v>
      </c>
      <c r="I816" s="71" t="s">
        <v>657</v>
      </c>
      <c r="J816" s="71">
        <v>7</v>
      </c>
      <c r="K816" s="71" t="s">
        <v>439</v>
      </c>
      <c r="L816" s="71" t="s">
        <v>3887</v>
      </c>
      <c r="M816" s="71" t="s">
        <v>1063</v>
      </c>
      <c r="N816" s="71">
        <v>5188894912</v>
      </c>
      <c r="O816" s="71" t="s">
        <v>245</v>
      </c>
      <c r="P816" s="71" t="s">
        <v>246</v>
      </c>
      <c r="Q816" s="71">
        <v>0</v>
      </c>
      <c r="R816" s="71" t="s">
        <v>2736</v>
      </c>
      <c r="S816" s="71" t="s">
        <v>2737</v>
      </c>
      <c r="T816" s="71" t="s">
        <v>405</v>
      </c>
    </row>
    <row r="817" spans="1:20" x14ac:dyDescent="0.3">
      <c r="A817" s="72">
        <f>IFERROR(VLOOKUP($G817,Conf!$B:$C,2,0),E817)</f>
        <v>8</v>
      </c>
      <c r="B817" s="72" t="str">
        <f ca="1">IF(D817="Inativo","Inativo",VLOOKUP($S817,Conf!$K:$M,2,0))</f>
        <v>LOJA</v>
      </c>
      <c r="C817" s="72" t="str">
        <f ca="1">IF(D817="Inativo","Inativo",IFERROR(VLOOKUP($G817,Conf!$F$19:$G$39,2,0),VLOOKUP($S817,Conf!$K:$M,3,0)))</f>
        <v>REPOSITOR</v>
      </c>
      <c r="D817" s="72" t="str">
        <f ca="1">IFERROR(IF(TODAY()-K817&gt;365,"Inativo",IF(J817=2,"Férias",IF(J817=7,"Demitido","Afastamento"))),VLOOKUP(J817,Conf!$H:$I,2,0))</f>
        <v>Demitido</v>
      </c>
      <c r="E817" s="71">
        <v>8</v>
      </c>
      <c r="F817" s="71">
        <v>318</v>
      </c>
      <c r="G817" s="71" t="s">
        <v>2761</v>
      </c>
      <c r="H817" s="71">
        <v>47</v>
      </c>
      <c r="I817" s="71" t="s">
        <v>222</v>
      </c>
      <c r="J817" s="71">
        <v>7</v>
      </c>
      <c r="K817" s="71" t="s">
        <v>688</v>
      </c>
      <c r="L817" s="71" t="s">
        <v>2762</v>
      </c>
      <c r="M817" s="71" t="s">
        <v>1820</v>
      </c>
      <c r="N817" s="71">
        <v>6448884904</v>
      </c>
      <c r="O817" s="71" t="s">
        <v>245</v>
      </c>
      <c r="P817" s="71" t="s">
        <v>246</v>
      </c>
      <c r="Q817" s="71">
        <v>0</v>
      </c>
      <c r="R817" s="71" t="s">
        <v>2736</v>
      </c>
      <c r="S817" s="71" t="s">
        <v>2737</v>
      </c>
      <c r="T817" s="71" t="s">
        <v>405</v>
      </c>
    </row>
    <row r="818" spans="1:20" x14ac:dyDescent="0.3">
      <c r="A818" s="72">
        <f>IFERROR(VLOOKUP($G818,Conf!$B:$C,2,0),E818)</f>
        <v>8</v>
      </c>
      <c r="B818" s="72" t="str">
        <f ca="1">IF(D818="Inativo","Inativo",VLOOKUP($S818,Conf!$K:$M,2,0))</f>
        <v>LOJA</v>
      </c>
      <c r="C818" s="72" t="str">
        <f ca="1">IF(D818="Inativo","Inativo",IFERROR(VLOOKUP($G818,Conf!$F$19:$G$39,2,0),VLOOKUP($S818,Conf!$K:$M,3,0)))</f>
        <v>REPOSITOR</v>
      </c>
      <c r="D818" s="72" t="str">
        <f ca="1">IFERROR(IF(TODAY()-K818&gt;365,"Inativo",IF(J818=2,"Férias",IF(J818=7,"Demitido","Afastamento"))),VLOOKUP(J818,Conf!$H:$I,2,0))</f>
        <v>Demitido</v>
      </c>
      <c r="E818" s="71">
        <v>8</v>
      </c>
      <c r="F818" s="71">
        <v>30</v>
      </c>
      <c r="G818" s="71" t="s">
        <v>3774</v>
      </c>
      <c r="H818" s="71">
        <v>189</v>
      </c>
      <c r="I818" s="71" t="s">
        <v>799</v>
      </c>
      <c r="J818" s="71">
        <v>7</v>
      </c>
      <c r="K818" s="71" t="s">
        <v>3775</v>
      </c>
      <c r="L818" s="71" t="s">
        <v>3776</v>
      </c>
      <c r="M818" s="71" t="s">
        <v>315</v>
      </c>
      <c r="N818" s="71">
        <v>12568433930</v>
      </c>
      <c r="Q818" s="71">
        <v>0</v>
      </c>
      <c r="R818" s="71" t="s">
        <v>2736</v>
      </c>
      <c r="S818" s="71" t="s">
        <v>2737</v>
      </c>
      <c r="T818" s="71" t="s">
        <v>405</v>
      </c>
    </row>
    <row r="819" spans="1:20" x14ac:dyDescent="0.3">
      <c r="A819" s="72">
        <f>IFERROR(VLOOKUP($G819,Conf!$B:$C,2,0),E819)</f>
        <v>8</v>
      </c>
      <c r="B819" s="72" t="str">
        <f ca="1">IF(D819="Inativo","Inativo",VLOOKUP($S819,Conf!$K:$M,2,0))</f>
        <v>LOJA</v>
      </c>
      <c r="C819" s="72" t="str">
        <f ca="1">IF(D819="Inativo","Inativo",IFERROR(VLOOKUP($G819,Conf!$F$19:$G$39,2,0),VLOOKUP($S819,Conf!$K:$M,3,0)))</f>
        <v>REPOSITOR</v>
      </c>
      <c r="D819" s="72" t="str">
        <f ca="1">IFERROR(IF(TODAY()-K819&gt;365,"Inativo",IF(J819=2,"Férias",IF(J819=7,"Demitido","Afastamento"))),VLOOKUP(J819,Conf!$H:$I,2,0))</f>
        <v>Demitido</v>
      </c>
      <c r="E819" s="71">
        <v>8</v>
      </c>
      <c r="F819" s="71">
        <v>274</v>
      </c>
      <c r="G819" s="71" t="s">
        <v>3813</v>
      </c>
      <c r="H819" s="71">
        <v>6</v>
      </c>
      <c r="I819" s="71" t="s">
        <v>230</v>
      </c>
      <c r="J819" s="71">
        <v>7</v>
      </c>
      <c r="K819" s="71" t="s">
        <v>3814</v>
      </c>
      <c r="L819" s="71" t="s">
        <v>3815</v>
      </c>
      <c r="M819" s="71" t="s">
        <v>3769</v>
      </c>
      <c r="N819" s="71">
        <v>70861151267</v>
      </c>
      <c r="Q819" s="71">
        <v>0</v>
      </c>
      <c r="R819" s="71" t="s">
        <v>2736</v>
      </c>
      <c r="S819" s="71" t="s">
        <v>2737</v>
      </c>
      <c r="T819" s="71" t="s">
        <v>405</v>
      </c>
    </row>
    <row r="820" spans="1:20" x14ac:dyDescent="0.3">
      <c r="A820" s="72">
        <f>IFERROR(VLOOKUP($G820,Conf!$B:$C,2,0),E820)</f>
        <v>8</v>
      </c>
      <c r="B820" s="72" t="str">
        <f ca="1">IF(D820="Inativo","Inativo",VLOOKUP($S820,Conf!$K:$M,2,0))</f>
        <v>LOJA</v>
      </c>
      <c r="C820" s="72" t="str">
        <f ca="1">IF(D820="Inativo","Inativo",IFERROR(VLOOKUP($G820,Conf!$F$19:$G$39,2,0),VLOOKUP($S820,Conf!$K:$M,3,0)))</f>
        <v>REPOSITOR</v>
      </c>
      <c r="D820" s="72" t="str">
        <f ca="1">IFERROR(IF(TODAY()-K820&gt;365,"Inativo",IF(J820=2,"Férias",IF(J820=7,"Demitido","Afastamento"))),VLOOKUP(J820,Conf!$H:$I,2,0))</f>
        <v>Demitido</v>
      </c>
      <c r="E820" s="71">
        <v>8</v>
      </c>
      <c r="F820" s="71">
        <v>316</v>
      </c>
      <c r="G820" s="71" t="s">
        <v>2763</v>
      </c>
      <c r="H820" s="71">
        <v>992</v>
      </c>
      <c r="I820" s="71" t="s">
        <v>657</v>
      </c>
      <c r="J820" s="71">
        <v>7</v>
      </c>
      <c r="K820" s="71" t="s">
        <v>3632</v>
      </c>
      <c r="L820" s="71" t="s">
        <v>2764</v>
      </c>
      <c r="M820" s="71" t="s">
        <v>446</v>
      </c>
      <c r="N820" s="71">
        <v>11861938241</v>
      </c>
      <c r="O820" s="71" t="s">
        <v>245</v>
      </c>
      <c r="P820" s="71" t="s">
        <v>246</v>
      </c>
      <c r="Q820" s="71">
        <v>0</v>
      </c>
      <c r="R820" s="71" t="s">
        <v>2736</v>
      </c>
      <c r="S820" s="71" t="s">
        <v>2737</v>
      </c>
      <c r="T820" s="71" t="s">
        <v>405</v>
      </c>
    </row>
    <row r="821" spans="1:20" x14ac:dyDescent="0.3">
      <c r="A821" s="72">
        <f>IFERROR(VLOOKUP($G821,Conf!$B:$C,2,0),E821)</f>
        <v>8</v>
      </c>
      <c r="B821" s="72" t="str">
        <f ca="1">IF(D821="Inativo","Inativo",VLOOKUP($S821,Conf!$K:$M,2,0))</f>
        <v>LOJA</v>
      </c>
      <c r="C821" s="72" t="str">
        <f ca="1">IF(D821="Inativo","Inativo",IFERROR(VLOOKUP($G821,Conf!$F$19:$G$39,2,0),VLOOKUP($S821,Conf!$K:$M,3,0)))</f>
        <v>REPOSITOR</v>
      </c>
      <c r="D821" s="72" t="str">
        <f ca="1">IFERROR(IF(TODAY()-K821&gt;365,"Inativo",IF(J821=2,"Férias",IF(J821=7,"Demitido","Afastamento"))),VLOOKUP(J821,Conf!$H:$I,2,0))</f>
        <v>Ativos</v>
      </c>
      <c r="E821" s="71">
        <v>8</v>
      </c>
      <c r="F821" s="71">
        <v>346</v>
      </c>
      <c r="G821" s="71" t="s">
        <v>2765</v>
      </c>
      <c r="H821" s="71">
        <v>484</v>
      </c>
      <c r="I821" s="71" t="s">
        <v>550</v>
      </c>
      <c r="J821" s="71">
        <v>1</v>
      </c>
      <c r="K821" s="71" t="s">
        <v>223</v>
      </c>
      <c r="L821" s="71" t="s">
        <v>2766</v>
      </c>
      <c r="M821" s="71" t="s">
        <v>527</v>
      </c>
      <c r="N821" s="71">
        <v>23658628880</v>
      </c>
      <c r="O821" s="71" t="s">
        <v>245</v>
      </c>
      <c r="P821" s="71" t="s">
        <v>246</v>
      </c>
      <c r="Q821" s="71">
        <v>0</v>
      </c>
      <c r="R821" s="71" t="s">
        <v>2736</v>
      </c>
      <c r="S821" s="71" t="s">
        <v>2737</v>
      </c>
      <c r="T821" s="71" t="s">
        <v>405</v>
      </c>
    </row>
    <row r="822" spans="1:20" x14ac:dyDescent="0.3">
      <c r="A822" s="72">
        <f>IFERROR(VLOOKUP($G822,Conf!$B:$C,2,0),E822)</f>
        <v>8</v>
      </c>
      <c r="B822" s="72" t="str">
        <f ca="1">IF(D822="Inativo","Inativo",VLOOKUP($S822,Conf!$K:$M,2,0))</f>
        <v>PADARIA</v>
      </c>
      <c r="C822" s="72" t="str">
        <f ca="1">IF(D822="Inativo","Inativo",IFERROR(VLOOKUP($G822,Conf!$F$19:$G$39,2,0),VLOOKUP($S822,Conf!$K:$M,3,0)))</f>
        <v>BALCONISTA</v>
      </c>
      <c r="D822" s="72" t="str">
        <f ca="1">IFERROR(IF(TODAY()-K822&gt;365,"Inativo",IF(J822=2,"Férias",IF(J822=7,"Demitido","Afastamento"))),VLOOKUP(J822,Conf!$H:$I,2,0))</f>
        <v>Ativos</v>
      </c>
      <c r="E822" s="71">
        <v>8</v>
      </c>
      <c r="F822" s="71">
        <v>340</v>
      </c>
      <c r="G822" s="71" t="s">
        <v>2773</v>
      </c>
      <c r="H822" s="71">
        <v>988</v>
      </c>
      <c r="I822" s="71" t="s">
        <v>657</v>
      </c>
      <c r="J822" s="71">
        <v>1</v>
      </c>
      <c r="K822" s="71" t="s">
        <v>223</v>
      </c>
      <c r="L822" s="71" t="s">
        <v>2774</v>
      </c>
      <c r="M822" s="71" t="s">
        <v>525</v>
      </c>
      <c r="N822" s="71">
        <v>71365350266</v>
      </c>
      <c r="O822" s="71" t="s">
        <v>245</v>
      </c>
      <c r="P822" s="71" t="s">
        <v>246</v>
      </c>
      <c r="Q822" s="71">
        <v>0</v>
      </c>
      <c r="R822" s="71" t="s">
        <v>2775</v>
      </c>
      <c r="S822" s="71" t="s">
        <v>2776</v>
      </c>
      <c r="T822" s="71" t="s">
        <v>2777</v>
      </c>
    </row>
    <row r="823" spans="1:20" x14ac:dyDescent="0.3">
      <c r="A823" s="72">
        <f>IFERROR(VLOOKUP($G823,Conf!$B:$C,2,0),E823)</f>
        <v>8</v>
      </c>
      <c r="B823" s="72" t="str">
        <f ca="1">IF(D823="Inativo","Inativo",VLOOKUP($S823,Conf!$K:$M,2,0))</f>
        <v>PADARIA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8</v>
      </c>
      <c r="F823" s="71">
        <v>286</v>
      </c>
      <c r="G823" s="71" t="s">
        <v>2778</v>
      </c>
      <c r="H823" s="71">
        <v>1068</v>
      </c>
      <c r="I823" s="71" t="s">
        <v>657</v>
      </c>
      <c r="J823" s="71">
        <v>1</v>
      </c>
      <c r="K823" s="71" t="s">
        <v>223</v>
      </c>
      <c r="L823" s="71" t="s">
        <v>2779</v>
      </c>
      <c r="M823" s="71" t="s">
        <v>712</v>
      </c>
      <c r="N823" s="71">
        <v>48734797890</v>
      </c>
      <c r="Q823" s="71">
        <v>0</v>
      </c>
      <c r="R823" s="71" t="s">
        <v>2780</v>
      </c>
      <c r="S823" s="71" t="s">
        <v>2781</v>
      </c>
      <c r="T823" s="71" t="s">
        <v>2782</v>
      </c>
    </row>
    <row r="824" spans="1:20" x14ac:dyDescent="0.3">
      <c r="A824" s="72">
        <f>IFERROR(VLOOKUP($G824,Conf!$B:$C,2,0),E824)</f>
        <v>8</v>
      </c>
      <c r="B824" s="72" t="str">
        <f ca="1">IF(D824="Inativo","Inativo",VLOOKUP($S824,Conf!$K:$M,2,0))</f>
        <v>PADARIA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Demitido</v>
      </c>
      <c r="E824" s="71">
        <v>8</v>
      </c>
      <c r="F824" s="71">
        <v>176</v>
      </c>
      <c r="G824" s="71" t="s">
        <v>3810</v>
      </c>
      <c r="H824" s="71">
        <v>1080</v>
      </c>
      <c r="I824" s="71" t="s">
        <v>772</v>
      </c>
      <c r="J824" s="71">
        <v>7</v>
      </c>
      <c r="K824" s="71" t="s">
        <v>3811</v>
      </c>
      <c r="L824" s="71" t="s">
        <v>3812</v>
      </c>
      <c r="M824" s="71" t="s">
        <v>1385</v>
      </c>
      <c r="N824" s="71">
        <v>12190700922</v>
      </c>
      <c r="Q824" s="71">
        <v>0</v>
      </c>
      <c r="R824" s="71" t="s">
        <v>2780</v>
      </c>
      <c r="S824" s="71" t="s">
        <v>2781</v>
      </c>
      <c r="T824" s="71" t="s">
        <v>2782</v>
      </c>
    </row>
    <row r="825" spans="1:20" x14ac:dyDescent="0.3">
      <c r="A825" s="72">
        <f>IFERROR(VLOOKUP($G825,Conf!$B:$C,2,0),E825)</f>
        <v>8</v>
      </c>
      <c r="B825" s="72" t="str">
        <f ca="1">IF(D825="Inativo","Inativo",VLOOKUP($S825,Conf!$K:$M,2,0))</f>
        <v>PADARIA</v>
      </c>
      <c r="C825" s="72" t="str">
        <f ca="1">IF(D825="Inativo","Inativo",IFERROR(VLOOKUP($G825,Conf!$F$19:$G$39,2,0),VLOOKUP($S825,Conf!$K:$M,3,0)))</f>
        <v>BALCONISTA</v>
      </c>
      <c r="D825" s="72" t="str">
        <f ca="1">IFERROR(IF(TODAY()-K825&gt;365,"Inativo",IF(J825=2,"Férias",IF(J825=7,"Demitido","Afastamento"))),VLOOKUP(J825,Conf!$H:$I,2,0))</f>
        <v>Demitido</v>
      </c>
      <c r="E825" s="71">
        <v>8</v>
      </c>
      <c r="F825" s="71">
        <v>317</v>
      </c>
      <c r="G825" s="71" t="s">
        <v>3891</v>
      </c>
      <c r="H825" s="71">
        <v>988</v>
      </c>
      <c r="I825" s="71" t="s">
        <v>657</v>
      </c>
      <c r="J825" s="71">
        <v>7</v>
      </c>
      <c r="K825" s="71" t="s">
        <v>937</v>
      </c>
      <c r="L825" s="71" t="s">
        <v>3892</v>
      </c>
      <c r="M825" s="71" t="s">
        <v>1820</v>
      </c>
      <c r="N825" s="71">
        <v>3961491976</v>
      </c>
      <c r="O825" s="71" t="s">
        <v>245</v>
      </c>
      <c r="P825" s="71" t="s">
        <v>246</v>
      </c>
      <c r="Q825" s="71">
        <v>0</v>
      </c>
      <c r="R825" s="71" t="s">
        <v>2775</v>
      </c>
      <c r="S825" s="71" t="s">
        <v>2776</v>
      </c>
      <c r="T825" s="71" t="s">
        <v>2777</v>
      </c>
    </row>
    <row r="826" spans="1:20" x14ac:dyDescent="0.3">
      <c r="A826" s="72">
        <f>IFERROR(VLOOKUP($G826,Conf!$B:$C,2,0),E826)</f>
        <v>8</v>
      </c>
      <c r="B826" s="72" t="str">
        <f ca="1">IF(D826="Inativo","Inativo",VLOOKUP($S826,Conf!$K:$M,2,0))</f>
        <v>PADARIA</v>
      </c>
      <c r="C826" s="72" t="str">
        <f ca="1">IF(D826="Inativo","Inativo",IFERROR(VLOOKUP($G826,Conf!$F$19:$G$39,2,0),VLOOKUP($S826,Conf!$K:$M,3,0)))</f>
        <v>BALCONISTA</v>
      </c>
      <c r="D826" s="72" t="str">
        <f ca="1">IFERROR(IF(TODAY()-K826&gt;365,"Inativo",IF(J826=2,"Férias",IF(J826=7,"Demitido","Afastamento"))),VLOOKUP(J826,Conf!$H:$I,2,0))</f>
        <v>Ativos</v>
      </c>
      <c r="E826" s="71">
        <v>8</v>
      </c>
      <c r="F826" s="71">
        <v>270</v>
      </c>
      <c r="G826" s="71" t="s">
        <v>2783</v>
      </c>
      <c r="H826" s="71">
        <v>1069</v>
      </c>
      <c r="I826" s="71" t="s">
        <v>657</v>
      </c>
      <c r="J826" s="71">
        <v>1</v>
      </c>
      <c r="K826" s="71" t="s">
        <v>223</v>
      </c>
      <c r="L826" s="71" t="s">
        <v>1361</v>
      </c>
      <c r="M826" s="71" t="s">
        <v>1447</v>
      </c>
      <c r="N826" s="71">
        <v>12607064945</v>
      </c>
      <c r="Q826" s="71">
        <v>0</v>
      </c>
      <c r="R826" s="71" t="s">
        <v>2775</v>
      </c>
      <c r="S826" s="71" t="s">
        <v>2776</v>
      </c>
      <c r="T826" s="71" t="s">
        <v>2777</v>
      </c>
    </row>
    <row r="827" spans="1:20" x14ac:dyDescent="0.3">
      <c r="A827" s="72">
        <f>IFERROR(VLOOKUP($G827,Conf!$B:$C,2,0),E827)</f>
        <v>8</v>
      </c>
      <c r="B827" s="72" t="str">
        <f ca="1">IF(D827="Inativo","Inativo",VLOOKUP($S827,Conf!$K:$M,2,0))</f>
        <v>PADARIA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Férias</v>
      </c>
      <c r="E827" s="71">
        <v>8</v>
      </c>
      <c r="F827" s="71">
        <v>130</v>
      </c>
      <c r="G827" s="71" t="s">
        <v>2784</v>
      </c>
      <c r="H827" s="71">
        <v>1079</v>
      </c>
      <c r="I827" s="71" t="s">
        <v>772</v>
      </c>
      <c r="J827" s="71">
        <v>2</v>
      </c>
      <c r="K827" s="71" t="s">
        <v>471</v>
      </c>
      <c r="L827" s="71" t="s">
        <v>2785</v>
      </c>
      <c r="M827" s="71" t="s">
        <v>2786</v>
      </c>
      <c r="N827" s="71">
        <v>5588794974</v>
      </c>
      <c r="Q827" s="71">
        <v>0</v>
      </c>
      <c r="R827" s="71" t="s">
        <v>2780</v>
      </c>
      <c r="S827" s="71" t="s">
        <v>2781</v>
      </c>
      <c r="T827" s="71" t="s">
        <v>2782</v>
      </c>
    </row>
    <row r="828" spans="1:20" x14ac:dyDescent="0.3">
      <c r="A828" s="72">
        <f>IFERROR(VLOOKUP($G828,Conf!$B:$C,2,0),E828)</f>
        <v>8</v>
      </c>
      <c r="B828" s="72" t="str">
        <f ca="1">IF(D828="Inativo","Inativo",VLOOKUP($S828,Conf!$K:$M,2,0))</f>
        <v>PADARIA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8</v>
      </c>
      <c r="F828" s="71">
        <v>273</v>
      </c>
      <c r="G828" s="71" t="s">
        <v>2787</v>
      </c>
      <c r="H828" s="71">
        <v>1082</v>
      </c>
      <c r="I828" s="71" t="s">
        <v>772</v>
      </c>
      <c r="J828" s="71">
        <v>1</v>
      </c>
      <c r="K828" s="71" t="s">
        <v>223</v>
      </c>
      <c r="L828" s="71" t="s">
        <v>2788</v>
      </c>
      <c r="M828" s="71" t="s">
        <v>2789</v>
      </c>
      <c r="N828" s="71">
        <v>11374300284</v>
      </c>
      <c r="Q828" s="71">
        <v>0</v>
      </c>
      <c r="R828" s="71" t="s">
        <v>2780</v>
      </c>
      <c r="S828" s="71" t="s">
        <v>2781</v>
      </c>
      <c r="T828" s="71" t="s">
        <v>2782</v>
      </c>
    </row>
    <row r="829" spans="1:20" x14ac:dyDescent="0.3">
      <c r="A829" s="72">
        <f>IFERROR(VLOOKUP($G829,Conf!$B:$C,2,0),E829)</f>
        <v>8</v>
      </c>
      <c r="B829" s="72" t="str">
        <f ca="1">IF(D829="Inativo","Inativo",VLOOKUP($S829,Conf!$K:$M,2,0))</f>
        <v>PADARIA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Afastamento</v>
      </c>
      <c r="E829" s="71">
        <v>8</v>
      </c>
      <c r="F829" s="71">
        <v>348</v>
      </c>
      <c r="G829" s="71" t="s">
        <v>3923</v>
      </c>
      <c r="H829" s="71">
        <v>988</v>
      </c>
      <c r="I829" s="71" t="s">
        <v>657</v>
      </c>
      <c r="J829" s="71">
        <v>14</v>
      </c>
      <c r="K829" s="71" t="s">
        <v>3639</v>
      </c>
      <c r="L829" s="71" t="s">
        <v>3924</v>
      </c>
      <c r="M829" s="71" t="s">
        <v>3925</v>
      </c>
      <c r="N829" s="71">
        <v>8368211905</v>
      </c>
      <c r="O829" s="71" t="s">
        <v>245</v>
      </c>
      <c r="P829" s="71" t="s">
        <v>246</v>
      </c>
      <c r="Q829" s="71">
        <v>0</v>
      </c>
      <c r="R829" s="71" t="s">
        <v>2780</v>
      </c>
      <c r="S829" s="71" t="s">
        <v>2781</v>
      </c>
      <c r="T829" s="71" t="s">
        <v>2782</v>
      </c>
    </row>
    <row r="830" spans="1:20" x14ac:dyDescent="0.3">
      <c r="A830" s="72">
        <f>IFERROR(VLOOKUP($G830,Conf!$B:$C,2,0),E830)</f>
        <v>8</v>
      </c>
      <c r="B830" s="72" t="str">
        <f ca="1">IF(D830="Inativo","Inativo",VLOOKUP($S830,Conf!$K:$M,2,0))</f>
        <v>PADARIA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Demitido</v>
      </c>
      <c r="E830" s="71">
        <v>8</v>
      </c>
      <c r="F830" s="71">
        <v>282</v>
      </c>
      <c r="G830" s="71" t="s">
        <v>3849</v>
      </c>
      <c r="H830" s="71">
        <v>1070</v>
      </c>
      <c r="I830" s="71" t="s">
        <v>657</v>
      </c>
      <c r="J830" s="71">
        <v>7</v>
      </c>
      <c r="K830" s="71" t="s">
        <v>758</v>
      </c>
      <c r="L830" s="71" t="s">
        <v>3850</v>
      </c>
      <c r="M830" s="71" t="s">
        <v>2360</v>
      </c>
      <c r="N830" s="71">
        <v>70575294493</v>
      </c>
      <c r="Q830" s="71">
        <v>0</v>
      </c>
      <c r="R830" s="71" t="s">
        <v>2780</v>
      </c>
      <c r="S830" s="71" t="s">
        <v>2781</v>
      </c>
      <c r="T830" s="71" t="s">
        <v>2782</v>
      </c>
    </row>
    <row r="831" spans="1:20" x14ac:dyDescent="0.3">
      <c r="A831" s="72">
        <f>IFERROR(VLOOKUP($G831,Conf!$B:$C,2,0),E831)</f>
        <v>8</v>
      </c>
      <c r="B831" s="72" t="str">
        <f ca="1">IF(D831="Inativo","Inativo",VLOOKUP($S831,Conf!$K:$M,2,0))</f>
        <v>PADARIA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Demitido</v>
      </c>
      <c r="E831" s="71">
        <v>8</v>
      </c>
      <c r="F831" s="71">
        <v>291</v>
      </c>
      <c r="G831" s="71" t="s">
        <v>3833</v>
      </c>
      <c r="H831" s="71">
        <v>1071</v>
      </c>
      <c r="I831" s="71" t="s">
        <v>657</v>
      </c>
      <c r="J831" s="71">
        <v>7</v>
      </c>
      <c r="K831" s="71" t="s">
        <v>3834</v>
      </c>
      <c r="L831" s="71" t="s">
        <v>3835</v>
      </c>
      <c r="M831" s="71" t="s">
        <v>492</v>
      </c>
      <c r="N831" s="71">
        <v>6342819920</v>
      </c>
      <c r="Q831" s="71">
        <v>0</v>
      </c>
      <c r="R831" s="71" t="s">
        <v>2780</v>
      </c>
      <c r="S831" s="71" t="s">
        <v>2781</v>
      </c>
      <c r="T831" s="71" t="s">
        <v>2782</v>
      </c>
    </row>
    <row r="832" spans="1:20" x14ac:dyDescent="0.3">
      <c r="A832" s="72">
        <f>IFERROR(VLOOKUP($G832,Conf!$B:$C,2,0),E832)</f>
        <v>8</v>
      </c>
      <c r="B832" s="72" t="str">
        <f ca="1">IF(D832="Inativo","Inativo",VLOOKUP($S832,Conf!$K:$M,2,0))</f>
        <v>PADARIA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Demitido</v>
      </c>
      <c r="E832" s="71">
        <v>8</v>
      </c>
      <c r="F832" s="71">
        <v>304</v>
      </c>
      <c r="G832" s="71" t="s">
        <v>3851</v>
      </c>
      <c r="H832" s="71">
        <v>6</v>
      </c>
      <c r="I832" s="71" t="s">
        <v>230</v>
      </c>
      <c r="J832" s="71">
        <v>7</v>
      </c>
      <c r="K832" s="71" t="s">
        <v>3852</v>
      </c>
      <c r="L832" s="71" t="s">
        <v>2926</v>
      </c>
      <c r="M832" s="71" t="s">
        <v>1487</v>
      </c>
      <c r="N832" s="71">
        <v>12325281965</v>
      </c>
      <c r="O832" s="71" t="s">
        <v>245</v>
      </c>
      <c r="P832" s="71" t="s">
        <v>246</v>
      </c>
      <c r="Q832" s="71">
        <v>0</v>
      </c>
      <c r="R832" s="71" t="s">
        <v>2780</v>
      </c>
      <c r="S832" s="71" t="s">
        <v>2781</v>
      </c>
      <c r="T832" s="71" t="s">
        <v>2782</v>
      </c>
    </row>
    <row r="833" spans="1:20" x14ac:dyDescent="0.3">
      <c r="A833" s="72">
        <f>IFERROR(VLOOKUP($G833,Conf!$B:$C,2,0),E833)</f>
        <v>8</v>
      </c>
      <c r="B833" s="72" t="str">
        <f ca="1">IF(D833="Inativo","Inativo",VLOOKUP($S833,Conf!$K:$M,2,0))</f>
        <v>PADARIA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Demitido</v>
      </c>
      <c r="E833" s="71">
        <v>8</v>
      </c>
      <c r="F833" s="71">
        <v>298</v>
      </c>
      <c r="G833" s="71" t="s">
        <v>3844</v>
      </c>
      <c r="H833" s="71">
        <v>1071</v>
      </c>
      <c r="I833" s="71" t="s">
        <v>657</v>
      </c>
      <c r="J833" s="71">
        <v>7</v>
      </c>
      <c r="K833" s="71" t="s">
        <v>2834</v>
      </c>
      <c r="L833" s="71" t="s">
        <v>3845</v>
      </c>
      <c r="M833" s="71" t="s">
        <v>2836</v>
      </c>
      <c r="N833" s="71">
        <v>59120676883</v>
      </c>
      <c r="Q833" s="71">
        <v>0</v>
      </c>
      <c r="R833" s="71" t="s">
        <v>2780</v>
      </c>
      <c r="S833" s="71" t="s">
        <v>2781</v>
      </c>
      <c r="T833" s="71" t="s">
        <v>2782</v>
      </c>
    </row>
    <row r="834" spans="1:20" x14ac:dyDescent="0.3">
      <c r="A834" s="72">
        <f>IFERROR(VLOOKUP($G834,Conf!$B:$C,2,0),E834)</f>
        <v>8</v>
      </c>
      <c r="B834" s="72" t="str">
        <f ca="1">IF(D834="Inativo","Inativo",VLOOKUP($S834,Conf!$K:$M,2,0))</f>
        <v>PADARIA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Demitido</v>
      </c>
      <c r="E834" s="71">
        <v>8</v>
      </c>
      <c r="F834" s="71">
        <v>266</v>
      </c>
      <c r="G834" s="71" t="s">
        <v>3768</v>
      </c>
      <c r="H834" s="71">
        <v>1076</v>
      </c>
      <c r="I834" s="71" t="s">
        <v>230</v>
      </c>
      <c r="J834" s="71">
        <v>7</v>
      </c>
      <c r="K834" s="71" t="s">
        <v>3769</v>
      </c>
      <c r="L834" s="71" t="s">
        <v>3770</v>
      </c>
      <c r="M834" s="71" t="s">
        <v>1629</v>
      </c>
      <c r="N834" s="71">
        <v>11616134208</v>
      </c>
      <c r="Q834" s="71">
        <v>0</v>
      </c>
      <c r="R834" s="71" t="s">
        <v>2780</v>
      </c>
      <c r="S834" s="71" t="s">
        <v>2781</v>
      </c>
      <c r="T834" s="71" t="s">
        <v>2782</v>
      </c>
    </row>
    <row r="835" spans="1:20" x14ac:dyDescent="0.3">
      <c r="A835" s="72">
        <f>IFERROR(VLOOKUP($G835,Conf!$B:$C,2,0),E835)</f>
        <v>8</v>
      </c>
      <c r="B835" s="72" t="str">
        <f ca="1">IF(D835="Inativo","Inativo",VLOOKUP($S835,Conf!$K:$M,2,0))</f>
        <v>PADARIA</v>
      </c>
      <c r="C835" s="72" t="str">
        <f ca="1">IF(D835="Inativo","Inativo",IFERROR(VLOOKUP($G835,Conf!$F$19:$G$39,2,0),VLOOKUP($S835,Conf!$K:$M,3,0)))</f>
        <v>BALCONISTA</v>
      </c>
      <c r="D835" s="72" t="str">
        <f ca="1">IFERROR(IF(TODAY()-K835&gt;365,"Inativo",IF(J835=2,"Férias",IF(J835=7,"Demitido","Afastamento"))),VLOOKUP(J835,Conf!$H:$I,2,0))</f>
        <v>Demitido</v>
      </c>
      <c r="E835" s="71">
        <v>8</v>
      </c>
      <c r="F835" s="71">
        <v>342</v>
      </c>
      <c r="G835" s="71" t="s">
        <v>2790</v>
      </c>
      <c r="H835" s="71">
        <v>133</v>
      </c>
      <c r="I835" s="71" t="s">
        <v>494</v>
      </c>
      <c r="J835" s="71">
        <v>7</v>
      </c>
      <c r="K835" s="71" t="s">
        <v>688</v>
      </c>
      <c r="L835" s="71" t="s">
        <v>2791</v>
      </c>
      <c r="M835" s="71" t="s">
        <v>1633</v>
      </c>
      <c r="N835" s="71">
        <v>3635374903</v>
      </c>
      <c r="O835" s="71" t="s">
        <v>245</v>
      </c>
      <c r="P835" s="71" t="s">
        <v>246</v>
      </c>
      <c r="Q835" s="71">
        <v>0</v>
      </c>
      <c r="R835" s="71" t="s">
        <v>2775</v>
      </c>
      <c r="S835" s="71" t="s">
        <v>2776</v>
      </c>
      <c r="T835" s="71" t="s">
        <v>2777</v>
      </c>
    </row>
    <row r="836" spans="1:20" x14ac:dyDescent="0.3">
      <c r="A836" s="72">
        <f>IFERROR(VLOOKUP($G836,Conf!$B:$C,2,0),E836)</f>
        <v>8</v>
      </c>
      <c r="B836" s="72" t="str">
        <f ca="1">IF(D836="Inativo","Inativo",VLOOKUP($S836,Conf!$K:$M,2,0))</f>
        <v>PADARIA</v>
      </c>
      <c r="C836" s="72" t="str">
        <f ca="1">IF(D836="Inativo","Inativo",IFERROR(VLOOKUP($G836,Conf!$F$19:$G$39,2,0),VLOOKUP($S836,Conf!$K:$M,3,0)))</f>
        <v>AUXILIAR</v>
      </c>
      <c r="D836" s="72" t="str">
        <f ca="1">IFERROR(IF(TODAY()-K836&gt;365,"Inativo",IF(J836=2,"Férias",IF(J836=7,"Demitido","Afastamento"))),VLOOKUP(J836,Conf!$H:$I,2,0))</f>
        <v>Ativos</v>
      </c>
      <c r="E836" s="71">
        <v>8</v>
      </c>
      <c r="F836" s="71">
        <v>133</v>
      </c>
      <c r="G836" s="71" t="s">
        <v>2792</v>
      </c>
      <c r="H836" s="71">
        <v>1081</v>
      </c>
      <c r="I836" s="71" t="s">
        <v>772</v>
      </c>
      <c r="J836" s="71">
        <v>1</v>
      </c>
      <c r="K836" s="71" t="s">
        <v>223</v>
      </c>
      <c r="L836" s="71" t="s">
        <v>2793</v>
      </c>
      <c r="M836" s="71" t="s">
        <v>2794</v>
      </c>
      <c r="N836" s="71">
        <v>41399903845</v>
      </c>
      <c r="Q836" s="71">
        <v>0</v>
      </c>
      <c r="R836" s="71" t="s">
        <v>2780</v>
      </c>
      <c r="S836" s="71" t="s">
        <v>2781</v>
      </c>
      <c r="T836" s="71" t="s">
        <v>2782</v>
      </c>
    </row>
    <row r="837" spans="1:20" x14ac:dyDescent="0.3">
      <c r="A837" s="72">
        <f>IFERROR(VLOOKUP($G837,Conf!$B:$C,2,0),E837)</f>
        <v>8</v>
      </c>
      <c r="B837" s="72" t="str">
        <f ca="1">IF(D837="Inativo","Inativo",VLOOKUP($S837,Conf!$K:$M,2,0))</f>
        <v>PADARIA</v>
      </c>
      <c r="C837" s="72" t="str">
        <f ca="1">IF(D837="Inativo","Inativo",IFERROR(VLOOKUP($G837,Conf!$F$19:$G$39,2,0),VLOOKUP($S837,Conf!$K:$M,3,0)))</f>
        <v>AUXILIAR</v>
      </c>
      <c r="D837" s="72" t="str">
        <f ca="1">IFERROR(IF(TODAY()-K837&gt;365,"Inativo",IF(J837=2,"Férias",IF(J837=7,"Demitido","Afastamento"))),VLOOKUP(J837,Conf!$H:$I,2,0))</f>
        <v>Ativos</v>
      </c>
      <c r="E837" s="71">
        <v>8</v>
      </c>
      <c r="F837" s="71">
        <v>214</v>
      </c>
      <c r="G837" s="71" t="s">
        <v>2795</v>
      </c>
      <c r="H837" s="71">
        <v>1077</v>
      </c>
      <c r="I837" s="71" t="s">
        <v>230</v>
      </c>
      <c r="J837" s="71">
        <v>1</v>
      </c>
      <c r="K837" s="71" t="s">
        <v>223</v>
      </c>
      <c r="L837" s="71" t="s">
        <v>2796</v>
      </c>
      <c r="M837" s="71" t="s">
        <v>1717</v>
      </c>
      <c r="N837" s="71">
        <v>70188787216</v>
      </c>
      <c r="Q837" s="71">
        <v>0</v>
      </c>
      <c r="R837" s="71" t="s">
        <v>2780</v>
      </c>
      <c r="S837" s="71" t="s">
        <v>2781</v>
      </c>
      <c r="T837" s="71" t="s">
        <v>2782</v>
      </c>
    </row>
    <row r="838" spans="1:20" x14ac:dyDescent="0.3">
      <c r="A838" s="72">
        <f>IFERROR(VLOOKUP($G838,Conf!$B:$C,2,0),E838)</f>
        <v>8</v>
      </c>
      <c r="B838" s="72" t="str">
        <f ca="1">IF(D838="Inativo","Inativo",VLOOKUP($S838,Conf!$K:$M,2,0))</f>
        <v>PADARIA</v>
      </c>
      <c r="C838" s="72" t="str">
        <f ca="1">IF(D838="Inativo","Inativo",IFERROR(VLOOKUP($G838,Conf!$F$19:$G$39,2,0),VLOOKUP($S838,Conf!$K:$M,3,0)))</f>
        <v>AUXILIAR</v>
      </c>
      <c r="D838" s="72" t="str">
        <f ca="1">IFERROR(IF(TODAY()-K838&gt;365,"Inativo",IF(J838=2,"Férias",IF(J838=7,"Demitido","Afastamento"))),VLOOKUP(J838,Conf!$H:$I,2,0))</f>
        <v>Demitido</v>
      </c>
      <c r="E838" s="71">
        <v>8</v>
      </c>
      <c r="F838" s="71">
        <v>248</v>
      </c>
      <c r="G838" s="71" t="s">
        <v>3757</v>
      </c>
      <c r="H838" s="71">
        <v>1067</v>
      </c>
      <c r="I838" s="71" t="s">
        <v>657</v>
      </c>
      <c r="J838" s="71">
        <v>7</v>
      </c>
      <c r="K838" s="71" t="s">
        <v>3755</v>
      </c>
      <c r="L838" s="71" t="s">
        <v>3758</v>
      </c>
      <c r="M838" s="71" t="s">
        <v>986</v>
      </c>
      <c r="N838" s="71">
        <v>6357443921</v>
      </c>
      <c r="Q838" s="71">
        <v>0</v>
      </c>
      <c r="R838" s="71" t="s">
        <v>2780</v>
      </c>
      <c r="S838" s="71" t="s">
        <v>2781</v>
      </c>
      <c r="T838" s="71" t="s">
        <v>2782</v>
      </c>
    </row>
    <row r="839" spans="1:20" x14ac:dyDescent="0.3">
      <c r="A839" s="72">
        <f>IFERROR(VLOOKUP($G839,Conf!$B:$C,2,0),E839)</f>
        <v>8</v>
      </c>
      <c r="B839" s="72" t="str">
        <f ca="1">IF(D839="Inativo","Inativo",VLOOKUP($S839,Conf!$K:$M,2,0))</f>
        <v>PADARIA</v>
      </c>
      <c r="C839" s="72" t="str">
        <f ca="1">IF(D839="Inativo","Inativo",IFERROR(VLOOKUP($G839,Conf!$F$19:$G$39,2,0),VLOOKUP($S839,Conf!$K:$M,3,0)))</f>
        <v>BALCONISTA</v>
      </c>
      <c r="D839" s="72" t="str">
        <f ca="1">IFERROR(IF(TODAY()-K839&gt;365,"Inativo",IF(J839=2,"Férias",IF(J839=7,"Demitido","Afastamento"))),VLOOKUP(J839,Conf!$H:$I,2,0))</f>
        <v>Ativos</v>
      </c>
      <c r="E839" s="71">
        <v>8</v>
      </c>
      <c r="F839" s="71">
        <v>343</v>
      </c>
      <c r="G839" s="71" t="s">
        <v>2797</v>
      </c>
      <c r="H839" s="71">
        <v>1001</v>
      </c>
      <c r="I839" s="71" t="s">
        <v>657</v>
      </c>
      <c r="J839" s="71">
        <v>1</v>
      </c>
      <c r="K839" s="71" t="s">
        <v>223</v>
      </c>
      <c r="L839" s="71" t="s">
        <v>2798</v>
      </c>
      <c r="M839" s="71" t="s">
        <v>933</v>
      </c>
      <c r="N839" s="71">
        <v>15372555416</v>
      </c>
      <c r="O839" s="71" t="s">
        <v>245</v>
      </c>
      <c r="P839" s="71" t="s">
        <v>246</v>
      </c>
      <c r="Q839" s="71">
        <v>0</v>
      </c>
      <c r="R839" s="71" t="s">
        <v>2775</v>
      </c>
      <c r="S839" s="71" t="s">
        <v>2776</v>
      </c>
      <c r="T839" s="71" t="s">
        <v>2777</v>
      </c>
    </row>
    <row r="840" spans="1:20" x14ac:dyDescent="0.3">
      <c r="A840" s="72">
        <f>IFERROR(VLOOKUP($G840,Conf!$B:$C,2,0),E840)</f>
        <v>8</v>
      </c>
      <c r="B840" s="72" t="str">
        <f ca="1">IF(D840="Inativo","Inativo",VLOOKUP($S840,Conf!$K:$M,2,0))</f>
        <v>PADARIA</v>
      </c>
      <c r="C840" s="72" t="str">
        <f ca="1">IF(D840="Inativo","Inativo",IFERROR(VLOOKUP($G840,Conf!$F$19:$G$39,2,0),VLOOKUP($S840,Conf!$K:$M,3,0)))</f>
        <v>BALCONISTA</v>
      </c>
      <c r="D840" s="72" t="str">
        <f ca="1">IFERROR(IF(TODAY()-K840&gt;365,"Inativo",IF(J840=2,"Férias",IF(J840=7,"Demitido","Afastamento"))),VLOOKUP(J840,Conf!$H:$I,2,0))</f>
        <v>Demitido</v>
      </c>
      <c r="E840" s="71">
        <v>8</v>
      </c>
      <c r="F840" s="71">
        <v>277</v>
      </c>
      <c r="G840" s="71" t="s">
        <v>3803</v>
      </c>
      <c r="H840" s="71">
        <v>47</v>
      </c>
      <c r="I840" s="71" t="s">
        <v>222</v>
      </c>
      <c r="J840" s="71">
        <v>7</v>
      </c>
      <c r="K840" s="71" t="s">
        <v>668</v>
      </c>
      <c r="L840" s="71" t="s">
        <v>3804</v>
      </c>
      <c r="M840" s="71" t="s">
        <v>3805</v>
      </c>
      <c r="N840" s="71">
        <v>10418114978</v>
      </c>
      <c r="Q840" s="71">
        <v>0</v>
      </c>
      <c r="R840" s="71" t="s">
        <v>2775</v>
      </c>
      <c r="S840" s="71" t="s">
        <v>2776</v>
      </c>
      <c r="T840" s="71" t="s">
        <v>2777</v>
      </c>
    </row>
    <row r="841" spans="1:20" x14ac:dyDescent="0.3">
      <c r="A841" s="72">
        <f>IFERROR(VLOOKUP($G841,Conf!$B:$C,2,0),E841)</f>
        <v>8</v>
      </c>
      <c r="B841" s="72" t="str">
        <f ca="1">IF(D841="Inativo","Inativo",VLOOKUP($S841,Conf!$K:$M,2,0))</f>
        <v>PADARIA</v>
      </c>
      <c r="C841" s="72" t="str">
        <f ca="1">IF(D841="Inativo","Inativo",IFERROR(VLOOKUP($G841,Conf!$F$19:$G$39,2,0),VLOOKUP($S841,Conf!$K:$M,3,0)))</f>
        <v>BALCONISTA</v>
      </c>
      <c r="D841" s="72" t="str">
        <f ca="1">IFERROR(IF(TODAY()-K841&gt;365,"Inativo",IF(J841=2,"Férias",IF(J841=7,"Demitido","Afastamento"))),VLOOKUP(J841,Conf!$H:$I,2,0))</f>
        <v>Demitido</v>
      </c>
      <c r="E841" s="71">
        <v>8</v>
      </c>
      <c r="F841" s="71">
        <v>339</v>
      </c>
      <c r="G841" s="71" t="s">
        <v>2799</v>
      </c>
      <c r="H841" s="71">
        <v>988</v>
      </c>
      <c r="I841" s="71" t="s">
        <v>657</v>
      </c>
      <c r="J841" s="71">
        <v>7</v>
      </c>
      <c r="K841" s="71" t="s">
        <v>460</v>
      </c>
      <c r="L841" s="71" t="s">
        <v>2800</v>
      </c>
      <c r="M841" s="71" t="s">
        <v>886</v>
      </c>
      <c r="N841" s="71">
        <v>12283818958</v>
      </c>
      <c r="O841" s="71" t="s">
        <v>245</v>
      </c>
      <c r="P841" s="71" t="s">
        <v>246</v>
      </c>
      <c r="Q841" s="71">
        <v>0</v>
      </c>
      <c r="R841" s="71" t="s">
        <v>2775</v>
      </c>
      <c r="S841" s="71" t="s">
        <v>2776</v>
      </c>
      <c r="T841" s="71" t="s">
        <v>2777</v>
      </c>
    </row>
    <row r="842" spans="1:20" x14ac:dyDescent="0.3">
      <c r="A842" s="72">
        <f>IFERROR(VLOOKUP($G842,Conf!$B:$C,2,0),E842)</f>
        <v>8</v>
      </c>
      <c r="B842" s="72" t="str">
        <f ca="1">IF(D842="Inativo","Inativo",VLOOKUP($S842,Conf!$K:$M,2,0))</f>
        <v>PADARIA</v>
      </c>
      <c r="C842" s="72" t="str">
        <f ca="1">IF(D842="Inativo","Inativo",IFERROR(VLOOKUP($G842,Conf!$F$19:$G$39,2,0),VLOOKUP($S842,Conf!$K:$M,3,0)))</f>
        <v>AUXILIAR</v>
      </c>
      <c r="D842" s="72" t="str">
        <f ca="1">IFERROR(IF(TODAY()-K842&gt;365,"Inativo",IF(J842=2,"Férias",IF(J842=7,"Demitido","Afastamento"))),VLOOKUP(J842,Conf!$H:$I,2,0))</f>
        <v>Demitido</v>
      </c>
      <c r="E842" s="71">
        <v>8</v>
      </c>
      <c r="F842" s="71">
        <v>247</v>
      </c>
      <c r="G842" s="71" t="s">
        <v>3754</v>
      </c>
      <c r="H842" s="71">
        <v>1075</v>
      </c>
      <c r="I842" s="71" t="s">
        <v>230</v>
      </c>
      <c r="J842" s="71">
        <v>7</v>
      </c>
      <c r="K842" s="71" t="s">
        <v>3755</v>
      </c>
      <c r="L842" s="71" t="s">
        <v>3756</v>
      </c>
      <c r="M842" s="71" t="s">
        <v>986</v>
      </c>
      <c r="N842" s="71">
        <v>5638592296</v>
      </c>
      <c r="Q842" s="71">
        <v>0</v>
      </c>
      <c r="R842" s="71" t="s">
        <v>2780</v>
      </c>
      <c r="S842" s="71" t="s">
        <v>2781</v>
      </c>
      <c r="T842" s="71" t="s">
        <v>2782</v>
      </c>
    </row>
    <row r="843" spans="1:20" x14ac:dyDescent="0.3">
      <c r="A843" s="72">
        <f>IFERROR(VLOOKUP($G843,Conf!$B:$C,2,0),E843)</f>
        <v>8</v>
      </c>
      <c r="B843" s="72" t="str">
        <f ca="1">IF(D843="Inativo","Inativo",VLOOKUP($S843,Conf!$K:$M,2,0))</f>
        <v>PADARIA</v>
      </c>
      <c r="C843" s="72" t="str">
        <f ca="1">IF(D843="Inativo","Inativo",IFERROR(VLOOKUP($G843,Conf!$F$19:$G$39,2,0),VLOOKUP($S843,Conf!$K:$M,3,0)))</f>
        <v>AUXILIAR</v>
      </c>
      <c r="D843" s="72" t="str">
        <f ca="1">IFERROR(IF(TODAY()-K843&gt;365,"Inativo",IF(J843=2,"Férias",IF(J843=7,"Demitido","Afastamento"))),VLOOKUP(J843,Conf!$H:$I,2,0))</f>
        <v>Demitido</v>
      </c>
      <c r="E843" s="71">
        <v>8</v>
      </c>
      <c r="F843" s="71">
        <v>314</v>
      </c>
      <c r="G843" s="71" t="s">
        <v>3909</v>
      </c>
      <c r="H843" s="71">
        <v>1067</v>
      </c>
      <c r="I843" s="71" t="s">
        <v>657</v>
      </c>
      <c r="J843" s="71">
        <v>7</v>
      </c>
      <c r="K843" s="71" t="s">
        <v>3910</v>
      </c>
      <c r="L843" s="71" t="s">
        <v>3911</v>
      </c>
      <c r="M843" s="71" t="s">
        <v>1635</v>
      </c>
      <c r="N843" s="71">
        <v>3566586609</v>
      </c>
      <c r="O843" s="71" t="s">
        <v>245</v>
      </c>
      <c r="P843" s="71" t="s">
        <v>246</v>
      </c>
      <c r="Q843" s="71">
        <v>0</v>
      </c>
      <c r="R843" s="71" t="s">
        <v>2780</v>
      </c>
      <c r="S843" s="71" t="s">
        <v>2781</v>
      </c>
      <c r="T843" s="71" t="s">
        <v>2782</v>
      </c>
    </row>
    <row r="844" spans="1:20" x14ac:dyDescent="0.3">
      <c r="A844" s="72">
        <f>IFERROR(VLOOKUP($G844,Conf!$B:$C,2,0),E844)</f>
        <v>8</v>
      </c>
      <c r="B844" s="72" t="str">
        <f ca="1">IF(D844="Inativo","Inativo",VLOOKUP($S844,Conf!$K:$M,2,0))</f>
        <v>PADARIA</v>
      </c>
      <c r="C844" s="72" t="str">
        <f ca="1">IF(D844="Inativo","Inativo",IFERROR(VLOOKUP($G844,Conf!$F$19:$G$39,2,0),VLOOKUP($S844,Conf!$K:$M,3,0)))</f>
        <v>BALCONISTA</v>
      </c>
      <c r="D844" s="72" t="str">
        <f ca="1">IFERROR(IF(TODAY()-K844&gt;365,"Inativo",IF(J844=2,"Férias",IF(J844=7,"Demitido","Afastamento"))),VLOOKUP(J844,Conf!$H:$I,2,0))</f>
        <v>Demitido</v>
      </c>
      <c r="E844" s="71">
        <v>8</v>
      </c>
      <c r="F844" s="71">
        <v>263</v>
      </c>
      <c r="G844" s="71" t="s">
        <v>3790</v>
      </c>
      <c r="H844" s="71">
        <v>1068</v>
      </c>
      <c r="I844" s="71" t="s">
        <v>657</v>
      </c>
      <c r="J844" s="71">
        <v>7</v>
      </c>
      <c r="K844" s="71" t="s">
        <v>3791</v>
      </c>
      <c r="L844" s="71" t="s">
        <v>3792</v>
      </c>
      <c r="M844" s="71" t="s">
        <v>2829</v>
      </c>
      <c r="N844" s="71">
        <v>50129694134</v>
      </c>
      <c r="Q844" s="71">
        <v>0</v>
      </c>
      <c r="R844" s="71" t="s">
        <v>2775</v>
      </c>
      <c r="S844" s="71" t="s">
        <v>2776</v>
      </c>
      <c r="T844" s="71" t="s">
        <v>2777</v>
      </c>
    </row>
    <row r="845" spans="1:20" x14ac:dyDescent="0.3">
      <c r="A845" s="72">
        <f>IFERROR(VLOOKUP($G845,Conf!$B:$C,2,0),E845)</f>
        <v>8</v>
      </c>
      <c r="B845" s="72" t="str">
        <f ca="1">IF(D845="Inativo","Inativo",VLOOKUP($S845,Conf!$K:$M,2,0))</f>
        <v>PADARIA</v>
      </c>
      <c r="C845" s="72" t="str">
        <f ca="1">IF(D845="Inativo","Inativo",IFERROR(VLOOKUP($G845,Conf!$F$19:$G$39,2,0),VLOOKUP($S845,Conf!$K:$M,3,0)))</f>
        <v>AUXILIAR</v>
      </c>
      <c r="D845" s="72" t="str">
        <f ca="1">IFERROR(IF(TODAY()-K845&gt;365,"Inativo",IF(J845=2,"Férias",IF(J845=7,"Demitido","Afastamento"))),VLOOKUP(J845,Conf!$H:$I,2,0))</f>
        <v>Ativos</v>
      </c>
      <c r="E845" s="71">
        <v>8</v>
      </c>
      <c r="F845" s="71">
        <v>350</v>
      </c>
      <c r="G845" s="71" t="s">
        <v>3687</v>
      </c>
      <c r="H845" s="71">
        <v>988</v>
      </c>
      <c r="I845" s="71" t="s">
        <v>657</v>
      </c>
      <c r="J845" s="71">
        <v>1</v>
      </c>
      <c r="K845" s="71" t="s">
        <v>223</v>
      </c>
      <c r="L845" s="71" t="s">
        <v>3688</v>
      </c>
      <c r="M845" s="71" t="s">
        <v>3647</v>
      </c>
      <c r="N845" s="71">
        <v>15301584944</v>
      </c>
      <c r="O845" s="71" t="s">
        <v>245</v>
      </c>
      <c r="P845" s="71" t="s">
        <v>246</v>
      </c>
      <c r="Q845" s="71">
        <v>0</v>
      </c>
      <c r="R845" s="71" t="s">
        <v>2780</v>
      </c>
      <c r="S845" s="71" t="s">
        <v>2781</v>
      </c>
      <c r="T845" s="71" t="s">
        <v>2782</v>
      </c>
    </row>
    <row r="846" spans="1:20" x14ac:dyDescent="0.3">
      <c r="A846" s="72">
        <f>IFERROR(VLOOKUP($G846,Conf!$B:$C,2,0),E846)</f>
        <v>8</v>
      </c>
      <c r="B846" s="72" t="str">
        <f ca="1">IF(D846="Inativo","Inativo",VLOOKUP($S846,Conf!$K:$M,2,0))</f>
        <v>PADARIA</v>
      </c>
      <c r="C846" s="72" t="str">
        <f ca="1">IF(D846="Inativo","Inativo",IFERROR(VLOOKUP($G846,Conf!$F$19:$G$39,2,0),VLOOKUP($S846,Conf!$K:$M,3,0)))</f>
        <v>GERENTE</v>
      </c>
      <c r="D846" s="72" t="str">
        <f ca="1">IFERROR(IF(TODAY()-K846&gt;365,"Inativo",IF(J846=2,"Férias",IF(J846=7,"Demitido","Afastamento"))),VLOOKUP(J846,Conf!$H:$I,2,0))</f>
        <v>Ativos</v>
      </c>
      <c r="E846" s="71">
        <v>8</v>
      </c>
      <c r="F846" s="71">
        <v>279</v>
      </c>
      <c r="G846" s="71" t="s">
        <v>2801</v>
      </c>
      <c r="H846" s="71">
        <v>11</v>
      </c>
      <c r="I846" s="71" t="s">
        <v>400</v>
      </c>
      <c r="J846" s="71">
        <v>1</v>
      </c>
      <c r="K846" s="71" t="s">
        <v>223</v>
      </c>
      <c r="L846" s="71" t="s">
        <v>2802</v>
      </c>
      <c r="M846" s="71" t="s">
        <v>2803</v>
      </c>
      <c r="N846" s="71">
        <v>1423821912</v>
      </c>
      <c r="Q846" s="71">
        <v>0</v>
      </c>
      <c r="R846" s="71" t="s">
        <v>2695</v>
      </c>
      <c r="S846" s="71" t="s">
        <v>2696</v>
      </c>
      <c r="T846" s="71" t="s">
        <v>637</v>
      </c>
    </row>
    <row r="847" spans="1:20" x14ac:dyDescent="0.3">
      <c r="A847" s="72">
        <f>IFERROR(VLOOKUP($G847,Conf!$B:$C,2,0),E847)</f>
        <v>8</v>
      </c>
      <c r="B847" s="72" t="str">
        <f ca="1">IF(D847="Inativo","Inativo",VLOOKUP($S847,Conf!$K:$M,2,0))</f>
        <v>PADARIA</v>
      </c>
      <c r="C847" s="72" t="str">
        <f ca="1">IF(D847="Inativo","Inativo",IFERROR(VLOOKUP($G847,Conf!$F$19:$G$39,2,0),VLOOKUP($S847,Conf!$K:$M,3,0)))</f>
        <v>GERENTE</v>
      </c>
      <c r="D847" s="72" t="str">
        <f ca="1">IFERROR(IF(TODAY()-K847&gt;365,"Inativo",IF(J847=2,"Férias",IF(J847=7,"Demitido","Afastamento"))),VLOOKUP(J847,Conf!$H:$I,2,0))</f>
        <v>Demitido</v>
      </c>
      <c r="E847" s="71">
        <v>8</v>
      </c>
      <c r="F847" s="71">
        <v>200</v>
      </c>
      <c r="G847" s="71" t="s">
        <v>3785</v>
      </c>
      <c r="H847" s="71">
        <v>47</v>
      </c>
      <c r="I847" s="71" t="s">
        <v>222</v>
      </c>
      <c r="J847" s="71">
        <v>7</v>
      </c>
      <c r="K847" s="71" t="s">
        <v>3786</v>
      </c>
      <c r="L847" s="71" t="s">
        <v>3787</v>
      </c>
      <c r="M847" s="71" t="s">
        <v>513</v>
      </c>
      <c r="N847" s="71">
        <v>51960664972</v>
      </c>
      <c r="Q847" s="71">
        <v>0</v>
      </c>
      <c r="R847" s="71" t="s">
        <v>2695</v>
      </c>
      <c r="S847" s="71" t="s">
        <v>2696</v>
      </c>
      <c r="T847" s="71" t="s">
        <v>637</v>
      </c>
    </row>
    <row r="848" spans="1:20" x14ac:dyDescent="0.3">
      <c r="A848" s="72">
        <f>IFERROR(VLOOKUP($G848,Conf!$B:$C,2,0),E848)</f>
        <v>8</v>
      </c>
      <c r="B848" s="72" t="str">
        <f ca="1">IF(D848="Inativo","Inativo",VLOOKUP($S848,Conf!$K:$M,2,0))</f>
        <v>PADARIA</v>
      </c>
      <c r="C848" s="72" t="str">
        <f ca="1">IF(D848="Inativo","Inativo",IFERROR(VLOOKUP($G848,Conf!$F$19:$G$39,2,0),VLOOKUP($S848,Conf!$K:$M,3,0)))</f>
        <v>PADEIRO(A)</v>
      </c>
      <c r="D848" s="72" t="str">
        <f ca="1">IFERROR(IF(TODAY()-K848&gt;365,"Inativo",IF(J848=2,"Férias",IF(J848=7,"Demitido","Afastamento"))),VLOOKUP(J848,Conf!$H:$I,2,0))</f>
        <v>Ativos</v>
      </c>
      <c r="E848" s="71">
        <v>8</v>
      </c>
      <c r="F848" s="71">
        <v>38</v>
      </c>
      <c r="G848" s="71" t="s">
        <v>2804</v>
      </c>
      <c r="H848" s="71">
        <v>1076</v>
      </c>
      <c r="I848" s="71" t="s">
        <v>230</v>
      </c>
      <c r="J848" s="71">
        <v>1</v>
      </c>
      <c r="K848" s="71" t="s">
        <v>223</v>
      </c>
      <c r="L848" s="71" t="s">
        <v>2805</v>
      </c>
      <c r="M848" s="71" t="s">
        <v>2639</v>
      </c>
      <c r="N848" s="71">
        <v>4672635902</v>
      </c>
      <c r="Q848" s="71">
        <v>0</v>
      </c>
      <c r="R848" s="71" t="s">
        <v>2806</v>
      </c>
      <c r="S848" s="71" t="s">
        <v>2807</v>
      </c>
      <c r="T848" s="71" t="s">
        <v>2808</v>
      </c>
    </row>
    <row r="849" spans="1:20" x14ac:dyDescent="0.3">
      <c r="A849" s="72">
        <f>IFERROR(VLOOKUP($G849,Conf!$B:$C,2,0),E849)</f>
        <v>8</v>
      </c>
      <c r="B849" s="72" t="str">
        <f ca="1">IF(D849="Inativo","Inativo",VLOOKUP($S849,Conf!$K:$M,2,0))</f>
        <v>PADARIA</v>
      </c>
      <c r="C849" s="72" t="str">
        <f ca="1">IF(D849="Inativo","Inativo",IFERROR(VLOOKUP($G849,Conf!$F$19:$G$39,2,0),VLOOKUP($S849,Conf!$K:$M,3,0)))</f>
        <v>SALGADEIRO(A)</v>
      </c>
      <c r="D849" s="72" t="str">
        <f ca="1">IFERROR(IF(TODAY()-K849&gt;365,"Inativo",IF(J849=2,"Férias",IF(J849=7,"Demitido","Afastamento"))),VLOOKUP(J849,Conf!$H:$I,2,0))</f>
        <v>Ativos</v>
      </c>
      <c r="E849" s="71">
        <v>8</v>
      </c>
      <c r="F849" s="71">
        <v>23</v>
      </c>
      <c r="G849" s="71" t="s">
        <v>2809</v>
      </c>
      <c r="H849" s="71">
        <v>6</v>
      </c>
      <c r="I849" s="71" t="s">
        <v>230</v>
      </c>
      <c r="J849" s="71">
        <v>1</v>
      </c>
      <c r="K849" s="71" t="s">
        <v>223</v>
      </c>
      <c r="L849" s="71" t="s">
        <v>2810</v>
      </c>
      <c r="M849" s="71" t="s">
        <v>2666</v>
      </c>
      <c r="N849" s="71">
        <v>3575718946</v>
      </c>
      <c r="Q849" s="71">
        <v>0</v>
      </c>
      <c r="R849" s="71" t="s">
        <v>2811</v>
      </c>
      <c r="S849" s="71" t="s">
        <v>2812</v>
      </c>
      <c r="T849" s="71" t="s">
        <v>2813</v>
      </c>
    </row>
    <row r="850" spans="1:20" x14ac:dyDescent="0.3">
      <c r="A850" s="72">
        <f>IFERROR(VLOOKUP($G850,Conf!$B:$C,2,0),E850)</f>
        <v>8</v>
      </c>
      <c r="B850" s="72" t="str">
        <f ca="1">IF(D850="Inativo","Inativo",VLOOKUP($S850,Conf!$K:$M,2,0))</f>
        <v>PADARIA</v>
      </c>
      <c r="C850" s="72" t="str">
        <f ca="1">IF(D850="Inativo","Inativo",IFERROR(VLOOKUP($G850,Conf!$F$19:$G$39,2,0),VLOOKUP($S850,Conf!$K:$M,3,0)))</f>
        <v>PADEIRO(A)</v>
      </c>
      <c r="D850" s="72" t="str">
        <f ca="1">IFERROR(IF(TODAY()-K850&gt;365,"Inativo",IF(J850=2,"Férias",IF(J850=7,"Demitido","Afastamento"))),VLOOKUP(J850,Conf!$H:$I,2,0))</f>
        <v>Ativos</v>
      </c>
      <c r="E850" s="71">
        <v>8</v>
      </c>
      <c r="F850" s="71">
        <v>207</v>
      </c>
      <c r="G850" s="71" t="s">
        <v>2814</v>
      </c>
      <c r="H850" s="71">
        <v>1079</v>
      </c>
      <c r="I850" s="71" t="s">
        <v>772</v>
      </c>
      <c r="J850" s="71">
        <v>1</v>
      </c>
      <c r="K850" s="71" t="s">
        <v>223</v>
      </c>
      <c r="L850" s="71" t="s">
        <v>2815</v>
      </c>
      <c r="M850" s="71" t="s">
        <v>2816</v>
      </c>
      <c r="N850" s="71">
        <v>50312898991</v>
      </c>
      <c r="Q850" s="71">
        <v>0</v>
      </c>
      <c r="R850" s="71" t="s">
        <v>2806</v>
      </c>
      <c r="S850" s="71" t="s">
        <v>2807</v>
      </c>
      <c r="T850" s="71" t="s">
        <v>2808</v>
      </c>
    </row>
    <row r="851" spans="1:20" x14ac:dyDescent="0.3">
      <c r="A851" s="72">
        <f>IFERROR(VLOOKUP($G851,Conf!$B:$C,2,0),E851)</f>
        <v>8</v>
      </c>
      <c r="B851" s="72" t="str">
        <f ca="1">IF(D851="Inativo","Inativo",VLOOKUP($S851,Conf!$K:$M,2,0))</f>
        <v>PADARIA</v>
      </c>
      <c r="C851" s="72" t="str">
        <f ca="1">IF(D851="Inativo","Inativo",IFERROR(VLOOKUP($G851,Conf!$F$19:$G$39,2,0),VLOOKUP($S851,Conf!$K:$M,3,0)))</f>
        <v>PADEIRO(A)</v>
      </c>
      <c r="D851" s="72" t="str">
        <f ca="1">IFERROR(IF(TODAY()-K851&gt;365,"Inativo",IF(J851=2,"Férias",IF(J851=7,"Demitido","Afastamento"))),VLOOKUP(J851,Conf!$H:$I,2,0))</f>
        <v>Demitido</v>
      </c>
      <c r="E851" s="71">
        <v>8</v>
      </c>
      <c r="F851" s="71">
        <v>249</v>
      </c>
      <c r="G851" s="71" t="s">
        <v>3740</v>
      </c>
      <c r="H851" s="71">
        <v>1080</v>
      </c>
      <c r="I851" s="71" t="s">
        <v>772</v>
      </c>
      <c r="J851" s="71">
        <v>7</v>
      </c>
      <c r="K851" s="71" t="s">
        <v>3736</v>
      </c>
      <c r="L851" s="71" t="s">
        <v>3741</v>
      </c>
      <c r="M851" s="71" t="s">
        <v>1970</v>
      </c>
      <c r="N851" s="71">
        <v>10205633978</v>
      </c>
      <c r="Q851" s="71">
        <v>0</v>
      </c>
      <c r="R851" s="71" t="s">
        <v>2806</v>
      </c>
      <c r="S851" s="71" t="s">
        <v>2807</v>
      </c>
      <c r="T851" s="71" t="s">
        <v>2808</v>
      </c>
    </row>
    <row r="852" spans="1:20" x14ac:dyDescent="0.3">
      <c r="A852" s="72">
        <f>IFERROR(VLOOKUP($G852,Conf!$B:$C,2,0),E852)</f>
        <v>8</v>
      </c>
      <c r="B852" s="72" t="str">
        <f ca="1">IF(D852="Inativo","Inativo",VLOOKUP($S852,Conf!$K:$M,2,0))</f>
        <v>PREVENÇÃO</v>
      </c>
      <c r="C852" s="72" t="str">
        <f ca="1">IF(D852="Inativo","Inativo",IFERROR(VLOOKUP($G852,Conf!$F$19:$G$39,2,0),VLOOKUP($S852,Conf!$K:$M,3,0)))</f>
        <v>AGENTE</v>
      </c>
      <c r="D852" s="72" t="str">
        <f ca="1">IFERROR(IF(TODAY()-K852&gt;365,"Inativo",IF(J852=2,"Férias",IF(J852=7,"Demitido","Afastamento"))),VLOOKUP(J852,Conf!$H:$I,2,0))</f>
        <v>Ativos</v>
      </c>
      <c r="E852" s="71">
        <v>8</v>
      </c>
      <c r="F852" s="71">
        <v>181</v>
      </c>
      <c r="G852" s="71" t="s">
        <v>2817</v>
      </c>
      <c r="H852" s="71">
        <v>6</v>
      </c>
      <c r="I852" s="71" t="s">
        <v>230</v>
      </c>
      <c r="J852" s="71">
        <v>1</v>
      </c>
      <c r="K852" s="71" t="s">
        <v>223</v>
      </c>
      <c r="L852" s="71" t="s">
        <v>2818</v>
      </c>
      <c r="M852" s="71" t="s">
        <v>1287</v>
      </c>
      <c r="N852" s="71">
        <v>9440310138</v>
      </c>
      <c r="Q852" s="71">
        <v>0</v>
      </c>
      <c r="R852" s="71" t="s">
        <v>2819</v>
      </c>
      <c r="S852" s="71" t="s">
        <v>2820</v>
      </c>
      <c r="T852" s="71" t="s">
        <v>2821</v>
      </c>
    </row>
    <row r="853" spans="1:20" x14ac:dyDescent="0.3">
      <c r="A853" s="72">
        <f>IFERROR(VLOOKUP($G853,Conf!$B:$C,2,0),E853)</f>
        <v>8</v>
      </c>
      <c r="B853" s="72" t="str">
        <f ca="1">IF(D853="Inativo","Inativo",VLOOKUP($S853,Conf!$K:$M,2,0))</f>
        <v>PREVENÇÃO</v>
      </c>
      <c r="C853" s="72" t="str">
        <f ca="1">IF(D853="Inativo","Inativo",IFERROR(VLOOKUP($G853,Conf!$F$19:$G$39,2,0),VLOOKUP($S853,Conf!$K:$M,3,0)))</f>
        <v>AGENTE</v>
      </c>
      <c r="D853" s="72" t="str">
        <f ca="1">IFERROR(IF(TODAY()-K853&gt;365,"Inativo",IF(J853=2,"Férias",IF(J853=7,"Demitido","Afastamento"))),VLOOKUP(J853,Conf!$H:$I,2,0))</f>
        <v>Ativos</v>
      </c>
      <c r="E853" s="71">
        <v>8</v>
      </c>
      <c r="F853" s="71">
        <v>2210</v>
      </c>
      <c r="G853" s="71" t="s">
        <v>2822</v>
      </c>
      <c r="H853" s="71">
        <v>6</v>
      </c>
      <c r="I853" s="71" t="s">
        <v>230</v>
      </c>
      <c r="J853" s="71">
        <v>1</v>
      </c>
      <c r="K853" s="71" t="s">
        <v>223</v>
      </c>
      <c r="L853" s="71" t="s">
        <v>2823</v>
      </c>
      <c r="M853" s="71" t="s">
        <v>225</v>
      </c>
      <c r="N853" s="71">
        <v>13474257994</v>
      </c>
      <c r="Q853" s="71">
        <v>0</v>
      </c>
      <c r="R853" s="71" t="s">
        <v>2824</v>
      </c>
      <c r="S853" s="71" t="s">
        <v>2825</v>
      </c>
      <c r="T853" s="71" t="s">
        <v>2826</v>
      </c>
    </row>
    <row r="854" spans="1:20" x14ac:dyDescent="0.3">
      <c r="A854" s="72">
        <f>IFERROR(VLOOKUP($G854,Conf!$B:$C,2,0),E854)</f>
        <v>8</v>
      </c>
      <c r="B854" s="72" t="str">
        <f ca="1">IF(D854="Inativo","Inativo",VLOOKUP($S854,Conf!$K:$M,2,0))</f>
        <v>PREVENÇÃO</v>
      </c>
      <c r="C854" s="72" t="str">
        <f ca="1">IF(D854="Inativo","Inativo",IFERROR(VLOOKUP($G854,Conf!$F$19:$G$39,2,0),VLOOKUP($S854,Conf!$K:$M,3,0)))</f>
        <v>AGENTE</v>
      </c>
      <c r="D854" s="72" t="str">
        <f ca="1">IFERROR(IF(TODAY()-K854&gt;365,"Inativo",IF(J854=2,"Férias",IF(J854=7,"Demitido","Afastamento"))),VLOOKUP(J854,Conf!$H:$I,2,0))</f>
        <v>Ativos</v>
      </c>
      <c r="E854" s="71">
        <v>8</v>
      </c>
      <c r="F854" s="71">
        <v>262</v>
      </c>
      <c r="G854" s="71" t="s">
        <v>2827</v>
      </c>
      <c r="H854" s="71">
        <v>5</v>
      </c>
      <c r="I854" s="71" t="s">
        <v>822</v>
      </c>
      <c r="J854" s="71">
        <v>1</v>
      </c>
      <c r="K854" s="71" t="s">
        <v>223</v>
      </c>
      <c r="L854" s="71" t="s">
        <v>2828</v>
      </c>
      <c r="M854" s="71" t="s">
        <v>2829</v>
      </c>
      <c r="N854" s="71">
        <v>5542487190</v>
      </c>
      <c r="Q854" s="71">
        <v>0</v>
      </c>
      <c r="R854" s="71" t="s">
        <v>2819</v>
      </c>
      <c r="S854" s="71" t="s">
        <v>2820</v>
      </c>
      <c r="T854" s="71" t="s">
        <v>2821</v>
      </c>
    </row>
    <row r="855" spans="1:20" x14ac:dyDescent="0.3">
      <c r="A855" s="72">
        <f>IFERROR(VLOOKUP($G855,Conf!$B:$C,2,0),E855)</f>
        <v>8</v>
      </c>
      <c r="B855" s="72" t="str">
        <f ca="1">IF(D855="Inativo","Inativo",VLOOKUP($S855,Conf!$K:$M,2,0))</f>
        <v>PREVENÇÃO</v>
      </c>
      <c r="C855" s="72" t="str">
        <f ca="1">IF(D855="Inativo","Inativo",IFERROR(VLOOKUP($G855,Conf!$F$19:$G$39,2,0),VLOOKUP($S855,Conf!$K:$M,3,0)))</f>
        <v>AGENTE</v>
      </c>
      <c r="D855" s="72" t="str">
        <f ca="1">IFERROR(IF(TODAY()-K855&gt;365,"Inativo",IF(J855=2,"Férias",IF(J855=7,"Demitido","Afastamento"))),VLOOKUP(J855,Conf!$H:$I,2,0))</f>
        <v>Ativos</v>
      </c>
      <c r="E855" s="71">
        <v>8</v>
      </c>
      <c r="F855" s="71">
        <v>2429</v>
      </c>
      <c r="G855" s="71" t="s">
        <v>2830</v>
      </c>
      <c r="H855" s="71">
        <v>988</v>
      </c>
      <c r="I855" s="71" t="s">
        <v>657</v>
      </c>
      <c r="J855" s="71">
        <v>1</v>
      </c>
      <c r="K855" s="71" t="s">
        <v>223</v>
      </c>
      <c r="L855" s="71" t="s">
        <v>2831</v>
      </c>
      <c r="M855" s="71" t="s">
        <v>471</v>
      </c>
      <c r="N855" s="71">
        <v>814666922</v>
      </c>
      <c r="O855" s="71" t="s">
        <v>245</v>
      </c>
      <c r="P855" s="71" t="s">
        <v>246</v>
      </c>
      <c r="Q855" s="71">
        <v>0</v>
      </c>
      <c r="R855" s="71" t="s">
        <v>2824</v>
      </c>
      <c r="S855" s="71" t="s">
        <v>2825</v>
      </c>
      <c r="T855" s="71" t="s">
        <v>2826</v>
      </c>
    </row>
    <row r="856" spans="1:20" x14ac:dyDescent="0.3">
      <c r="A856" s="72">
        <f>IFERROR(VLOOKUP($G856,Conf!$B:$C,2,0),E856)</f>
        <v>8</v>
      </c>
      <c r="B856" s="72" t="str">
        <f ca="1">IF(D856="Inativo","Inativo",VLOOKUP($S856,Conf!$K:$M,2,0))</f>
        <v>PREVENÇÃO</v>
      </c>
      <c r="C856" s="72" t="str">
        <f ca="1">IF(D856="Inativo","Inativo",IFERROR(VLOOKUP($G856,Conf!$F$19:$G$39,2,0),VLOOKUP($S856,Conf!$K:$M,3,0)))</f>
        <v>AGENTE</v>
      </c>
      <c r="D856" s="72" t="str">
        <f ca="1">IFERROR(IF(TODAY()-K856&gt;365,"Inativo",IF(J856=2,"Férias",IF(J856=7,"Demitido","Afastamento"))),VLOOKUP(J856,Conf!$H:$I,2,0))</f>
        <v>Ativos</v>
      </c>
      <c r="E856" s="71">
        <v>8</v>
      </c>
      <c r="F856" s="71">
        <v>2343</v>
      </c>
      <c r="G856" s="71" t="s">
        <v>2832</v>
      </c>
      <c r="H856" s="71">
        <v>988</v>
      </c>
      <c r="I856" s="71" t="s">
        <v>657</v>
      </c>
      <c r="J856" s="71">
        <v>1</v>
      </c>
      <c r="K856" s="71" t="s">
        <v>223</v>
      </c>
      <c r="L856" s="71" t="s">
        <v>2833</v>
      </c>
      <c r="M856" s="71" t="s">
        <v>2834</v>
      </c>
      <c r="N856" s="71">
        <v>33671474866</v>
      </c>
      <c r="O856" s="71" t="s">
        <v>245</v>
      </c>
      <c r="P856" s="71" t="s">
        <v>246</v>
      </c>
      <c r="Q856" s="71">
        <v>0</v>
      </c>
      <c r="R856" s="71" t="s">
        <v>2824</v>
      </c>
      <c r="S856" s="71" t="s">
        <v>2825</v>
      </c>
      <c r="T856" s="71" t="s">
        <v>2826</v>
      </c>
    </row>
    <row r="857" spans="1:20" x14ac:dyDescent="0.3">
      <c r="A857" s="72">
        <f>IFERROR(VLOOKUP($G857,Conf!$B:$C,2,0),E857)</f>
        <v>8</v>
      </c>
      <c r="B857" s="72" t="str">
        <f ca="1">IF(D857="Inativo","Inativo",VLOOKUP($S857,Conf!$K:$M,2,0))</f>
        <v>PREVENÇÃO</v>
      </c>
      <c r="C857" s="72" t="str">
        <f ca="1">IF(D857="Inativo","Inativo",IFERROR(VLOOKUP($G857,Conf!$F$19:$G$39,2,0),VLOOKUP($S857,Conf!$K:$M,3,0)))</f>
        <v>AGENTE</v>
      </c>
      <c r="D857" s="72" t="str">
        <f ca="1">IFERROR(IF(TODAY()-K857&gt;365,"Inativo",IF(J857=2,"Férias",IF(J857=7,"Demitido","Afastamento"))),VLOOKUP(J857,Conf!$H:$I,2,0))</f>
        <v>Ativos</v>
      </c>
      <c r="E857" s="71">
        <v>8</v>
      </c>
      <c r="F857" s="71">
        <v>197</v>
      </c>
      <c r="G857" s="71" t="s">
        <v>2835</v>
      </c>
      <c r="H857" s="71">
        <v>1067</v>
      </c>
      <c r="I857" s="71" t="s">
        <v>657</v>
      </c>
      <c r="J857" s="71">
        <v>1</v>
      </c>
      <c r="K857" s="71" t="s">
        <v>223</v>
      </c>
      <c r="L857" s="71" t="s">
        <v>2837</v>
      </c>
      <c r="M857" s="71" t="s">
        <v>2838</v>
      </c>
      <c r="N857" s="71">
        <v>7689915876</v>
      </c>
      <c r="Q857" s="71">
        <v>0</v>
      </c>
      <c r="R857" s="71" t="s">
        <v>2819</v>
      </c>
      <c r="S857" s="71" t="s">
        <v>2820</v>
      </c>
      <c r="T857" s="71" t="s">
        <v>2821</v>
      </c>
    </row>
    <row r="858" spans="1:20" x14ac:dyDescent="0.3">
      <c r="A858" s="72">
        <f>IFERROR(VLOOKUP($G858,Conf!$B:$C,2,0),E858)</f>
        <v>8</v>
      </c>
      <c r="B858" s="72" t="str">
        <f ca="1">IF(D858="Inativo","Inativo",VLOOKUP($S858,Conf!$K:$M,2,0))</f>
        <v>ROTISSERIA</v>
      </c>
      <c r="C858" s="72" t="str">
        <f ca="1">IF(D858="Inativo","Inativo",IFERROR(VLOOKUP($G858,Conf!$F$19:$G$39,2,0),VLOOKUP($S858,Conf!$K:$M,3,0)))</f>
        <v>COZINHEIRO</v>
      </c>
      <c r="D858" s="72" t="str">
        <f ca="1">IFERROR(IF(TODAY()-K858&gt;365,"Inativo",IF(J858=2,"Férias",IF(J858=7,"Demitido","Afastamento"))),VLOOKUP(J858,Conf!$H:$I,2,0))</f>
        <v>Ativos</v>
      </c>
      <c r="E858" s="71">
        <v>8</v>
      </c>
      <c r="F858" s="71">
        <v>135</v>
      </c>
      <c r="G858" s="71" t="s">
        <v>2839</v>
      </c>
      <c r="H858" s="71">
        <v>1081</v>
      </c>
      <c r="I858" s="71" t="s">
        <v>772</v>
      </c>
      <c r="J858" s="71">
        <v>1</v>
      </c>
      <c r="K858" s="71" t="s">
        <v>223</v>
      </c>
      <c r="L858" s="71" t="s">
        <v>2840</v>
      </c>
      <c r="M858" s="71" t="s">
        <v>2841</v>
      </c>
      <c r="N858" s="71">
        <v>22729738843</v>
      </c>
      <c r="Q858" s="71">
        <v>0</v>
      </c>
      <c r="R858" s="71" t="s">
        <v>2842</v>
      </c>
      <c r="S858" s="71" t="s">
        <v>2843</v>
      </c>
      <c r="T858" s="71" t="s">
        <v>2844</v>
      </c>
    </row>
    <row r="859" spans="1:20" x14ac:dyDescent="0.3">
      <c r="A859" s="72">
        <f>IFERROR(VLOOKUP($G859,Conf!$B:$C,2,0),E859)</f>
        <v>8</v>
      </c>
      <c r="B859" s="72" t="str">
        <f ca="1">IF(D859="Inativo","Inativo",VLOOKUP($S859,Conf!$K:$M,2,0))</f>
        <v>ROTISSERIA</v>
      </c>
      <c r="C859" s="72" t="str">
        <f ca="1">IF(D859="Inativo","Inativo",IFERROR(VLOOKUP($G859,Conf!$F$19:$G$39,2,0),VLOOKUP($S859,Conf!$K:$M,3,0)))</f>
        <v>COZINHEIRO</v>
      </c>
      <c r="D859" s="72" t="str">
        <f ca="1">IFERROR(IF(TODAY()-K859&gt;365,"Inativo",IF(J859=2,"Férias",IF(J859=7,"Demitido","Afastamento"))),VLOOKUP(J859,Conf!$H:$I,2,0))</f>
        <v>Ativos</v>
      </c>
      <c r="E859" s="71">
        <v>8</v>
      </c>
      <c r="F859" s="71">
        <v>209</v>
      </c>
      <c r="G859" s="71" t="s">
        <v>2845</v>
      </c>
      <c r="H859" s="71">
        <v>1080</v>
      </c>
      <c r="I859" s="71" t="s">
        <v>772</v>
      </c>
      <c r="J859" s="71">
        <v>1</v>
      </c>
      <c r="K859" s="71" t="s">
        <v>223</v>
      </c>
      <c r="L859" s="71" t="s">
        <v>2846</v>
      </c>
      <c r="M859" s="71" t="s">
        <v>2847</v>
      </c>
      <c r="N859" s="71">
        <v>349283249</v>
      </c>
      <c r="Q859" s="71">
        <v>0</v>
      </c>
      <c r="R859" s="71" t="s">
        <v>2842</v>
      </c>
      <c r="S859" s="71" t="s">
        <v>2843</v>
      </c>
      <c r="T859" s="71" t="s">
        <v>2844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ADMINISTRATIVO</v>
      </c>
      <c r="C860" s="72" t="str">
        <f ca="1">IF(D860="Inativo","Inativo",IFERROR(VLOOKUP($G860,Conf!$F$19:$G$39,2,0),VLOOKUP($S860,Conf!$K:$M,3,0)))</f>
        <v>ANALISTA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11</v>
      </c>
      <c r="G860" s="71" t="s">
        <v>2854</v>
      </c>
      <c r="H860" s="71">
        <v>101</v>
      </c>
      <c r="I860" s="71" t="s">
        <v>1553</v>
      </c>
      <c r="J860" s="71">
        <v>1</v>
      </c>
      <c r="K860" s="71" t="s">
        <v>223</v>
      </c>
      <c r="L860" s="71" t="s">
        <v>2855</v>
      </c>
      <c r="M860" s="71" t="s">
        <v>2856</v>
      </c>
      <c r="N860" s="71">
        <v>5385037931</v>
      </c>
      <c r="Q860" s="71">
        <v>0</v>
      </c>
      <c r="R860" s="71" t="s">
        <v>2857</v>
      </c>
      <c r="S860" s="71" t="s">
        <v>2858</v>
      </c>
      <c r="T860" s="71" t="s">
        <v>2859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ADMINISTRATIVO</v>
      </c>
      <c r="C861" s="72" t="str">
        <f ca="1">IF(D861="Inativo","Inativo",IFERROR(VLOOKUP($G861,Conf!$F$19:$G$39,2,0),VLOOKUP($S861,Conf!$K:$M,3,0)))</f>
        <v>FATURISTA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23</v>
      </c>
      <c r="G861" s="71" t="s">
        <v>2860</v>
      </c>
      <c r="H861" s="71">
        <v>211</v>
      </c>
      <c r="I861" s="71" t="s">
        <v>2861</v>
      </c>
      <c r="J861" s="71">
        <v>1</v>
      </c>
      <c r="K861" s="71" t="s">
        <v>223</v>
      </c>
      <c r="L861" s="71" t="s">
        <v>2862</v>
      </c>
      <c r="M861" s="71" t="s">
        <v>2863</v>
      </c>
      <c r="N861" s="71">
        <v>10113922914</v>
      </c>
      <c r="Q861" s="71">
        <v>0</v>
      </c>
      <c r="R861" s="71" t="s">
        <v>2864</v>
      </c>
      <c r="S861" s="71" t="s">
        <v>2865</v>
      </c>
      <c r="T861" s="71" t="s">
        <v>2866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ADMINISTRATIVO</v>
      </c>
      <c r="C862" s="72" t="str">
        <f ca="1">IF(D862="Inativo","Inativo",IFERROR(VLOOKUP($G862,Conf!$F$19:$G$39,2,0),VLOOKUP($S862,Conf!$K:$M,3,0)))</f>
        <v>ASSISTENTE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60</v>
      </c>
      <c r="G862" s="71" t="s">
        <v>2867</v>
      </c>
      <c r="H862" s="71">
        <v>208</v>
      </c>
      <c r="I862" s="71" t="s">
        <v>293</v>
      </c>
      <c r="J862" s="71">
        <v>1</v>
      </c>
      <c r="K862" s="71" t="s">
        <v>223</v>
      </c>
      <c r="L862" s="71" t="s">
        <v>2868</v>
      </c>
      <c r="M862" s="71" t="s">
        <v>2596</v>
      </c>
      <c r="N862" s="71">
        <v>11541992903</v>
      </c>
      <c r="Q862" s="71">
        <v>0</v>
      </c>
      <c r="R862" s="71" t="s">
        <v>2869</v>
      </c>
      <c r="S862" s="71" t="s">
        <v>2870</v>
      </c>
      <c r="T862" s="71" t="s">
        <v>2871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ADMINISTRATIVO</v>
      </c>
      <c r="C863" s="72" t="str">
        <f ca="1">IF(D863="Inativo","Inativo",IFERROR(VLOOKUP($G863,Conf!$F$19:$G$39,2,0),VLOOKUP($S863,Conf!$K:$M,3,0)))</f>
        <v>ASSISTENTE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14</v>
      </c>
      <c r="G863" s="71" t="s">
        <v>2872</v>
      </c>
      <c r="H863" s="71">
        <v>190</v>
      </c>
      <c r="I863" s="71" t="s">
        <v>2873</v>
      </c>
      <c r="J863" s="71">
        <v>1</v>
      </c>
      <c r="K863" s="71" t="s">
        <v>223</v>
      </c>
      <c r="L863" s="71" t="s">
        <v>2874</v>
      </c>
      <c r="M863" s="71" t="s">
        <v>2875</v>
      </c>
      <c r="N863" s="71">
        <v>756939925</v>
      </c>
      <c r="Q863" s="71">
        <v>0</v>
      </c>
      <c r="R863" s="71" t="s">
        <v>2876</v>
      </c>
      <c r="S863" s="71" t="s">
        <v>2877</v>
      </c>
      <c r="T863" s="71" t="s">
        <v>2878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ADMINISTRATIVO</v>
      </c>
      <c r="C864" s="72" t="str">
        <f ca="1">IF(D864="Inativo","Inativo",IFERROR(VLOOKUP($G864,Conf!$F$19:$G$39,2,0),VLOOKUP($S864,Conf!$K:$M,3,0)))</f>
        <v>ASSISTENTE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341</v>
      </c>
      <c r="G864" s="71" t="s">
        <v>2879</v>
      </c>
      <c r="H864" s="71">
        <v>207</v>
      </c>
      <c r="I864" s="71" t="s">
        <v>1563</v>
      </c>
      <c r="J864" s="71">
        <v>1</v>
      </c>
      <c r="K864" s="71" t="s">
        <v>223</v>
      </c>
      <c r="L864" s="71" t="s">
        <v>2880</v>
      </c>
      <c r="M864" s="71" t="s">
        <v>2087</v>
      </c>
      <c r="N864" s="71">
        <v>5222682935</v>
      </c>
      <c r="Q864" s="71">
        <v>0</v>
      </c>
      <c r="R864" s="71" t="s">
        <v>2881</v>
      </c>
      <c r="S864" s="71" t="s">
        <v>2882</v>
      </c>
      <c r="T864" s="71" t="s">
        <v>2883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ADMINISTRATIVO</v>
      </c>
      <c r="C865" s="72" t="str">
        <f ca="1">IF(D865="Inativo","Inativo",IFERROR(VLOOKUP($G865,Conf!$F$19:$G$39,2,0),VLOOKUP($S865,Conf!$K:$M,3,0)))</f>
        <v>ASSISTENTE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8</v>
      </c>
      <c r="G865" s="71" t="s">
        <v>3511</v>
      </c>
      <c r="H865" s="71">
        <v>101</v>
      </c>
      <c r="I865" s="71" t="s">
        <v>1553</v>
      </c>
      <c r="J865" s="71">
        <v>1</v>
      </c>
      <c r="K865" s="71" t="s">
        <v>223</v>
      </c>
      <c r="L865" s="71" t="s">
        <v>3512</v>
      </c>
      <c r="M865" s="71" t="s">
        <v>3649</v>
      </c>
      <c r="N865" s="71">
        <v>4201569926</v>
      </c>
      <c r="Q865" s="71">
        <v>0</v>
      </c>
      <c r="R865" s="71" t="s">
        <v>2876</v>
      </c>
      <c r="S865" s="71" t="s">
        <v>2877</v>
      </c>
      <c r="T865" s="71" t="s">
        <v>2878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ADMINISTRATIVO</v>
      </c>
      <c r="C866" s="72" t="str">
        <f ca="1">IF(D866="Inativo","Inativo",IFERROR(VLOOKUP($G866,Conf!$F$19:$G$39,2,0),VLOOKUP($S866,Conf!$K:$M,3,0)))</f>
        <v>ASSISTENTE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277</v>
      </c>
      <c r="G866" s="71" t="s">
        <v>2884</v>
      </c>
      <c r="H866" s="71">
        <v>208</v>
      </c>
      <c r="I866" s="71" t="s">
        <v>293</v>
      </c>
      <c r="J866" s="71">
        <v>1</v>
      </c>
      <c r="K866" s="71" t="s">
        <v>223</v>
      </c>
      <c r="L866" s="71" t="s">
        <v>2885</v>
      </c>
      <c r="M866" s="71" t="s">
        <v>483</v>
      </c>
      <c r="N866" s="71">
        <v>4028217938</v>
      </c>
      <c r="O866" s="71" t="s">
        <v>245</v>
      </c>
      <c r="P866" s="71" t="s">
        <v>246</v>
      </c>
      <c r="Q866" s="71">
        <v>0</v>
      </c>
      <c r="R866" s="71" t="s">
        <v>2869</v>
      </c>
      <c r="S866" s="71" t="s">
        <v>2870</v>
      </c>
      <c r="T866" s="71" t="s">
        <v>2871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ADMINISTRATIVO</v>
      </c>
      <c r="C867" s="72" t="str">
        <f ca="1">IF(D867="Inativo","Inativo",IFERROR(VLOOKUP($G867,Conf!$F$19:$G$39,2,0),VLOOKUP($S867,Conf!$K:$M,3,0)))</f>
        <v>ASSISTENTE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46</v>
      </c>
      <c r="G867" s="71" t="s">
        <v>2886</v>
      </c>
      <c r="H867" s="71">
        <v>204</v>
      </c>
      <c r="I867" s="71" t="s">
        <v>1563</v>
      </c>
      <c r="J867" s="71">
        <v>1</v>
      </c>
      <c r="K867" s="71" t="s">
        <v>223</v>
      </c>
      <c r="L867" s="71" t="s">
        <v>2887</v>
      </c>
      <c r="M867" s="71" t="s">
        <v>2888</v>
      </c>
      <c r="N867" s="71">
        <v>5878251973</v>
      </c>
      <c r="Q867" s="71">
        <v>0</v>
      </c>
      <c r="R867" s="71" t="s">
        <v>2889</v>
      </c>
      <c r="S867" s="71" t="s">
        <v>2890</v>
      </c>
      <c r="T867" s="71" t="s">
        <v>2891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ADMINISTRATIVO</v>
      </c>
      <c r="C868" s="72" t="str">
        <f ca="1">IF(D868="Inativo","Inativo",IFERROR(VLOOKUP($G868,Conf!$F$19:$G$39,2,0),VLOOKUP($S868,Conf!$K:$M,3,0)))</f>
        <v>ASSISTENTE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300</v>
      </c>
      <c r="G868" s="71" t="s">
        <v>338</v>
      </c>
      <c r="H868" s="71">
        <v>208</v>
      </c>
      <c r="I868" s="71" t="s">
        <v>293</v>
      </c>
      <c r="J868" s="71">
        <v>1</v>
      </c>
      <c r="K868" s="71" t="s">
        <v>223</v>
      </c>
      <c r="L868" s="71" t="s">
        <v>341</v>
      </c>
      <c r="M868" s="71" t="s">
        <v>231</v>
      </c>
      <c r="N868" s="71">
        <v>10912739959</v>
      </c>
      <c r="O868" s="71" t="s">
        <v>245</v>
      </c>
      <c r="P868" s="71" t="s">
        <v>246</v>
      </c>
      <c r="Q868" s="71">
        <v>0</v>
      </c>
      <c r="R868" s="71" t="s">
        <v>2892</v>
      </c>
      <c r="S868" s="71" t="s">
        <v>2893</v>
      </c>
      <c r="T868" s="71" t="s">
        <v>2894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ADMINISTRATIVO</v>
      </c>
      <c r="C869" s="72" t="str">
        <f ca="1">IF(D869="Inativo","Inativo",IFERROR(VLOOKUP($G869,Conf!$F$19:$G$39,2,0),VLOOKUP($S869,Conf!$K:$M,3,0)))</f>
        <v>ASSISTENTE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207</v>
      </c>
      <c r="G869" s="71" t="s">
        <v>2895</v>
      </c>
      <c r="H869" s="71">
        <v>190</v>
      </c>
      <c r="I869" s="71" t="s">
        <v>2873</v>
      </c>
      <c r="J869" s="71">
        <v>1</v>
      </c>
      <c r="K869" s="71" t="s">
        <v>223</v>
      </c>
      <c r="L869" s="71" t="s">
        <v>2896</v>
      </c>
      <c r="M869" s="71" t="s">
        <v>436</v>
      </c>
      <c r="N869" s="71">
        <v>11870500911</v>
      </c>
      <c r="Q869" s="71">
        <v>0</v>
      </c>
      <c r="R869" s="71" t="s">
        <v>3949</v>
      </c>
      <c r="S869" s="71" t="s">
        <v>3950</v>
      </c>
      <c r="T869" s="71" t="s">
        <v>3951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ADMINISTRATIVO</v>
      </c>
      <c r="C870" s="72" t="str">
        <f ca="1">IF(D870="Inativo","Inativo",IFERROR(VLOOKUP($G870,Conf!$F$19:$G$39,2,0),VLOOKUP($S870,Conf!$K:$M,3,0)))</f>
        <v>ASSISTENTE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122</v>
      </c>
      <c r="G870" s="71" t="s">
        <v>2900</v>
      </c>
      <c r="H870" s="71">
        <v>206</v>
      </c>
      <c r="I870" s="71" t="s">
        <v>2901</v>
      </c>
      <c r="J870" s="71">
        <v>1</v>
      </c>
      <c r="K870" s="71" t="s">
        <v>223</v>
      </c>
      <c r="L870" s="71" t="s">
        <v>2902</v>
      </c>
      <c r="M870" s="71" t="s">
        <v>2903</v>
      </c>
      <c r="N870" s="71">
        <v>7346457919</v>
      </c>
      <c r="Q870" s="71">
        <v>0</v>
      </c>
      <c r="R870" s="71" t="s">
        <v>3684</v>
      </c>
      <c r="S870" s="71" t="s">
        <v>3685</v>
      </c>
      <c r="T870" s="71" t="s">
        <v>3686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ADMINISTRATIVO</v>
      </c>
      <c r="C871" s="72" t="str">
        <f ca="1">IF(D871="Inativo","Inativo",IFERROR(VLOOKUP($G871,Conf!$F$19:$G$39,2,0),VLOOKUP($S871,Conf!$K:$M,3,0)))</f>
        <v>ASSISTENTE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62</v>
      </c>
      <c r="G871" s="71" t="s">
        <v>2905</v>
      </c>
      <c r="H871" s="71">
        <v>88</v>
      </c>
      <c r="I871" s="71" t="s">
        <v>945</v>
      </c>
      <c r="J871" s="71">
        <v>1</v>
      </c>
      <c r="K871" s="71" t="s">
        <v>223</v>
      </c>
      <c r="L871" s="71" t="s">
        <v>2906</v>
      </c>
      <c r="M871" s="71" t="s">
        <v>2161</v>
      </c>
      <c r="N871" s="71">
        <v>6893312903</v>
      </c>
      <c r="Q871" s="71">
        <v>0</v>
      </c>
      <c r="R871" s="71" t="s">
        <v>2889</v>
      </c>
      <c r="S871" s="71" t="s">
        <v>2890</v>
      </c>
      <c r="T871" s="71" t="s">
        <v>2891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ADMINISTRATIVO</v>
      </c>
      <c r="C872" s="72" t="str">
        <f ca="1">IF(D872="Inativo","Inativo",IFERROR(VLOOKUP($G872,Conf!$F$19:$G$39,2,0),VLOOKUP($S872,Conf!$K:$M,3,0)))</f>
        <v>ASSISTENTE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289</v>
      </c>
      <c r="G872" s="71" t="s">
        <v>2907</v>
      </c>
      <c r="H872" s="71">
        <v>190</v>
      </c>
      <c r="I872" s="71" t="s">
        <v>2873</v>
      </c>
      <c r="J872" s="71">
        <v>1</v>
      </c>
      <c r="K872" s="71" t="s">
        <v>223</v>
      </c>
      <c r="L872" s="71" t="s">
        <v>2908</v>
      </c>
      <c r="M872" s="71" t="s">
        <v>2063</v>
      </c>
      <c r="N872" s="71">
        <v>9617863960</v>
      </c>
      <c r="O872" s="71" t="s">
        <v>245</v>
      </c>
      <c r="P872" s="71" t="s">
        <v>246</v>
      </c>
      <c r="Q872" s="71">
        <v>0</v>
      </c>
      <c r="R872" s="71" t="s">
        <v>2897</v>
      </c>
      <c r="S872" s="71" t="s">
        <v>2898</v>
      </c>
      <c r="T872" s="71" t="s">
        <v>2899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ADMINISTRATIVO</v>
      </c>
      <c r="C873" s="72" t="str">
        <f ca="1">IF(D873="Inativo","Inativo",IFERROR(VLOOKUP($G873,Conf!$F$19:$G$39,2,0),VLOOKUP($S873,Conf!$K:$M,3,0)))</f>
        <v>ASSISTENTE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218</v>
      </c>
      <c r="G873" s="71" t="s">
        <v>2909</v>
      </c>
      <c r="H873" s="71">
        <v>208</v>
      </c>
      <c r="I873" s="71" t="s">
        <v>293</v>
      </c>
      <c r="J873" s="71">
        <v>1</v>
      </c>
      <c r="K873" s="71" t="s">
        <v>223</v>
      </c>
      <c r="L873" s="71" t="s">
        <v>2910</v>
      </c>
      <c r="M873" s="71" t="s">
        <v>1992</v>
      </c>
      <c r="N873" s="71">
        <v>12220125963</v>
      </c>
      <c r="Q873" s="71">
        <v>0</v>
      </c>
      <c r="R873" s="71" t="s">
        <v>2869</v>
      </c>
      <c r="S873" s="71" t="s">
        <v>2870</v>
      </c>
      <c r="T873" s="71" t="s">
        <v>2871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ADMINISTRATIVO</v>
      </c>
      <c r="C874" s="72" t="str">
        <f ca="1">IF(D874="Inativo","Inativo",IFERROR(VLOOKUP($G874,Conf!$F$19:$G$39,2,0),VLOOKUP($S874,Conf!$K:$M,3,0)))</f>
        <v>ASSISTENTE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241</v>
      </c>
      <c r="G874" s="71" t="s">
        <v>2911</v>
      </c>
      <c r="H874" s="71">
        <v>212</v>
      </c>
      <c r="I874" s="71" t="s">
        <v>2912</v>
      </c>
      <c r="J874" s="71">
        <v>1</v>
      </c>
      <c r="K874" s="71" t="s">
        <v>223</v>
      </c>
      <c r="L874" s="71" t="s">
        <v>2913</v>
      </c>
      <c r="M874" s="71" t="s">
        <v>2914</v>
      </c>
      <c r="N874" s="71">
        <v>2972976940</v>
      </c>
      <c r="Q874" s="71">
        <v>0</v>
      </c>
      <c r="R874" s="71" t="s">
        <v>2881</v>
      </c>
      <c r="S874" s="71" t="s">
        <v>2882</v>
      </c>
      <c r="T874" s="71" t="s">
        <v>2883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ADMINISTRATIVO</v>
      </c>
      <c r="C875" s="72" t="str">
        <f ca="1">IF(D875="Inativo","Inativo",IFERROR(VLOOKUP($G875,Conf!$F$19:$G$39,2,0),VLOOKUP($S875,Conf!$K:$M,3,0)))</f>
        <v>ASSISTENTE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18</v>
      </c>
      <c r="G875" s="71" t="s">
        <v>2915</v>
      </c>
      <c r="H875" s="71">
        <v>195</v>
      </c>
      <c r="I875" s="71" t="s">
        <v>2916</v>
      </c>
      <c r="J875" s="71">
        <v>1</v>
      </c>
      <c r="K875" s="71" t="s">
        <v>223</v>
      </c>
      <c r="L875" s="71" t="s">
        <v>2917</v>
      </c>
      <c r="M875" s="71" t="s">
        <v>2918</v>
      </c>
      <c r="N875" s="71">
        <v>99027615934</v>
      </c>
      <c r="Q875" s="71">
        <v>0</v>
      </c>
      <c r="R875" s="71" t="s">
        <v>2919</v>
      </c>
      <c r="S875" s="71" t="s">
        <v>2920</v>
      </c>
      <c r="T875" s="71" t="s">
        <v>2921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ADMINISTRATIVO</v>
      </c>
      <c r="C876" s="72" t="str">
        <f ca="1">IF(D876="Inativo","Inativo",IFERROR(VLOOKUP($G876,Conf!$F$19:$G$39,2,0),VLOOKUP($S876,Conf!$K:$M,3,0)))</f>
        <v>ASSISTENTE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162</v>
      </c>
      <c r="G876" s="71" t="s">
        <v>2922</v>
      </c>
      <c r="H876" s="71">
        <v>211</v>
      </c>
      <c r="I876" s="71" t="s">
        <v>2861</v>
      </c>
      <c r="J876" s="71">
        <v>1</v>
      </c>
      <c r="K876" s="71" t="s">
        <v>223</v>
      </c>
      <c r="L876" s="71" t="s">
        <v>2923</v>
      </c>
      <c r="M876" s="71" t="s">
        <v>2924</v>
      </c>
      <c r="N876" s="71">
        <v>4388937940</v>
      </c>
      <c r="Q876" s="71">
        <v>0</v>
      </c>
      <c r="R876" s="71" t="s">
        <v>2881</v>
      </c>
      <c r="S876" s="71" t="s">
        <v>2882</v>
      </c>
      <c r="T876" s="71" t="s">
        <v>2883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ADMINISTRATIVO</v>
      </c>
      <c r="C877" s="72" t="str">
        <f ca="1">IF(D877="Inativo","Inativo",IFERROR(VLOOKUP($G877,Conf!$F$19:$G$39,2,0),VLOOKUP($S877,Conf!$K:$M,3,0)))</f>
        <v>ASSISTENTE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79</v>
      </c>
      <c r="G877" s="71" t="s">
        <v>2925</v>
      </c>
      <c r="H877" s="71">
        <v>207</v>
      </c>
      <c r="I877" s="71" t="s">
        <v>1563</v>
      </c>
      <c r="J877" s="71">
        <v>1</v>
      </c>
      <c r="K877" s="71" t="s">
        <v>223</v>
      </c>
      <c r="L877" s="71" t="s">
        <v>2926</v>
      </c>
      <c r="M877" s="71" t="s">
        <v>1507</v>
      </c>
      <c r="N877" s="71">
        <v>11855245922</v>
      </c>
      <c r="Q877" s="71">
        <v>0</v>
      </c>
      <c r="R877" s="71" t="s">
        <v>2889</v>
      </c>
      <c r="S877" s="71" t="s">
        <v>2890</v>
      </c>
      <c r="T877" s="71" t="s">
        <v>2891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ADMINISTRATIVO</v>
      </c>
      <c r="C878" s="72" t="str">
        <f ca="1">IF(D878="Inativo","Inativo",IFERROR(VLOOKUP($G878,Conf!$F$19:$G$39,2,0),VLOOKUP($S878,Conf!$K:$M,3,0)))</f>
        <v>ASSISTENTE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20</v>
      </c>
      <c r="G878" s="71" t="s">
        <v>2927</v>
      </c>
      <c r="H878" s="71">
        <v>92</v>
      </c>
      <c r="I878" s="71" t="s">
        <v>1553</v>
      </c>
      <c r="J878" s="71">
        <v>1</v>
      </c>
      <c r="K878" s="71" t="s">
        <v>223</v>
      </c>
      <c r="L878" s="71" t="s">
        <v>358</v>
      </c>
      <c r="M878" s="71" t="s">
        <v>2928</v>
      </c>
      <c r="N878" s="71">
        <v>59259531934</v>
      </c>
      <c r="Q878" s="71">
        <v>0</v>
      </c>
      <c r="R878" s="71" t="s">
        <v>2889</v>
      </c>
      <c r="S878" s="71" t="s">
        <v>2890</v>
      </c>
      <c r="T878" s="71" t="s">
        <v>2891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ADMINISTRATIVO</v>
      </c>
      <c r="C879" s="72" t="str">
        <f ca="1">IF(D879="Inativo","Inativo",IFERROR(VLOOKUP($G879,Conf!$F$19:$G$39,2,0),VLOOKUP($S879,Conf!$K:$M,3,0)))</f>
        <v>ASSISTENTE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301</v>
      </c>
      <c r="G879" s="71" t="s">
        <v>2929</v>
      </c>
      <c r="H879" s="71">
        <v>1129</v>
      </c>
      <c r="I879" s="71" t="s">
        <v>339</v>
      </c>
      <c r="J879" s="71">
        <v>1</v>
      </c>
      <c r="K879" s="71" t="s">
        <v>223</v>
      </c>
      <c r="L879" s="71" t="s">
        <v>2930</v>
      </c>
      <c r="M879" s="71" t="s">
        <v>688</v>
      </c>
      <c r="N879" s="71">
        <v>15930646759</v>
      </c>
      <c r="O879" s="71" t="s">
        <v>245</v>
      </c>
      <c r="P879" s="71" t="s">
        <v>246</v>
      </c>
      <c r="Q879" s="71">
        <v>0</v>
      </c>
      <c r="R879" s="71" t="s">
        <v>2931</v>
      </c>
      <c r="S879" s="71" t="s">
        <v>2932</v>
      </c>
      <c r="T879" s="71" t="s">
        <v>2933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ADMINISTRATIVO</v>
      </c>
      <c r="C880" s="72" t="str">
        <f ca="1">IF(D880="Inativo","Inativo",IFERROR(VLOOKUP($G880,Conf!$F$19:$G$39,2,0),VLOOKUP($S880,Conf!$K:$M,3,0)))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294</v>
      </c>
      <c r="G880" s="71" t="s">
        <v>2934</v>
      </c>
      <c r="H880" s="71">
        <v>190</v>
      </c>
      <c r="I880" s="71" t="s">
        <v>2873</v>
      </c>
      <c r="J880" s="71">
        <v>1</v>
      </c>
      <c r="K880" s="71" t="s">
        <v>223</v>
      </c>
      <c r="L880" s="71" t="s">
        <v>2935</v>
      </c>
      <c r="M880" s="71" t="s">
        <v>2936</v>
      </c>
      <c r="N880" s="71">
        <v>75412543200</v>
      </c>
      <c r="O880" s="71" t="s">
        <v>245</v>
      </c>
      <c r="P880" s="71" t="s">
        <v>246</v>
      </c>
      <c r="Q880" s="71">
        <v>0</v>
      </c>
      <c r="R880" s="71" t="s">
        <v>2931</v>
      </c>
      <c r="S880" s="71" t="s">
        <v>2932</v>
      </c>
      <c r="T880" s="71" t="s">
        <v>2933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ADMINISTRATIVO</v>
      </c>
      <c r="C881" s="72" t="str">
        <f ca="1">IF(D881="Inativo","Inativo",IFERROR(VLOOKUP($G881,Conf!$F$19:$G$39,2,0),VLOOKUP($S881,Conf!$K:$M,3,0)))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249</v>
      </c>
      <c r="G881" s="71" t="s">
        <v>2937</v>
      </c>
      <c r="H881" s="71">
        <v>190</v>
      </c>
      <c r="I881" s="71" t="s">
        <v>2873</v>
      </c>
      <c r="J881" s="71">
        <v>1</v>
      </c>
      <c r="K881" s="71" t="s">
        <v>223</v>
      </c>
      <c r="L881" s="71" t="s">
        <v>2938</v>
      </c>
      <c r="M881" s="71" t="s">
        <v>2939</v>
      </c>
      <c r="N881" s="71">
        <v>2346763969</v>
      </c>
      <c r="Q881" s="71">
        <v>0</v>
      </c>
      <c r="R881" s="71" t="s">
        <v>2940</v>
      </c>
      <c r="S881" s="71" t="s">
        <v>2941</v>
      </c>
      <c r="T881" s="71" t="s">
        <v>2942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ADMINISTRATIVO</v>
      </c>
      <c r="C882" s="72" t="str">
        <f ca="1">IF(D882="Inativo","Inativo",IFERROR(VLOOKUP($G882,Conf!$F$19:$G$39,2,0),VLOOKUP($S882,Conf!$K:$M,3,0)))</f>
        <v>AUXILIAR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80</v>
      </c>
      <c r="G882" s="71" t="s">
        <v>2943</v>
      </c>
      <c r="H882" s="71">
        <v>101</v>
      </c>
      <c r="I882" s="71" t="s">
        <v>1553</v>
      </c>
      <c r="J882" s="71">
        <v>1</v>
      </c>
      <c r="K882" s="71" t="s">
        <v>223</v>
      </c>
      <c r="L882" s="71" t="s">
        <v>2944</v>
      </c>
      <c r="M882" s="71" t="s">
        <v>2945</v>
      </c>
      <c r="N882" s="71">
        <v>6991349941</v>
      </c>
      <c r="Q882" s="71">
        <v>0</v>
      </c>
      <c r="R882" s="71" t="s">
        <v>2946</v>
      </c>
      <c r="S882" s="71" t="s">
        <v>2947</v>
      </c>
      <c r="T882" s="71" t="s">
        <v>2948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ADMINISTRATIVO</v>
      </c>
      <c r="C883" s="72" t="str">
        <f ca="1">IF(D883="Inativo","Inativo",IFERROR(VLOOKUP($G883,Conf!$F$19:$G$39,2,0),VLOOKUP($S883,Conf!$K:$M,3,0)))</f>
        <v>AUXILIAR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113</v>
      </c>
      <c r="G883" s="71" t="s">
        <v>2949</v>
      </c>
      <c r="H883" s="71">
        <v>101</v>
      </c>
      <c r="I883" s="71" t="s">
        <v>1553</v>
      </c>
      <c r="J883" s="71">
        <v>1</v>
      </c>
      <c r="K883" s="71" t="s">
        <v>223</v>
      </c>
      <c r="L883" s="71" t="s">
        <v>2950</v>
      </c>
      <c r="M883" s="71" t="s">
        <v>2951</v>
      </c>
      <c r="N883" s="71">
        <v>9101972960</v>
      </c>
      <c r="Q883" s="71">
        <v>0</v>
      </c>
      <c r="R883" s="71" t="s">
        <v>2946</v>
      </c>
      <c r="S883" s="71" t="s">
        <v>2947</v>
      </c>
      <c r="T883" s="71" t="s">
        <v>2948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ADMINISTRATIVO</v>
      </c>
      <c r="C884" s="72" t="str">
        <f ca="1">IF(D884="Inativo","Inativo",IFERROR(VLOOKUP($G884,Conf!$F$19:$G$39,2,0),VLOOKUP($S884,Conf!$K:$M,3,0)))</f>
        <v>AUXILIAR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216</v>
      </c>
      <c r="G884" s="71" t="s">
        <v>2981</v>
      </c>
      <c r="H884" s="71">
        <v>85</v>
      </c>
      <c r="I884" s="71" t="s">
        <v>1129</v>
      </c>
      <c r="J884" s="71">
        <v>1</v>
      </c>
      <c r="K884" s="71" t="s">
        <v>223</v>
      </c>
      <c r="L884" s="71" t="s">
        <v>2982</v>
      </c>
      <c r="M884" s="71" t="s">
        <v>2983</v>
      </c>
      <c r="N884" s="71">
        <v>14197961944</v>
      </c>
      <c r="Q884" s="71">
        <v>0</v>
      </c>
      <c r="R884" s="71" t="s">
        <v>2984</v>
      </c>
      <c r="S884" s="71" t="s">
        <v>2985</v>
      </c>
      <c r="T884" s="71" t="s">
        <v>2986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ADMINISTRATIVO</v>
      </c>
      <c r="C885" s="72" t="str">
        <f ca="1">IF(D885="Inativo","Inativo",IFERROR(VLOOKUP($G885,Conf!$F$19:$G$39,2,0),VLOOKUP($S885,Conf!$K:$M,3,0)))</f>
        <v>AUXILIAR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361</v>
      </c>
      <c r="G885" s="71" t="s">
        <v>2952</v>
      </c>
      <c r="H885" s="71">
        <v>208</v>
      </c>
      <c r="I885" s="71" t="s">
        <v>293</v>
      </c>
      <c r="J885" s="71">
        <v>1</v>
      </c>
      <c r="K885" s="71" t="s">
        <v>223</v>
      </c>
      <c r="L885" s="71" t="s">
        <v>2953</v>
      </c>
      <c r="M885" s="71" t="s">
        <v>1992</v>
      </c>
      <c r="N885" s="71">
        <v>12351880943</v>
      </c>
      <c r="Q885" s="71">
        <v>0</v>
      </c>
      <c r="R885" s="71" t="s">
        <v>2954</v>
      </c>
      <c r="S885" s="71" t="s">
        <v>2955</v>
      </c>
      <c r="T885" s="71" t="s">
        <v>2956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ADMINISTRATIVO</v>
      </c>
      <c r="C886" s="72" t="str">
        <f ca="1">IF(D886="Inativo","Inativo",IFERROR(VLOOKUP($G886,Conf!$F$19:$G$39,2,0),VLOOKUP($S886,Conf!$K:$M,3,0)))</f>
        <v>AUXILIAR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265</v>
      </c>
      <c r="G886" s="71" t="s">
        <v>2957</v>
      </c>
      <c r="H886" s="71">
        <v>9</v>
      </c>
      <c r="I886" s="71" t="s">
        <v>945</v>
      </c>
      <c r="J886" s="71">
        <v>1</v>
      </c>
      <c r="K886" s="71" t="s">
        <v>223</v>
      </c>
      <c r="L886" s="71" t="s">
        <v>2958</v>
      </c>
      <c r="M886" s="71" t="s">
        <v>2959</v>
      </c>
      <c r="N886" s="71">
        <v>5613976945</v>
      </c>
      <c r="Q886" s="71">
        <v>0</v>
      </c>
      <c r="R886" s="71" t="s">
        <v>2954</v>
      </c>
      <c r="S886" s="71" t="s">
        <v>2955</v>
      </c>
      <c r="T886" s="71" t="s">
        <v>2956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ADMINISTRATIVO</v>
      </c>
      <c r="C887" s="72" t="str">
        <f ca="1">IF(D887="Inativo","Inativo",IFERROR(VLOOKUP($G887,Conf!$F$19:$G$39,2,0),VLOOKUP($S887,Conf!$K:$M,3,0)))</f>
        <v>ENCARREGADO</v>
      </c>
      <c r="D887" s="72" t="str">
        <f ca="1">IFERROR(IF(TODAY()-K887&gt;365,"Inativo",IF(J887=2,"Férias",IF(J887=7,"Demitido","Afastamento"))),VLOOKUP(J887,Conf!$H:$I,2,0))</f>
        <v>Férias</v>
      </c>
      <c r="E887" s="71">
        <v>30</v>
      </c>
      <c r="F887" s="71">
        <v>48</v>
      </c>
      <c r="G887" s="71" t="s">
        <v>2960</v>
      </c>
      <c r="H887" s="71">
        <v>9</v>
      </c>
      <c r="I887" s="71" t="s">
        <v>945</v>
      </c>
      <c r="J887" s="71">
        <v>2</v>
      </c>
      <c r="K887" s="71" t="s">
        <v>3647</v>
      </c>
      <c r="L887" s="71" t="s">
        <v>2961</v>
      </c>
      <c r="M887" s="71" t="s">
        <v>2962</v>
      </c>
      <c r="N887" s="71">
        <v>87849950925</v>
      </c>
      <c r="Q887" s="71">
        <v>0</v>
      </c>
      <c r="R887" s="71" t="s">
        <v>642</v>
      </c>
      <c r="S887" s="71" t="s">
        <v>2963</v>
      </c>
      <c r="T887" s="71" t="s">
        <v>644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ADMINISTRATIVO</v>
      </c>
      <c r="C888" s="72" t="str">
        <f ca="1">IF(D888="Inativo","Inativo",IFERROR(VLOOKUP($G888,Conf!$F$19:$G$39,2,0),VLOOKUP($S888,Conf!$K:$M,3,0)))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195</v>
      </c>
      <c r="G888" s="71" t="s">
        <v>2964</v>
      </c>
      <c r="H888" s="71">
        <v>12</v>
      </c>
      <c r="I888" s="71" t="s">
        <v>639</v>
      </c>
      <c r="J888" s="71">
        <v>1</v>
      </c>
      <c r="K888" s="71" t="s">
        <v>223</v>
      </c>
      <c r="L888" s="71" t="s">
        <v>2965</v>
      </c>
      <c r="M888" s="71" t="s">
        <v>2966</v>
      </c>
      <c r="N888" s="71">
        <v>2827186993</v>
      </c>
      <c r="Q888" s="71">
        <v>0</v>
      </c>
      <c r="R888" s="71" t="s">
        <v>2967</v>
      </c>
      <c r="S888" s="71" t="s">
        <v>2968</v>
      </c>
      <c r="T888" s="71" t="s">
        <v>2969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ADMINISTRATIVO</v>
      </c>
      <c r="C889" s="72" t="str">
        <f ca="1">IF(D889="Inativo","Inativo",IFERROR(VLOOKUP($G889,Conf!$F$19:$G$39,2,0),VLOOKUP($S889,Conf!$K:$M,3,0)))</f>
        <v>ENCARREGADO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298</v>
      </c>
      <c r="G889" s="71" t="s">
        <v>2970</v>
      </c>
      <c r="H889" s="71">
        <v>190</v>
      </c>
      <c r="I889" s="71" t="s">
        <v>2873</v>
      </c>
      <c r="J889" s="71">
        <v>1</v>
      </c>
      <c r="K889" s="71" t="s">
        <v>223</v>
      </c>
      <c r="L889" s="71" t="s">
        <v>2971</v>
      </c>
      <c r="M889" s="71" t="s">
        <v>2972</v>
      </c>
      <c r="N889" s="71">
        <v>7990372908</v>
      </c>
      <c r="O889" s="71" t="s">
        <v>245</v>
      </c>
      <c r="P889" s="71" t="s">
        <v>246</v>
      </c>
      <c r="Q889" s="71">
        <v>0</v>
      </c>
      <c r="R889" s="71" t="s">
        <v>2973</v>
      </c>
      <c r="S889" s="71" t="s">
        <v>2974</v>
      </c>
      <c r="T889" s="71" t="s">
        <v>2975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ADMINISTRATIVO</v>
      </c>
      <c r="C890" s="72" t="str">
        <f ca="1">IF(D890="Inativo","Inativo",IFERROR(VLOOKUP($G890,Conf!$F$19:$G$39,2,0),VLOOKUP($S890,Conf!$K:$M,3,0)))</f>
        <v>ENCARREGADO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297</v>
      </c>
      <c r="G890" s="71" t="s">
        <v>2976</v>
      </c>
      <c r="H890" s="71">
        <v>190</v>
      </c>
      <c r="I890" s="71" t="s">
        <v>2873</v>
      </c>
      <c r="J890" s="71">
        <v>1</v>
      </c>
      <c r="K890" s="71" t="s">
        <v>223</v>
      </c>
      <c r="L890" s="71" t="s">
        <v>2977</v>
      </c>
      <c r="M890" s="71" t="s">
        <v>434</v>
      </c>
      <c r="N890" s="71">
        <v>5267764981</v>
      </c>
      <c r="O890" s="71" t="s">
        <v>245</v>
      </c>
      <c r="P890" s="71" t="s">
        <v>246</v>
      </c>
      <c r="Q890" s="71">
        <v>0</v>
      </c>
      <c r="R890" s="71" t="s">
        <v>2978</v>
      </c>
      <c r="S890" s="71" t="s">
        <v>2979</v>
      </c>
      <c r="T890" s="71" t="s">
        <v>2980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ADMINISTRATIVO</v>
      </c>
      <c r="C891" s="72" t="str">
        <f ca="1">IF(D891="Inativo","Inativo",IFERROR(VLOOKUP($G891,Conf!$F$19:$G$39,2,0),VLOOKUP($S891,Conf!$K:$M,3,0)))</f>
        <v>SUPERVISOR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89</v>
      </c>
      <c r="G891" s="71" t="s">
        <v>3389</v>
      </c>
      <c r="H891" s="71">
        <v>95</v>
      </c>
      <c r="I891" s="71" t="s">
        <v>850</v>
      </c>
      <c r="J891" s="71">
        <v>1</v>
      </c>
      <c r="K891" s="71" t="s">
        <v>223</v>
      </c>
      <c r="L891" s="71" t="s">
        <v>3390</v>
      </c>
      <c r="M891" s="71" t="s">
        <v>3391</v>
      </c>
      <c r="N891" s="71">
        <v>89989805920</v>
      </c>
      <c r="Q891" s="71">
        <v>0</v>
      </c>
      <c r="R891" s="71" t="s">
        <v>3392</v>
      </c>
      <c r="S891" s="71" t="s">
        <v>3393</v>
      </c>
      <c r="T891" s="71" t="s">
        <v>3394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ADMINISTRATIVO</v>
      </c>
      <c r="C892" s="72" t="str">
        <f ca="1">IF(D892="Inativo","Inativo",IFERROR(VLOOKUP($G892,Conf!$F$19:$G$39,2,0),VLOOKUP($S892,Conf!$K:$M,3,0)))</f>
        <v>SUPERVISOR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288</v>
      </c>
      <c r="G892" s="71" t="s">
        <v>2987</v>
      </c>
      <c r="H892" s="71">
        <v>12</v>
      </c>
      <c r="I892" s="71" t="s">
        <v>639</v>
      </c>
      <c r="J892" s="71">
        <v>1</v>
      </c>
      <c r="K892" s="71" t="s">
        <v>223</v>
      </c>
      <c r="L892" s="71" t="s">
        <v>2988</v>
      </c>
      <c r="M892" s="71" t="s">
        <v>439</v>
      </c>
      <c r="N892" s="71">
        <v>96861053104</v>
      </c>
      <c r="O892" s="71" t="s">
        <v>245</v>
      </c>
      <c r="P892" s="71" t="s">
        <v>246</v>
      </c>
      <c r="Q892" s="71">
        <v>0</v>
      </c>
      <c r="R892" s="71" t="s">
        <v>2989</v>
      </c>
      <c r="S892" s="71" t="s">
        <v>2990</v>
      </c>
      <c r="T892" s="71" t="s">
        <v>2991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ADMINISTRATIVO</v>
      </c>
      <c r="C893" s="72" t="str">
        <f ca="1">IF(D893="Inativo","Inativo",IFERROR(VLOOKUP($G893,Conf!$F$19:$G$39,2,0),VLOOKUP($S893,Conf!$K:$M,3,0)))</f>
        <v>SUPERVISOR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95</v>
      </c>
      <c r="G893" s="71" t="s">
        <v>2848</v>
      </c>
      <c r="H893" s="71">
        <v>7</v>
      </c>
      <c r="I893" s="71" t="s">
        <v>313</v>
      </c>
      <c r="J893" s="71">
        <v>1</v>
      </c>
      <c r="K893" s="71" t="s">
        <v>223</v>
      </c>
      <c r="L893" s="71" t="s">
        <v>2849</v>
      </c>
      <c r="M893" s="71" t="s">
        <v>2850</v>
      </c>
      <c r="N893" s="71">
        <v>30404192858</v>
      </c>
      <c r="Q893" s="71">
        <v>0</v>
      </c>
      <c r="R893" s="71" t="s">
        <v>2851</v>
      </c>
      <c r="S893" s="71" t="s">
        <v>2852</v>
      </c>
      <c r="T893" s="71" t="s">
        <v>2853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COMPRADOR</v>
      </c>
      <c r="C894" s="72" t="str">
        <f ca="1">IF(D894="Inativo","Inativo",IFERROR(VLOOKUP($G894,Conf!$F$19:$G$39,2,0),VLOOKUP($S894,Conf!$K:$M,3,0)))</f>
        <v>COMPRADOR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12</v>
      </c>
      <c r="G894" s="71" t="s">
        <v>3506</v>
      </c>
      <c r="H894" s="71">
        <v>190</v>
      </c>
      <c r="I894" s="71" t="s">
        <v>2873</v>
      </c>
      <c r="J894" s="71">
        <v>1</v>
      </c>
      <c r="K894" s="71" t="s">
        <v>223</v>
      </c>
      <c r="L894" s="71" t="s">
        <v>3507</v>
      </c>
      <c r="M894" s="71" t="s">
        <v>2875</v>
      </c>
      <c r="N894" s="71">
        <v>3710703921</v>
      </c>
      <c r="Q894" s="71">
        <v>0</v>
      </c>
      <c r="R894" s="71" t="s">
        <v>3650</v>
      </c>
      <c r="S894" s="71" t="s">
        <v>3583</v>
      </c>
      <c r="T894" s="71" t="s">
        <v>3498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COMPRADOR</v>
      </c>
      <c r="C895" s="72" t="str">
        <f ca="1">IF(D895="Inativo","Inativo",IFERROR(VLOOKUP($G895,Conf!$F$19:$G$39,2,0),VLOOKUP($S895,Conf!$K:$M,3,0)))</f>
        <v>COMPRADOR</v>
      </c>
      <c r="D895" s="72" t="str">
        <f ca="1">IFERROR(IF(TODAY()-K895&gt;365,"Inativo",IF(J895=2,"Férias",IF(J895=7,"Demitido","Afastamento"))),VLOOKUP(J895,Conf!$H:$I,2,0))</f>
        <v>Demitido</v>
      </c>
      <c r="E895" s="71">
        <v>30</v>
      </c>
      <c r="F895" s="71">
        <v>133</v>
      </c>
      <c r="G895" s="71" t="s">
        <v>2992</v>
      </c>
      <c r="H895" s="71">
        <v>92</v>
      </c>
      <c r="I895" s="71" t="s">
        <v>1553</v>
      </c>
      <c r="J895" s="71">
        <v>7</v>
      </c>
      <c r="K895" s="71" t="s">
        <v>3648</v>
      </c>
      <c r="L895" s="71" t="s">
        <v>2993</v>
      </c>
      <c r="M895" s="71" t="s">
        <v>2994</v>
      </c>
      <c r="N895" s="71">
        <v>2784235904</v>
      </c>
      <c r="Q895" s="71">
        <v>0</v>
      </c>
      <c r="R895" s="71" t="s">
        <v>2995</v>
      </c>
      <c r="S895" s="71" t="s">
        <v>2996</v>
      </c>
      <c r="T895" s="71" t="s">
        <v>2997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COMPRADOR</v>
      </c>
      <c r="C896" s="72" t="str">
        <f ca="1">IF(D896="Inativo","Inativo",IFERROR(VLOOKUP($G896,Conf!$F$19:$G$39,2,0),VLOOKUP($S896,Conf!$K:$M,3,0)))</f>
        <v>COMPRADOR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94</v>
      </c>
      <c r="G896" s="71" t="s">
        <v>2998</v>
      </c>
      <c r="H896" s="71">
        <v>9</v>
      </c>
      <c r="I896" s="71" t="s">
        <v>945</v>
      </c>
      <c r="J896" s="71">
        <v>1</v>
      </c>
      <c r="K896" s="71" t="s">
        <v>223</v>
      </c>
      <c r="L896" s="71" t="s">
        <v>2999</v>
      </c>
      <c r="M896" s="71" t="s">
        <v>3000</v>
      </c>
      <c r="N896" s="71">
        <v>4305580900</v>
      </c>
      <c r="Q896" s="71">
        <v>0</v>
      </c>
      <c r="R896" s="71" t="s">
        <v>3001</v>
      </c>
      <c r="S896" s="71" t="s">
        <v>3002</v>
      </c>
      <c r="T896" s="71" t="s">
        <v>3003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COMPRADOR</v>
      </c>
      <c r="C897" s="72" t="str">
        <f ca="1">IF(D897="Inativo","Inativo",IFERROR(VLOOKUP($G897,Conf!$F$19:$G$39,2,0),VLOOKUP($S897,Conf!$K:$M,3,0)))</f>
        <v>COMPRADOR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146</v>
      </c>
      <c r="G897" s="71" t="s">
        <v>3004</v>
      </c>
      <c r="H897" s="71">
        <v>92</v>
      </c>
      <c r="I897" s="71" t="s">
        <v>1553</v>
      </c>
      <c r="J897" s="71">
        <v>1</v>
      </c>
      <c r="K897" s="71" t="s">
        <v>223</v>
      </c>
      <c r="L897" s="71" t="s">
        <v>3005</v>
      </c>
      <c r="M897" s="71" t="s">
        <v>3006</v>
      </c>
      <c r="N897" s="71">
        <v>4615940998</v>
      </c>
      <c r="Q897" s="71">
        <v>0</v>
      </c>
      <c r="R897" s="71" t="s">
        <v>2995</v>
      </c>
      <c r="S897" s="71" t="s">
        <v>2996</v>
      </c>
      <c r="T897" s="71" t="s">
        <v>2997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COMPRADOR</v>
      </c>
      <c r="C898" s="72" t="str">
        <f ca="1">IF(D898="Inativo","Inativo",IFERROR(VLOOKUP($G898,Conf!$F$19:$G$39,2,0),VLOOKUP($S898,Conf!$K:$M,3,0)))</f>
        <v>COMPRADOR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131</v>
      </c>
      <c r="G898" s="71" t="s">
        <v>3007</v>
      </c>
      <c r="H898" s="71">
        <v>92</v>
      </c>
      <c r="I898" s="71" t="s">
        <v>1553</v>
      </c>
      <c r="J898" s="71">
        <v>1</v>
      </c>
      <c r="K898" s="71" t="s">
        <v>223</v>
      </c>
      <c r="L898" s="71" t="s">
        <v>3008</v>
      </c>
      <c r="M898" s="71" t="s">
        <v>513</v>
      </c>
      <c r="N898" s="71">
        <v>5982091901</v>
      </c>
      <c r="Q898" s="71">
        <v>0</v>
      </c>
      <c r="R898" s="71" t="s">
        <v>3009</v>
      </c>
      <c r="S898" s="71" t="s">
        <v>3010</v>
      </c>
      <c r="T898" s="71" t="s">
        <v>3011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COMPRADOR</v>
      </c>
      <c r="C899" s="72" t="str">
        <f ca="1">IF(D899="Inativo","Inativo",IFERROR(VLOOKUP($G899,Conf!$F$19:$G$39,2,0),VLOOKUP($S899,Conf!$K:$M,3,0)))</f>
        <v>COMPRADOR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108</v>
      </c>
      <c r="G899" s="71" t="s">
        <v>3012</v>
      </c>
      <c r="H899" s="71">
        <v>16</v>
      </c>
      <c r="I899" s="71" t="s">
        <v>473</v>
      </c>
      <c r="J899" s="71">
        <v>1</v>
      </c>
      <c r="K899" s="71" t="s">
        <v>223</v>
      </c>
      <c r="L899" s="71" t="s">
        <v>3013</v>
      </c>
      <c r="M899" s="71" t="s">
        <v>3014</v>
      </c>
      <c r="N899" s="71">
        <v>2351462939</v>
      </c>
      <c r="Q899" s="71">
        <v>0</v>
      </c>
      <c r="R899" s="71" t="s">
        <v>3015</v>
      </c>
      <c r="S899" s="71" t="s">
        <v>3016</v>
      </c>
      <c r="T899" s="71" t="s">
        <v>3017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DEPOSITO</v>
      </c>
      <c r="C900" s="72" t="str">
        <f ca="1">IF(D900="Inativo","Inativo",IFERROR(VLOOKUP($G900,Conf!$F$19:$G$39,2,0),VLOOKUP($S900,Conf!$K:$M,3,0)))</f>
        <v>AUXILIAR</v>
      </c>
      <c r="D900" s="72" t="str">
        <f ca="1">IFERROR(IF(TODAY()-K900&gt;365,"Inativo",IF(J900=2,"Férias",IF(J900=7,"Demitido","Afastamento"))),VLOOKUP(J900,Conf!$H:$I,2,0))</f>
        <v>Demitido</v>
      </c>
      <c r="E900" s="71">
        <v>30</v>
      </c>
      <c r="F900" s="71">
        <v>383</v>
      </c>
      <c r="G900" s="71" t="s">
        <v>3018</v>
      </c>
      <c r="H900" s="71">
        <v>208</v>
      </c>
      <c r="I900" s="71" t="s">
        <v>293</v>
      </c>
      <c r="J900" s="71">
        <v>7</v>
      </c>
      <c r="K900" s="71" t="s">
        <v>1699</v>
      </c>
      <c r="L900" s="71" t="s">
        <v>3019</v>
      </c>
      <c r="M900" s="71" t="s">
        <v>623</v>
      </c>
      <c r="N900" s="71">
        <v>23864623820</v>
      </c>
      <c r="O900" s="71" t="s">
        <v>245</v>
      </c>
      <c r="P900" s="71" t="s">
        <v>246</v>
      </c>
      <c r="Q900" s="71">
        <v>0</v>
      </c>
      <c r="R900" s="71" t="s">
        <v>3020</v>
      </c>
      <c r="S900" s="71" t="s">
        <v>3021</v>
      </c>
      <c r="T900" s="71" t="s">
        <v>3022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DEPOSITO</v>
      </c>
      <c r="C901" s="72" t="str">
        <f ca="1">IF(D901="Inativo","Inativo",IFERROR(VLOOKUP($G901,Conf!$F$19:$G$39,2,0),VLOOKUP($S901,Conf!$K:$M,3,0)))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352</v>
      </c>
      <c r="G901" s="71" t="s">
        <v>3023</v>
      </c>
      <c r="H901" s="71">
        <v>86</v>
      </c>
      <c r="I901" s="71" t="s">
        <v>945</v>
      </c>
      <c r="J901" s="71">
        <v>1</v>
      </c>
      <c r="K901" s="71" t="s">
        <v>223</v>
      </c>
      <c r="L901" s="71" t="s">
        <v>3024</v>
      </c>
      <c r="M901" s="71" t="s">
        <v>828</v>
      </c>
      <c r="N901" s="71">
        <v>37044068804</v>
      </c>
      <c r="Q901" s="71">
        <v>0</v>
      </c>
      <c r="R901" s="71" t="s">
        <v>3020</v>
      </c>
      <c r="S901" s="71" t="s">
        <v>3021</v>
      </c>
      <c r="T901" s="71" t="s">
        <v>3022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DEPOSITO</v>
      </c>
      <c r="C902" s="72" t="str">
        <f ca="1">IF(D902="Inativo","Inativo",IFERROR(VLOOKUP($G902,Conf!$F$19:$G$39,2,0),VLOOKUP($S902,Conf!$K:$M,3,0)))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198</v>
      </c>
      <c r="G902" s="71" t="s">
        <v>3025</v>
      </c>
      <c r="H902" s="71">
        <v>216</v>
      </c>
      <c r="I902" s="71" t="s">
        <v>3026</v>
      </c>
      <c r="J902" s="71">
        <v>1</v>
      </c>
      <c r="K902" s="71" t="s">
        <v>223</v>
      </c>
      <c r="L902" s="71" t="s">
        <v>3027</v>
      </c>
      <c r="M902" s="71" t="s">
        <v>471</v>
      </c>
      <c r="N902" s="71">
        <v>13881908935</v>
      </c>
      <c r="O902" s="71" t="s">
        <v>245</v>
      </c>
      <c r="P902" s="71" t="s">
        <v>246</v>
      </c>
      <c r="Q902" s="71">
        <v>0</v>
      </c>
      <c r="R902" s="71" t="s">
        <v>3028</v>
      </c>
      <c r="S902" s="71" t="s">
        <v>3029</v>
      </c>
      <c r="T902" s="71" t="s">
        <v>3030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DEPOSITO</v>
      </c>
      <c r="C903" s="72" t="str">
        <f ca="1">IF(D903="Inativo","Inativo",IFERROR(VLOOKUP($G903,Conf!$F$19:$G$39,2,0),VLOOKUP($S903,Conf!$K:$M,3,0)))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143</v>
      </c>
      <c r="G903" s="71" t="s">
        <v>3034</v>
      </c>
      <c r="H903" s="71">
        <v>216</v>
      </c>
      <c r="I903" s="71" t="s">
        <v>3026</v>
      </c>
      <c r="J903" s="71">
        <v>1</v>
      </c>
      <c r="K903" s="71" t="s">
        <v>223</v>
      </c>
      <c r="L903" s="71" t="s">
        <v>3035</v>
      </c>
      <c r="M903" s="71" t="s">
        <v>3036</v>
      </c>
      <c r="N903" s="71">
        <v>80178617962</v>
      </c>
      <c r="Q903" s="71">
        <v>0</v>
      </c>
      <c r="R903" s="71" t="s">
        <v>3028</v>
      </c>
      <c r="S903" s="71" t="s">
        <v>3029</v>
      </c>
      <c r="T903" s="71" t="s">
        <v>3030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DEPOSITO</v>
      </c>
      <c r="C904" s="72" t="str">
        <f ca="1">IF(D904="Inativo","Inativo",IFERROR(VLOOKUP($G904,Conf!$F$19:$G$39,2,0),VLOOKUP($S904,Conf!$K:$M,3,0)))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372</v>
      </c>
      <c r="G904" s="71" t="s">
        <v>3037</v>
      </c>
      <c r="H904" s="71">
        <v>86</v>
      </c>
      <c r="I904" s="71" t="s">
        <v>945</v>
      </c>
      <c r="J904" s="71">
        <v>1</v>
      </c>
      <c r="K904" s="71" t="s">
        <v>223</v>
      </c>
      <c r="L904" s="71" t="s">
        <v>3038</v>
      </c>
      <c r="M904" s="71" t="s">
        <v>808</v>
      </c>
      <c r="N904" s="71">
        <v>9720276967</v>
      </c>
      <c r="O904" s="71" t="s">
        <v>245</v>
      </c>
      <c r="P904" s="71" t="s">
        <v>246</v>
      </c>
      <c r="Q904" s="71">
        <v>0</v>
      </c>
      <c r="R904" s="71" t="s">
        <v>3020</v>
      </c>
      <c r="S904" s="71" t="s">
        <v>3021</v>
      </c>
      <c r="T904" s="71" t="s">
        <v>3022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DEPOSITO</v>
      </c>
      <c r="C905" s="72" t="str">
        <f ca="1">IF(D905="Inativo","Inativo",IFERROR(VLOOKUP($G905,Conf!$F$19:$G$39,2,0),VLOOKUP($S905,Conf!$K:$M,3,0)))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400</v>
      </c>
      <c r="G905" s="71" t="s">
        <v>3039</v>
      </c>
      <c r="H905" s="71">
        <v>92</v>
      </c>
      <c r="I905" s="71" t="s">
        <v>1553</v>
      </c>
      <c r="J905" s="71">
        <v>1</v>
      </c>
      <c r="K905" s="71" t="s">
        <v>223</v>
      </c>
      <c r="L905" s="71" t="s">
        <v>3040</v>
      </c>
      <c r="M905" s="71" t="s">
        <v>320</v>
      </c>
      <c r="N905" s="71">
        <v>11487021992</v>
      </c>
      <c r="O905" s="71" t="s">
        <v>245</v>
      </c>
      <c r="P905" s="71" t="s">
        <v>246</v>
      </c>
      <c r="Q905" s="71">
        <v>0</v>
      </c>
      <c r="R905" s="71" t="s">
        <v>3031</v>
      </c>
      <c r="S905" s="71" t="s">
        <v>3032</v>
      </c>
      <c r="T905" s="71" t="s">
        <v>3033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DEPOSITO</v>
      </c>
      <c r="C906" s="72" t="str">
        <f ca="1">IF(D906="Inativo","Inativo",IFERROR(VLOOKUP($G906,Conf!$F$19:$G$39,2,0),VLOOKUP($S906,Conf!$K:$M,3,0)))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117</v>
      </c>
      <c r="G906" s="71" t="s">
        <v>3041</v>
      </c>
      <c r="H906" s="71">
        <v>216</v>
      </c>
      <c r="I906" s="71" t="s">
        <v>3026</v>
      </c>
      <c r="J906" s="71">
        <v>1</v>
      </c>
      <c r="K906" s="71" t="s">
        <v>223</v>
      </c>
      <c r="L906" s="71" t="s">
        <v>3042</v>
      </c>
      <c r="M906" s="71" t="s">
        <v>2888</v>
      </c>
      <c r="N906" s="71">
        <v>13491913969</v>
      </c>
      <c r="Q906" s="71">
        <v>0</v>
      </c>
      <c r="R906" s="71" t="s">
        <v>3028</v>
      </c>
      <c r="S906" s="71" t="s">
        <v>3029</v>
      </c>
      <c r="T906" s="71" t="s">
        <v>3030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DEPOSITO</v>
      </c>
      <c r="C907" s="72" t="str">
        <f ca="1">IF(D907="Inativo","Inativo",IFERROR(VLOOKUP($G907,Conf!$F$19:$G$39,2,0),VLOOKUP($S907,Conf!$K:$M,3,0)))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195</v>
      </c>
      <c r="G907" s="71" t="s">
        <v>3043</v>
      </c>
      <c r="H907" s="71">
        <v>216</v>
      </c>
      <c r="I907" s="71" t="s">
        <v>3026</v>
      </c>
      <c r="J907" s="71">
        <v>1</v>
      </c>
      <c r="K907" s="71" t="s">
        <v>223</v>
      </c>
      <c r="L907" s="71" t="s">
        <v>3044</v>
      </c>
      <c r="M907" s="71" t="s">
        <v>3045</v>
      </c>
      <c r="N907" s="71">
        <v>13302145950</v>
      </c>
      <c r="O907" s="71" t="s">
        <v>245</v>
      </c>
      <c r="P907" s="71" t="s">
        <v>246</v>
      </c>
      <c r="Q907" s="71">
        <v>0</v>
      </c>
      <c r="R907" s="71" t="s">
        <v>3028</v>
      </c>
      <c r="S907" s="71" t="s">
        <v>3029</v>
      </c>
      <c r="T907" s="71" t="s">
        <v>3030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DEPOSITO</v>
      </c>
      <c r="C908" s="72" t="str">
        <f ca="1">IF(D908="Inativo","Inativo",IFERROR(VLOOKUP($G908,Conf!$F$19:$G$39,2,0),VLOOKUP($S908,Conf!$K:$M,3,0)))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319</v>
      </c>
      <c r="G908" s="71" t="s">
        <v>3046</v>
      </c>
      <c r="H908" s="71">
        <v>207</v>
      </c>
      <c r="I908" s="71" t="s">
        <v>1563</v>
      </c>
      <c r="J908" s="71">
        <v>1</v>
      </c>
      <c r="K908" s="71" t="s">
        <v>223</v>
      </c>
      <c r="L908" s="71" t="s">
        <v>3047</v>
      </c>
      <c r="M908" s="71" t="s">
        <v>1729</v>
      </c>
      <c r="N908" s="71">
        <v>79744826991</v>
      </c>
      <c r="Q908" s="71">
        <v>0</v>
      </c>
      <c r="R908" s="71" t="s">
        <v>3048</v>
      </c>
      <c r="S908" s="71" t="s">
        <v>3049</v>
      </c>
      <c r="T908" s="71" t="s">
        <v>3050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DEPOSITO</v>
      </c>
      <c r="C909" s="72" t="str">
        <f ca="1">IF(D909="Inativo","Inativo",IFERROR(VLOOKUP($G909,Conf!$F$19:$G$39,2,0),VLOOKUP($S909,Conf!$K:$M,3,0)))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122</v>
      </c>
      <c r="G909" s="71" t="s">
        <v>3051</v>
      </c>
      <c r="H909" s="71">
        <v>216</v>
      </c>
      <c r="I909" s="71" t="s">
        <v>3026</v>
      </c>
      <c r="J909" s="71">
        <v>1</v>
      </c>
      <c r="K909" s="71" t="s">
        <v>223</v>
      </c>
      <c r="L909" s="71" t="s">
        <v>3052</v>
      </c>
      <c r="M909" s="71" t="s">
        <v>746</v>
      </c>
      <c r="N909" s="71">
        <v>8428463956</v>
      </c>
      <c r="Q909" s="71">
        <v>0</v>
      </c>
      <c r="R909" s="71" t="s">
        <v>3028</v>
      </c>
      <c r="S909" s="71" t="s">
        <v>3029</v>
      </c>
      <c r="T909" s="71" t="s">
        <v>3030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DEPOSITO</v>
      </c>
      <c r="C910" s="72" t="str">
        <f ca="1">IF(D910="Inativo","Inativo",IFERROR(VLOOKUP($G910,Conf!$F$19:$G$39,2,0),VLOOKUP($S910,Conf!$K:$M,3,0)))</f>
        <v>AUXILIAR</v>
      </c>
      <c r="D910" s="72" t="str">
        <f ca="1">IFERROR(IF(TODAY()-K910&gt;365,"Inativo",IF(J910=2,"Férias",IF(J910=7,"Demitido","Afastamento"))),VLOOKUP(J910,Conf!$H:$I,2,0))</f>
        <v>Demitido</v>
      </c>
      <c r="E910" s="71">
        <v>30</v>
      </c>
      <c r="F910" s="71">
        <v>347</v>
      </c>
      <c r="G910" s="71" t="s">
        <v>3053</v>
      </c>
      <c r="H910" s="71">
        <v>9</v>
      </c>
      <c r="I910" s="71" t="s">
        <v>945</v>
      </c>
      <c r="J910" s="71">
        <v>7</v>
      </c>
      <c r="K910" s="71" t="s">
        <v>3642</v>
      </c>
      <c r="L910" s="71" t="s">
        <v>3054</v>
      </c>
      <c r="M910" s="71" t="s">
        <v>3055</v>
      </c>
      <c r="N910" s="71">
        <v>10397668970</v>
      </c>
      <c r="Q910" s="71">
        <v>0</v>
      </c>
      <c r="R910" s="71" t="s">
        <v>3020</v>
      </c>
      <c r="S910" s="71" t="s">
        <v>3021</v>
      </c>
      <c r="T910" s="71" t="s">
        <v>3022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DEPOSITO</v>
      </c>
      <c r="C911" s="72" t="str">
        <f ca="1">IF(D911="Inativo","Inativo",IFERROR(VLOOKUP($G911,Conf!$F$19:$G$39,2,0),VLOOKUP($S911,Conf!$K:$M,3,0)))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106</v>
      </c>
      <c r="G911" s="71" t="s">
        <v>3056</v>
      </c>
      <c r="H911" s="71">
        <v>216</v>
      </c>
      <c r="I911" s="71" t="s">
        <v>3026</v>
      </c>
      <c r="J911" s="71">
        <v>1</v>
      </c>
      <c r="K911" s="71" t="s">
        <v>223</v>
      </c>
      <c r="L911" s="71" t="s">
        <v>3057</v>
      </c>
      <c r="M911" s="71" t="s">
        <v>1436</v>
      </c>
      <c r="N911" s="71">
        <v>8317172627</v>
      </c>
      <c r="Q911" s="71">
        <v>0</v>
      </c>
      <c r="R911" s="71" t="s">
        <v>3028</v>
      </c>
      <c r="S911" s="71" t="s">
        <v>3029</v>
      </c>
      <c r="T911" s="71" t="s">
        <v>3030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DEPOSITO</v>
      </c>
      <c r="C912" s="72" t="str">
        <f ca="1">IF(D912="Inativo","Inativo",IFERROR(VLOOKUP($G912,Conf!$F$19:$G$39,2,0),VLOOKUP($S912,Conf!$K:$M,3,0)))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404</v>
      </c>
      <c r="G912" s="71" t="s">
        <v>3645</v>
      </c>
      <c r="H912" s="71">
        <v>92</v>
      </c>
      <c r="I912" s="71" t="s">
        <v>1553</v>
      </c>
      <c r="J912" s="71">
        <v>1</v>
      </c>
      <c r="K912" s="71" t="s">
        <v>223</v>
      </c>
      <c r="L912" s="71" t="s">
        <v>3646</v>
      </c>
      <c r="M912" s="71" t="s">
        <v>3632</v>
      </c>
      <c r="N912" s="71">
        <v>10990161935</v>
      </c>
      <c r="O912" s="71" t="s">
        <v>245</v>
      </c>
      <c r="P912" s="71" t="s">
        <v>246</v>
      </c>
      <c r="Q912" s="71">
        <v>0</v>
      </c>
      <c r="R912" s="71" t="s">
        <v>3031</v>
      </c>
      <c r="S912" s="71" t="s">
        <v>3032</v>
      </c>
      <c r="T912" s="71" t="s">
        <v>3033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DEPOSITO</v>
      </c>
      <c r="C913" s="72" t="str">
        <f ca="1">IF(D913="Inativo","Inativo",IFERROR(VLOOKUP($G913,Conf!$F$19:$G$39,2,0),VLOOKUP($S913,Conf!$K:$M,3,0)))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374</v>
      </c>
      <c r="G913" s="71" t="s">
        <v>3058</v>
      </c>
      <c r="H913" s="71">
        <v>101</v>
      </c>
      <c r="I913" s="71" t="s">
        <v>1553</v>
      </c>
      <c r="J913" s="71">
        <v>1</v>
      </c>
      <c r="K913" s="71" t="s">
        <v>223</v>
      </c>
      <c r="L913" s="71" t="s">
        <v>3059</v>
      </c>
      <c r="M913" s="71" t="s">
        <v>878</v>
      </c>
      <c r="N913" s="71">
        <v>8642321954</v>
      </c>
      <c r="O913" s="71" t="s">
        <v>245</v>
      </c>
      <c r="P913" s="71" t="s">
        <v>246</v>
      </c>
      <c r="Q913" s="71">
        <v>0</v>
      </c>
      <c r="R913" s="71" t="s">
        <v>3020</v>
      </c>
      <c r="S913" s="71" t="s">
        <v>3021</v>
      </c>
      <c r="T913" s="71" t="s">
        <v>3022</v>
      </c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DEPOSITO</v>
      </c>
      <c r="C914" s="72" t="str">
        <f ca="1">IF(D914="Inativo","Inativo",IFERROR(VLOOKUP($G914,Conf!$F$19:$G$39,2,0),VLOOKUP($S914,Conf!$K:$M,3,0)))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187</v>
      </c>
      <c r="G914" s="71" t="s">
        <v>3060</v>
      </c>
      <c r="H914" s="71">
        <v>216</v>
      </c>
      <c r="I914" s="71" t="s">
        <v>3026</v>
      </c>
      <c r="J914" s="71">
        <v>1</v>
      </c>
      <c r="K914" s="71" t="s">
        <v>223</v>
      </c>
      <c r="L914" s="71" t="s">
        <v>3061</v>
      </c>
      <c r="M914" s="71" t="s">
        <v>462</v>
      </c>
      <c r="N914" s="71">
        <v>10614239990</v>
      </c>
      <c r="O914" s="71" t="s">
        <v>245</v>
      </c>
      <c r="P914" s="71" t="s">
        <v>246</v>
      </c>
      <c r="Q914" s="71">
        <v>0</v>
      </c>
      <c r="R914" s="71" t="s">
        <v>3028</v>
      </c>
      <c r="S914" s="71" t="s">
        <v>3029</v>
      </c>
      <c r="T914" s="71" t="s">
        <v>3030</v>
      </c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DEPOSITO</v>
      </c>
      <c r="C915" s="72" t="str">
        <f ca="1">IF(D915="Inativo","Inativo",IFERROR(VLOOKUP($G915,Conf!$F$19:$G$39,2,0),VLOOKUP($S915,Conf!$K:$M,3,0)))</f>
        <v>AUXILIAR</v>
      </c>
      <c r="D915" s="72" t="str">
        <f ca="1">IFERROR(IF(TODAY()-K915&gt;365,"Inativo",IF(J915=2,"Férias",IF(J915=7,"Demitido","Afastamento"))),VLOOKUP(J915,Conf!$H:$I,2,0))</f>
        <v>Afastamento</v>
      </c>
      <c r="E915" s="71">
        <v>30</v>
      </c>
      <c r="F915" s="71">
        <v>194</v>
      </c>
      <c r="G915" s="71" t="s">
        <v>3062</v>
      </c>
      <c r="H915" s="71">
        <v>216</v>
      </c>
      <c r="I915" s="71" t="s">
        <v>3026</v>
      </c>
      <c r="J915" s="71">
        <v>14</v>
      </c>
      <c r="K915" s="71" t="s">
        <v>1699</v>
      </c>
      <c r="L915" s="71" t="s">
        <v>3063</v>
      </c>
      <c r="M915" s="71" t="s">
        <v>417</v>
      </c>
      <c r="N915" s="71">
        <v>7967865189</v>
      </c>
      <c r="O915" s="71" t="s">
        <v>245</v>
      </c>
      <c r="P915" s="71" t="s">
        <v>246</v>
      </c>
      <c r="Q915" s="71">
        <v>0</v>
      </c>
      <c r="R915" s="71" t="s">
        <v>3028</v>
      </c>
      <c r="S915" s="71" t="s">
        <v>3029</v>
      </c>
      <c r="T915" s="71" t="s">
        <v>3030</v>
      </c>
    </row>
    <row r="916" spans="1:20" x14ac:dyDescent="0.3">
      <c r="A916" s="72">
        <f>IFERROR(VLOOKUP($G916,Conf!$B:$C,2,0),E916)</f>
        <v>30</v>
      </c>
      <c r="B916" s="72" t="str">
        <f ca="1">IF(D916="Inativo","Inativo",VLOOKUP($S916,Conf!$K:$M,2,0))</f>
        <v>DEPOSITO</v>
      </c>
      <c r="C916" s="72" t="str">
        <f ca="1">IF(D916="Inativo","Inativo",IFERROR(VLOOKUP($G916,Conf!$F$19:$G$39,2,0),VLOOKUP($S916,Conf!$K:$M,3,0)))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71">
        <v>30</v>
      </c>
      <c r="F916" s="71">
        <v>393</v>
      </c>
      <c r="G916" s="71" t="s">
        <v>3064</v>
      </c>
      <c r="H916" s="71">
        <v>92</v>
      </c>
      <c r="I916" s="71" t="s">
        <v>1553</v>
      </c>
      <c r="J916" s="71">
        <v>1</v>
      </c>
      <c r="K916" s="71" t="s">
        <v>223</v>
      </c>
      <c r="L916" s="71" t="s">
        <v>3065</v>
      </c>
      <c r="M916" s="71" t="s">
        <v>3066</v>
      </c>
      <c r="N916" s="71">
        <v>10337615918</v>
      </c>
      <c r="O916" s="71" t="s">
        <v>245</v>
      </c>
      <c r="P916" s="71" t="s">
        <v>246</v>
      </c>
      <c r="Q916" s="71">
        <v>0</v>
      </c>
      <c r="R916" s="71" t="s">
        <v>3031</v>
      </c>
      <c r="S916" s="71" t="s">
        <v>3032</v>
      </c>
      <c r="T916" s="71" t="s">
        <v>3033</v>
      </c>
    </row>
    <row r="917" spans="1:20" x14ac:dyDescent="0.3">
      <c r="A917" s="72">
        <f>IFERROR(VLOOKUP($G917,Conf!$B:$C,2,0),E917)</f>
        <v>30</v>
      </c>
      <c r="B917" s="72" t="str">
        <f ca="1">IF(D917="Inativo","Inativo",VLOOKUP($S917,Conf!$K:$M,2,0))</f>
        <v>DEPOSITO</v>
      </c>
      <c r="C917" s="72" t="str">
        <f ca="1">IF(D917="Inativo","Inativo",IFERROR(VLOOKUP($G917,Conf!$F$19:$G$39,2,0),VLOOKUP($S917,Conf!$K:$M,3,0)))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71">
        <v>30</v>
      </c>
      <c r="F917" s="71">
        <v>401</v>
      </c>
      <c r="G917" s="71" t="s">
        <v>3067</v>
      </c>
      <c r="H917" s="71">
        <v>92</v>
      </c>
      <c r="I917" s="71" t="s">
        <v>1553</v>
      </c>
      <c r="J917" s="71">
        <v>1</v>
      </c>
      <c r="K917" s="71" t="s">
        <v>223</v>
      </c>
      <c r="L917" s="71" t="s">
        <v>3068</v>
      </c>
      <c r="M917" s="71" t="s">
        <v>471</v>
      </c>
      <c r="N917" s="71">
        <v>12077184914</v>
      </c>
      <c r="O917" s="71" t="s">
        <v>245</v>
      </c>
      <c r="P917" s="71" t="s">
        <v>246</v>
      </c>
      <c r="Q917" s="71">
        <v>0</v>
      </c>
      <c r="R917" s="71" t="s">
        <v>3031</v>
      </c>
      <c r="S917" s="71" t="s">
        <v>3032</v>
      </c>
      <c r="T917" s="71" t="s">
        <v>3033</v>
      </c>
    </row>
    <row r="918" spans="1:20" x14ac:dyDescent="0.3">
      <c r="A918" s="72">
        <f>IFERROR(VLOOKUP($G918,Conf!$B:$C,2,0),E918)</f>
        <v>30</v>
      </c>
      <c r="B918" s="72" t="str">
        <f ca="1">IF(D918="Inativo","Inativo",VLOOKUP($S918,Conf!$K:$M,2,0))</f>
        <v>DEPOSITO</v>
      </c>
      <c r="C918" s="72" t="str">
        <f ca="1">IF(D918="Inativo","Inativo",IFERROR(VLOOKUP($G918,Conf!$F$19:$G$39,2,0),VLOOKUP($S918,Conf!$K:$M,3,0)))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71">
        <v>30</v>
      </c>
      <c r="F918" s="71">
        <v>403</v>
      </c>
      <c r="G918" s="71" t="s">
        <v>3069</v>
      </c>
      <c r="H918" s="71">
        <v>92</v>
      </c>
      <c r="I918" s="71" t="s">
        <v>1553</v>
      </c>
      <c r="J918" s="71">
        <v>1</v>
      </c>
      <c r="K918" s="71" t="s">
        <v>223</v>
      </c>
      <c r="L918" s="71" t="s">
        <v>3070</v>
      </c>
      <c r="M918" s="71" t="s">
        <v>471</v>
      </c>
      <c r="N918" s="71">
        <v>5684263712</v>
      </c>
      <c r="O918" s="71" t="s">
        <v>245</v>
      </c>
      <c r="P918" s="71" t="s">
        <v>246</v>
      </c>
      <c r="Q918" s="71">
        <v>0</v>
      </c>
      <c r="R918" s="71" t="s">
        <v>3031</v>
      </c>
      <c r="S918" s="71" t="s">
        <v>3032</v>
      </c>
      <c r="T918" s="71" t="s">
        <v>3033</v>
      </c>
    </row>
    <row r="919" spans="1:20" x14ac:dyDescent="0.3">
      <c r="A919" s="72">
        <f>IFERROR(VLOOKUP($G919,Conf!$B:$C,2,0),E919)</f>
        <v>30</v>
      </c>
      <c r="B919" s="72" t="str">
        <f ca="1">IF(D919="Inativo","Inativo",VLOOKUP($S919,Conf!$K:$M,2,0))</f>
        <v>DEPOSITO</v>
      </c>
      <c r="C919" s="72" t="str">
        <f ca="1">IF(D919="Inativo","Inativo",IFERROR(VLOOKUP($G919,Conf!$F$19:$G$39,2,0),VLOOKUP($S919,Conf!$K:$M,3,0)))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71">
        <v>30</v>
      </c>
      <c r="F919" s="71">
        <v>188</v>
      </c>
      <c r="G919" s="71" t="s">
        <v>3071</v>
      </c>
      <c r="H919" s="71">
        <v>216</v>
      </c>
      <c r="I919" s="71" t="s">
        <v>3026</v>
      </c>
      <c r="J919" s="71">
        <v>1</v>
      </c>
      <c r="K919" s="71" t="s">
        <v>223</v>
      </c>
      <c r="L919" s="71" t="s">
        <v>3072</v>
      </c>
      <c r="M919" s="71" t="s">
        <v>623</v>
      </c>
      <c r="N919" s="71">
        <v>7351883947</v>
      </c>
      <c r="O919" s="71" t="s">
        <v>245</v>
      </c>
      <c r="P919" s="71" t="s">
        <v>246</v>
      </c>
      <c r="Q919" s="71">
        <v>0</v>
      </c>
      <c r="R919" s="71" t="s">
        <v>3028</v>
      </c>
      <c r="S919" s="71" t="s">
        <v>3029</v>
      </c>
      <c r="T919" s="71" t="s">
        <v>3030</v>
      </c>
    </row>
    <row r="920" spans="1:20" x14ac:dyDescent="0.3">
      <c r="A920" s="72">
        <f>IFERROR(VLOOKUP($G920,Conf!$B:$C,2,0),E920)</f>
        <v>30</v>
      </c>
      <c r="B920" s="72" t="str">
        <f ca="1">IF(D920="Inativo","Inativo",VLOOKUP($S920,Conf!$K:$M,2,0))</f>
        <v>DEPOSITO</v>
      </c>
      <c r="C920" s="72" t="str">
        <f ca="1">IF(D920="Inativo","Inativo",IFERROR(VLOOKUP($G920,Conf!$F$19:$G$39,2,0),VLOOKUP($S920,Conf!$K:$M,3,0)))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71">
        <v>30</v>
      </c>
      <c r="F920" s="71">
        <v>197</v>
      </c>
      <c r="G920" s="71" t="s">
        <v>3073</v>
      </c>
      <c r="H920" s="71">
        <v>216</v>
      </c>
      <c r="I920" s="71" t="s">
        <v>3026</v>
      </c>
      <c r="J920" s="71">
        <v>1</v>
      </c>
      <c r="K920" s="71" t="s">
        <v>223</v>
      </c>
      <c r="L920" s="71" t="s">
        <v>3074</v>
      </c>
      <c r="M920" s="71" t="s">
        <v>471</v>
      </c>
      <c r="N920" s="71">
        <v>10172346983</v>
      </c>
      <c r="O920" s="71" t="s">
        <v>245</v>
      </c>
      <c r="P920" s="71" t="s">
        <v>246</v>
      </c>
      <c r="Q920" s="71">
        <v>0</v>
      </c>
      <c r="R920" s="71" t="s">
        <v>3028</v>
      </c>
      <c r="S920" s="71" t="s">
        <v>3029</v>
      </c>
      <c r="T920" s="71" t="s">
        <v>3030</v>
      </c>
    </row>
    <row r="921" spans="1:20" x14ac:dyDescent="0.3">
      <c r="A921" s="72">
        <f>IFERROR(VLOOKUP($G921,Conf!$B:$C,2,0),E921)</f>
        <v>30</v>
      </c>
      <c r="B921" s="72" t="str">
        <f ca="1">IF(D921="Inativo","Inativo",VLOOKUP($S921,Conf!$K:$M,2,0))</f>
        <v>DEPOSITO</v>
      </c>
      <c r="C921" s="72" t="str">
        <f ca="1">IF(D921="Inativo","Inativo",IFERROR(VLOOKUP($G921,Conf!$F$19:$G$39,2,0),VLOOKUP($S921,Conf!$K:$M,3,0)))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71">
        <v>30</v>
      </c>
      <c r="F921" s="71">
        <v>161</v>
      </c>
      <c r="G921" s="71" t="s">
        <v>3077</v>
      </c>
      <c r="H921" s="71">
        <v>216</v>
      </c>
      <c r="I921" s="71" t="s">
        <v>3026</v>
      </c>
      <c r="J921" s="71">
        <v>1</v>
      </c>
      <c r="K921" s="71" t="s">
        <v>223</v>
      </c>
      <c r="L921" s="71" t="s">
        <v>3078</v>
      </c>
      <c r="M921" s="71" t="s">
        <v>513</v>
      </c>
      <c r="N921" s="71">
        <v>7573393954</v>
      </c>
      <c r="Q921" s="71">
        <v>0</v>
      </c>
      <c r="R921" s="71" t="s">
        <v>3028</v>
      </c>
      <c r="S921" s="71" t="s">
        <v>3029</v>
      </c>
      <c r="T921" s="71" t="s">
        <v>3030</v>
      </c>
    </row>
    <row r="922" spans="1:20" x14ac:dyDescent="0.3">
      <c r="A922" s="72">
        <f>IFERROR(VLOOKUP($G922,Conf!$B:$C,2,0),E922)</f>
        <v>30</v>
      </c>
      <c r="B922" s="72" t="str">
        <f ca="1">IF(D922="Inativo","Inativo",VLOOKUP($S922,Conf!$K:$M,2,0))</f>
        <v>DEPOSITO</v>
      </c>
      <c r="C922" s="72" t="str">
        <f ca="1">IF(D922="Inativo","Inativo",IFERROR(VLOOKUP($G922,Conf!$F$19:$G$39,2,0),VLOOKUP($S922,Conf!$K:$M,3,0)))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71">
        <v>30</v>
      </c>
      <c r="F922" s="71">
        <v>179</v>
      </c>
      <c r="G922" s="71" t="s">
        <v>3079</v>
      </c>
      <c r="H922" s="71">
        <v>216</v>
      </c>
      <c r="I922" s="71" t="s">
        <v>3026</v>
      </c>
      <c r="J922" s="71">
        <v>1</v>
      </c>
      <c r="K922" s="71" t="s">
        <v>223</v>
      </c>
      <c r="L922" s="71" t="s">
        <v>3080</v>
      </c>
      <c r="M922" s="71" t="s">
        <v>1992</v>
      </c>
      <c r="N922" s="71">
        <v>6787738900</v>
      </c>
      <c r="Q922" s="71">
        <v>0</v>
      </c>
      <c r="R922" s="71" t="s">
        <v>3028</v>
      </c>
      <c r="S922" s="71" t="s">
        <v>3029</v>
      </c>
      <c r="T922" s="71" t="s">
        <v>3030</v>
      </c>
    </row>
    <row r="923" spans="1:20" x14ac:dyDescent="0.3">
      <c r="A923" s="72">
        <f>IFERROR(VLOOKUP($G923,Conf!$B:$C,2,0),E923)</f>
        <v>30</v>
      </c>
      <c r="B923" s="72" t="str">
        <f ca="1">IF(D923="Inativo","Inativo",VLOOKUP($S923,Conf!$K:$M,2,0))</f>
        <v>DEPOSITO</v>
      </c>
      <c r="C923" s="72" t="str">
        <f ca="1">IF(D923="Inativo","Inativo",IFERROR(VLOOKUP($G923,Conf!$F$19:$G$39,2,0),VLOOKUP($S923,Conf!$K:$M,3,0)))</f>
        <v>AUXILIAR</v>
      </c>
      <c r="D923" s="72" t="str">
        <f ca="1">IFERROR(IF(TODAY()-K923&gt;365,"Inativo",IF(J923=2,"Férias",IF(J923=7,"Demitido","Afastamento"))),VLOOKUP(J923,Conf!$H:$I,2,0))</f>
        <v>Afastamento</v>
      </c>
      <c r="E923" s="71">
        <v>30</v>
      </c>
      <c r="F923" s="71">
        <v>330</v>
      </c>
      <c r="G923" s="71" t="s">
        <v>3081</v>
      </c>
      <c r="H923" s="71">
        <v>86</v>
      </c>
      <c r="I923" s="71" t="s">
        <v>945</v>
      </c>
      <c r="J923" s="71">
        <v>3</v>
      </c>
      <c r="K923" s="71" t="s">
        <v>1180</v>
      </c>
      <c r="L923" s="71" t="s">
        <v>3082</v>
      </c>
      <c r="M923" s="71" t="s">
        <v>3083</v>
      </c>
      <c r="N923" s="71">
        <v>1392180929</v>
      </c>
      <c r="Q923" s="71">
        <v>0</v>
      </c>
      <c r="R923" s="71" t="s">
        <v>3020</v>
      </c>
      <c r="S923" s="71" t="s">
        <v>3021</v>
      </c>
      <c r="T923" s="71" t="s">
        <v>3022</v>
      </c>
    </row>
    <row r="924" spans="1:20" x14ac:dyDescent="0.3">
      <c r="A924" s="72">
        <f>IFERROR(VLOOKUP($G924,Conf!$B:$C,2,0),E924)</f>
        <v>30</v>
      </c>
      <c r="B924" s="72" t="str">
        <f ca="1">IF(D924="Inativo","Inativo",VLOOKUP($S924,Conf!$K:$M,2,0))</f>
        <v>DEPOSITO</v>
      </c>
      <c r="C924" s="72" t="str">
        <f ca="1">IF(D924="Inativo","Inativo",IFERROR(VLOOKUP($G924,Conf!$F$19:$G$39,2,0),VLOOKUP($S924,Conf!$K:$M,3,0)))</f>
        <v>AUXILIAR</v>
      </c>
      <c r="D924" s="72" t="str">
        <f ca="1">IFERROR(IF(TODAY()-K924&gt;365,"Inativo",IF(J924=2,"Férias",IF(J924=7,"Demitido","Afastamento"))),VLOOKUP(J924,Conf!$H:$I,2,0))</f>
        <v>Ativos</v>
      </c>
      <c r="E924" s="71">
        <v>30</v>
      </c>
      <c r="F924" s="71">
        <v>391</v>
      </c>
      <c r="G924" s="71" t="s">
        <v>3087</v>
      </c>
      <c r="H924" s="71">
        <v>86</v>
      </c>
      <c r="I924" s="71" t="s">
        <v>945</v>
      </c>
      <c r="J924" s="71">
        <v>1</v>
      </c>
      <c r="K924" s="71" t="s">
        <v>223</v>
      </c>
      <c r="L924" s="71" t="s">
        <v>3088</v>
      </c>
      <c r="M924" s="71" t="s">
        <v>655</v>
      </c>
      <c r="N924" s="71">
        <v>10659659905</v>
      </c>
      <c r="O924" s="71" t="s">
        <v>245</v>
      </c>
      <c r="P924" s="71" t="s">
        <v>246</v>
      </c>
      <c r="Q924" s="71">
        <v>0</v>
      </c>
      <c r="R924" s="71" t="s">
        <v>3020</v>
      </c>
      <c r="S924" s="71" t="s">
        <v>3021</v>
      </c>
      <c r="T924" s="71" t="s">
        <v>3022</v>
      </c>
    </row>
    <row r="925" spans="1:20" x14ac:dyDescent="0.3">
      <c r="A925" s="72">
        <f>IFERROR(VLOOKUP($G925,Conf!$B:$C,2,0),E925)</f>
        <v>30</v>
      </c>
      <c r="B925" s="72" t="str">
        <f ca="1">IF(D925="Inativo","Inativo",VLOOKUP($S925,Conf!$K:$M,2,0))</f>
        <v>DEPOSITO</v>
      </c>
      <c r="C925" s="72" t="str">
        <f ca="1">IF(D925="Inativo","Inativo",IFERROR(VLOOKUP($G925,Conf!$F$19:$G$39,2,0),VLOOKUP($S925,Conf!$K:$M,3,0)))</f>
        <v>AUXILIAR</v>
      </c>
      <c r="D925" s="72" t="str">
        <f ca="1">IFERROR(IF(TODAY()-K925&gt;365,"Inativo",IF(J925=2,"Férias",IF(J925=7,"Demitido","Afastamento"))),VLOOKUP(J925,Conf!$H:$I,2,0))</f>
        <v>Demitido</v>
      </c>
      <c r="E925" s="71">
        <v>30</v>
      </c>
      <c r="F925" s="71">
        <v>340</v>
      </c>
      <c r="G925" s="71" t="s">
        <v>3089</v>
      </c>
      <c r="H925" s="71">
        <v>92</v>
      </c>
      <c r="I925" s="71" t="s">
        <v>1553</v>
      </c>
      <c r="J925" s="71">
        <v>7</v>
      </c>
      <c r="K925" s="71" t="s">
        <v>1699</v>
      </c>
      <c r="L925" s="71" t="s">
        <v>3090</v>
      </c>
      <c r="M925" s="71" t="s">
        <v>3091</v>
      </c>
      <c r="N925" s="71">
        <v>9128568907</v>
      </c>
      <c r="Q925" s="71">
        <v>0</v>
      </c>
      <c r="R925" s="71" t="s">
        <v>3031</v>
      </c>
      <c r="S925" s="71" t="s">
        <v>3032</v>
      </c>
      <c r="T925" s="71" t="s">
        <v>3033</v>
      </c>
    </row>
    <row r="926" spans="1:20" x14ac:dyDescent="0.3">
      <c r="A926" s="72">
        <f>IFERROR(VLOOKUP($G926,Conf!$B:$C,2,0),E926)</f>
        <v>30</v>
      </c>
      <c r="B926" s="72" t="str">
        <f ca="1">IF(D926="Inativo","Inativo",VLOOKUP($S926,Conf!$K:$M,2,0))</f>
        <v>DEPOSITO</v>
      </c>
      <c r="C926" s="72" t="str">
        <f ca="1">IF(D926="Inativo","Inativo",IFERROR(VLOOKUP($G926,Conf!$F$19:$G$39,2,0),VLOOKUP($S926,Conf!$K:$M,3,0)))</f>
        <v>AUXILIAR</v>
      </c>
      <c r="D926" s="72" t="str">
        <f ca="1">IFERROR(IF(TODAY()-K926&gt;365,"Inativo",IF(J926=2,"Férias",IF(J926=7,"Demitido","Afastamento"))),VLOOKUP(J926,Conf!$H:$I,2,0))</f>
        <v>Ativos</v>
      </c>
      <c r="E926" s="71">
        <v>30</v>
      </c>
      <c r="F926" s="71">
        <v>196</v>
      </c>
      <c r="G926" s="71" t="s">
        <v>3092</v>
      </c>
      <c r="H926" s="71">
        <v>216</v>
      </c>
      <c r="I926" s="71" t="s">
        <v>3026</v>
      </c>
      <c r="J926" s="71">
        <v>1</v>
      </c>
      <c r="K926" s="71" t="s">
        <v>223</v>
      </c>
      <c r="L926" s="71" t="s">
        <v>3093</v>
      </c>
      <c r="M926" s="71" t="s">
        <v>471</v>
      </c>
      <c r="N926" s="71">
        <v>13593346966</v>
      </c>
      <c r="O926" s="71" t="s">
        <v>245</v>
      </c>
      <c r="P926" s="71" t="s">
        <v>246</v>
      </c>
      <c r="Q926" s="71">
        <v>0</v>
      </c>
      <c r="R926" s="71" t="s">
        <v>3028</v>
      </c>
      <c r="S926" s="71" t="s">
        <v>3029</v>
      </c>
      <c r="T926" s="71" t="s">
        <v>3030</v>
      </c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DEPOSITO</v>
      </c>
      <c r="C927" s="72" t="str">
        <f ca="1">IF(D927="Inativo","Inativo",IFERROR(VLOOKUP($G927,Conf!$F$19:$G$39,2,0),VLOOKUP($S927,Conf!$K:$M,3,0)))</f>
        <v>AUXILIAR</v>
      </c>
      <c r="D927" s="72" t="str">
        <f ca="1">IFERROR(IF(TODAY()-K927&gt;365,"Inativo",IF(J927=2,"Férias",IF(J927=7,"Demitido","Afastamento"))),VLOOKUP(J927,Conf!$H:$I,2,0))</f>
        <v>Demitido</v>
      </c>
      <c r="E927" s="71">
        <v>30</v>
      </c>
      <c r="F927" s="71">
        <v>396</v>
      </c>
      <c r="G927" s="71" t="s">
        <v>3094</v>
      </c>
      <c r="H927" s="71">
        <v>316</v>
      </c>
      <c r="I927" s="71" t="s">
        <v>945</v>
      </c>
      <c r="J927" s="71">
        <v>7</v>
      </c>
      <c r="K927" s="71" t="s">
        <v>460</v>
      </c>
      <c r="L927" s="71" t="s">
        <v>3095</v>
      </c>
      <c r="M927" s="71" t="s">
        <v>301</v>
      </c>
      <c r="N927" s="71">
        <v>48245712949</v>
      </c>
      <c r="O927" s="71" t="s">
        <v>245</v>
      </c>
      <c r="P927" s="71" t="s">
        <v>246</v>
      </c>
      <c r="Q927" s="71">
        <v>0</v>
      </c>
      <c r="R927" s="71" t="s">
        <v>3020</v>
      </c>
      <c r="S927" s="71" t="s">
        <v>3021</v>
      </c>
      <c r="T927" s="71" t="s">
        <v>3022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DEPOSITO</v>
      </c>
      <c r="C928" s="72" t="str">
        <f ca="1">IF(D928="Inativo","Inativo",IFERROR(VLOOKUP($G928,Conf!$F$19:$G$39,2,0),VLOOKUP($S928,Conf!$K:$M,3,0)))</f>
        <v>AUXILIAR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386</v>
      </c>
      <c r="G928" s="71" t="s">
        <v>3096</v>
      </c>
      <c r="H928" s="71">
        <v>92</v>
      </c>
      <c r="I928" s="71" t="s">
        <v>1553</v>
      </c>
      <c r="J928" s="71">
        <v>1</v>
      </c>
      <c r="K928" s="71" t="s">
        <v>223</v>
      </c>
      <c r="L928" s="71" t="s">
        <v>3097</v>
      </c>
      <c r="M928" s="71" t="s">
        <v>811</v>
      </c>
      <c r="N928" s="71">
        <v>11762242982</v>
      </c>
      <c r="O928" s="71" t="s">
        <v>245</v>
      </c>
      <c r="P928" s="71" t="s">
        <v>246</v>
      </c>
      <c r="Q928" s="71">
        <v>0</v>
      </c>
      <c r="R928" s="71" t="s">
        <v>3020</v>
      </c>
      <c r="S928" s="71" t="s">
        <v>3021</v>
      </c>
      <c r="T928" s="71" t="s">
        <v>3022</v>
      </c>
    </row>
    <row r="929" spans="1:20" x14ac:dyDescent="0.3">
      <c r="A929" s="72">
        <f>IFERROR(VLOOKUP($G929,Conf!$B:$C,2,0),E929)</f>
        <v>30</v>
      </c>
      <c r="B929" s="72" t="str">
        <f ca="1">IF(D929="Inativo","Inativo",VLOOKUP($S929,Conf!$K:$M,2,0))</f>
        <v>DEPOSITO</v>
      </c>
      <c r="C929" s="72" t="str">
        <f ca="1">IF(D929="Inativo","Inativo",IFERROR(VLOOKUP($G929,Conf!$F$19:$G$39,2,0),VLOOKUP($S929,Conf!$K:$M,3,0)))</f>
        <v>AUXILIAR</v>
      </c>
      <c r="D929" s="72" t="str">
        <f ca="1">IFERROR(IF(TODAY()-K929&gt;365,"Inativo",IF(J929=2,"Férias",IF(J929=7,"Demitido","Afastamento"))),VLOOKUP(J929,Conf!$H:$I,2,0))</f>
        <v>Ativos</v>
      </c>
      <c r="E929" s="71">
        <v>30</v>
      </c>
      <c r="F929" s="71">
        <v>378</v>
      </c>
      <c r="G929" s="71" t="s">
        <v>3098</v>
      </c>
      <c r="H929" s="71">
        <v>208</v>
      </c>
      <c r="I929" s="71" t="s">
        <v>293</v>
      </c>
      <c r="J929" s="71">
        <v>1</v>
      </c>
      <c r="K929" s="71" t="s">
        <v>223</v>
      </c>
      <c r="L929" s="71" t="s">
        <v>3099</v>
      </c>
      <c r="M929" s="71" t="s">
        <v>483</v>
      </c>
      <c r="N929" s="71">
        <v>9777910924</v>
      </c>
      <c r="O929" s="71" t="s">
        <v>245</v>
      </c>
      <c r="P929" s="71" t="s">
        <v>246</v>
      </c>
      <c r="Q929" s="71">
        <v>0</v>
      </c>
      <c r="R929" s="71" t="s">
        <v>3031</v>
      </c>
      <c r="S929" s="71" t="s">
        <v>3032</v>
      </c>
      <c r="T929" s="71" t="s">
        <v>3033</v>
      </c>
    </row>
    <row r="930" spans="1:20" x14ac:dyDescent="0.3">
      <c r="A930" s="72">
        <f>IFERROR(VLOOKUP($G930,Conf!$B:$C,2,0),E930)</f>
        <v>30</v>
      </c>
      <c r="B930" s="72" t="str">
        <f ca="1">IF(D930="Inativo","Inativo",VLOOKUP($S930,Conf!$K:$M,2,0))</f>
        <v>DEPOSITO</v>
      </c>
      <c r="C930" s="72" t="str">
        <f ca="1">IF(D930="Inativo","Inativo",IFERROR(VLOOKUP($G930,Conf!$F$19:$G$39,2,0),VLOOKUP($S930,Conf!$K:$M,3,0)))</f>
        <v>AUXILIAR</v>
      </c>
      <c r="D930" s="72" t="str">
        <f ca="1">IFERROR(IF(TODAY()-K930&gt;365,"Inativo",IF(J930=2,"Férias",IF(J930=7,"Demitido","Afastamento"))),VLOOKUP(J930,Conf!$H:$I,2,0))</f>
        <v>Demitido</v>
      </c>
      <c r="E930" s="71">
        <v>30</v>
      </c>
      <c r="F930" s="71">
        <v>367</v>
      </c>
      <c r="G930" s="71" t="s">
        <v>3100</v>
      </c>
      <c r="H930" s="71">
        <v>92</v>
      </c>
      <c r="I930" s="71" t="s">
        <v>1553</v>
      </c>
      <c r="J930" s="71">
        <v>7</v>
      </c>
      <c r="K930" s="71" t="s">
        <v>688</v>
      </c>
      <c r="L930" s="71" t="s">
        <v>3101</v>
      </c>
      <c r="M930" s="71" t="s">
        <v>1180</v>
      </c>
      <c r="N930" s="71">
        <v>7580443996</v>
      </c>
      <c r="Q930" s="71">
        <v>0</v>
      </c>
      <c r="R930" s="71" t="s">
        <v>3031</v>
      </c>
      <c r="S930" s="71" t="s">
        <v>3032</v>
      </c>
      <c r="T930" s="71" t="s">
        <v>3033</v>
      </c>
    </row>
    <row r="931" spans="1:20" x14ac:dyDescent="0.3">
      <c r="A931" s="72">
        <f>IFERROR(VLOOKUP($G931,Conf!$B:$C,2,0),E931)</f>
        <v>30</v>
      </c>
      <c r="B931" s="72" t="str">
        <f ca="1">IF(D931="Inativo","Inativo",VLOOKUP($S931,Conf!$K:$M,2,0))</f>
        <v>DEPOSITO</v>
      </c>
      <c r="C931" s="72" t="str">
        <f ca="1">IF(D931="Inativo","Inativo",IFERROR(VLOOKUP($G931,Conf!$F$19:$G$39,2,0),VLOOKUP($S931,Conf!$K:$M,3,0)))</f>
        <v>AUXILIAR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129</v>
      </c>
      <c r="G931" s="71" t="s">
        <v>3102</v>
      </c>
      <c r="H931" s="71">
        <v>216</v>
      </c>
      <c r="I931" s="71" t="s">
        <v>3026</v>
      </c>
      <c r="J931" s="71">
        <v>1</v>
      </c>
      <c r="K931" s="71" t="s">
        <v>223</v>
      </c>
      <c r="L931" s="71" t="s">
        <v>3103</v>
      </c>
      <c r="M931" s="71" t="s">
        <v>3104</v>
      </c>
      <c r="N931" s="71">
        <v>10550357963</v>
      </c>
      <c r="Q931" s="71">
        <v>0</v>
      </c>
      <c r="R931" s="71" t="s">
        <v>3028</v>
      </c>
      <c r="S931" s="71" t="s">
        <v>3029</v>
      </c>
      <c r="T931" s="71" t="s">
        <v>3030</v>
      </c>
    </row>
    <row r="932" spans="1:20" x14ac:dyDescent="0.3">
      <c r="A932" s="72">
        <f>IFERROR(VLOOKUP($G932,Conf!$B:$C,2,0),E932)</f>
        <v>30</v>
      </c>
      <c r="B932" s="72" t="str">
        <f ca="1">IF(D932="Inativo","Inativo",VLOOKUP($S932,Conf!$K:$M,2,0))</f>
        <v>DEPOSITO</v>
      </c>
      <c r="C932" s="72" t="str">
        <f ca="1">IF(D932="Inativo","Inativo",IFERROR(VLOOKUP($G932,Conf!$F$19:$G$39,2,0),VLOOKUP($S932,Conf!$K:$M,3,0)))</f>
        <v>AUXILIAR</v>
      </c>
      <c r="D932" s="72" t="str">
        <f ca="1">IFERROR(IF(TODAY()-K932&gt;365,"Inativo",IF(J932=2,"Férias",IF(J932=7,"Demitido","Afastamento"))),VLOOKUP(J932,Conf!$H:$I,2,0))</f>
        <v>Férias</v>
      </c>
      <c r="E932" s="71">
        <v>30</v>
      </c>
      <c r="F932" s="71">
        <v>305</v>
      </c>
      <c r="G932" s="71" t="s">
        <v>3105</v>
      </c>
      <c r="H932" s="71">
        <v>204</v>
      </c>
      <c r="I932" s="71" t="s">
        <v>1563</v>
      </c>
      <c r="J932" s="71">
        <v>2</v>
      </c>
      <c r="K932" s="71" t="s">
        <v>471</v>
      </c>
      <c r="L932" s="71" t="s">
        <v>3106</v>
      </c>
      <c r="M932" s="71" t="s">
        <v>922</v>
      </c>
      <c r="N932" s="71">
        <v>6934685997</v>
      </c>
      <c r="Q932" s="71">
        <v>0</v>
      </c>
      <c r="R932" s="71" t="s">
        <v>3048</v>
      </c>
      <c r="S932" s="71" t="s">
        <v>3049</v>
      </c>
      <c r="T932" s="71" t="s">
        <v>3050</v>
      </c>
    </row>
    <row r="933" spans="1:20" x14ac:dyDescent="0.3">
      <c r="A933" s="72">
        <f>IFERROR(VLOOKUP($G933,Conf!$B:$C,2,0),E933)</f>
        <v>30</v>
      </c>
      <c r="B933" s="72" t="str">
        <f ca="1">IF(D933="Inativo","Inativo",VLOOKUP($S933,Conf!$K:$M,2,0))</f>
        <v>DEPOSITO</v>
      </c>
      <c r="C933" s="72" t="str">
        <f ca="1">IF(D933="Inativo","Inativo",IFERROR(VLOOKUP($G933,Conf!$F$19:$G$39,2,0),VLOOKUP($S933,Conf!$K:$M,3,0)))</f>
        <v>AUXILIAR</v>
      </c>
      <c r="D933" s="72" t="str">
        <f ca="1">IFERROR(IF(TODAY()-K933&gt;365,"Inativo",IF(J933=2,"Férias",IF(J933=7,"Demitido","Afastamento"))),VLOOKUP(J933,Conf!$H:$I,2,0))</f>
        <v>Ativos</v>
      </c>
      <c r="E933" s="71">
        <v>30</v>
      </c>
      <c r="F933" s="71">
        <v>184</v>
      </c>
      <c r="G933" s="71" t="s">
        <v>3107</v>
      </c>
      <c r="H933" s="71">
        <v>216</v>
      </c>
      <c r="I933" s="71" t="s">
        <v>3026</v>
      </c>
      <c r="J933" s="71">
        <v>1</v>
      </c>
      <c r="K933" s="71" t="s">
        <v>223</v>
      </c>
      <c r="L933" s="71" t="s">
        <v>3108</v>
      </c>
      <c r="M933" s="71" t="s">
        <v>1573</v>
      </c>
      <c r="N933" s="71">
        <v>10075463954</v>
      </c>
      <c r="Q933" s="71">
        <v>0</v>
      </c>
      <c r="R933" s="71" t="s">
        <v>3028</v>
      </c>
      <c r="S933" s="71" t="s">
        <v>3029</v>
      </c>
      <c r="T933" s="71" t="s">
        <v>3030</v>
      </c>
    </row>
    <row r="934" spans="1:20" x14ac:dyDescent="0.3">
      <c r="A934" s="72">
        <f>IFERROR(VLOOKUP($G934,Conf!$B:$C,2,0),E934)</f>
        <v>30</v>
      </c>
      <c r="B934" s="72" t="str">
        <f ca="1">IF(D934="Inativo","Inativo",VLOOKUP($S934,Conf!$K:$M,2,0))</f>
        <v>DEPOSITO</v>
      </c>
      <c r="C934" s="72" t="str">
        <f ca="1">IF(D934="Inativo","Inativo",IFERROR(VLOOKUP($G934,Conf!$F$19:$G$39,2,0),VLOOKUP($S934,Conf!$K:$M,3,0)))</f>
        <v>AUXILIAR</v>
      </c>
      <c r="D934" s="72" t="str">
        <f ca="1">IFERROR(IF(TODAY()-K934&gt;365,"Inativo",IF(J934=2,"Férias",IF(J934=7,"Demitido","Afastamento"))),VLOOKUP(J934,Conf!$H:$I,2,0))</f>
        <v>Ativos</v>
      </c>
      <c r="E934" s="71">
        <v>30</v>
      </c>
      <c r="F934" s="71">
        <v>377</v>
      </c>
      <c r="G934" s="71" t="s">
        <v>3109</v>
      </c>
      <c r="H934" s="71">
        <v>92</v>
      </c>
      <c r="I934" s="71" t="s">
        <v>1553</v>
      </c>
      <c r="J934" s="71">
        <v>1</v>
      </c>
      <c r="K934" s="71" t="s">
        <v>223</v>
      </c>
      <c r="L934" s="71" t="s">
        <v>3110</v>
      </c>
      <c r="M934" s="71" t="s">
        <v>1414</v>
      </c>
      <c r="N934" s="71">
        <v>2687148946</v>
      </c>
      <c r="O934" s="71" t="s">
        <v>245</v>
      </c>
      <c r="P934" s="71" t="s">
        <v>246</v>
      </c>
      <c r="Q934" s="71">
        <v>0</v>
      </c>
      <c r="R934" s="71" t="s">
        <v>3020</v>
      </c>
      <c r="S934" s="71" t="s">
        <v>3021</v>
      </c>
      <c r="T934" s="71" t="s">
        <v>3022</v>
      </c>
    </row>
    <row r="935" spans="1:20" x14ac:dyDescent="0.3">
      <c r="A935" s="72">
        <f>IFERROR(VLOOKUP($G935,Conf!$B:$C,2,0),E935)</f>
        <v>30</v>
      </c>
      <c r="B935" s="72" t="str">
        <f ca="1">IF(D935="Inativo","Inativo",VLOOKUP($S935,Conf!$K:$M,2,0))</f>
        <v>DEPOSITO</v>
      </c>
      <c r="C935" s="72" t="str">
        <f ca="1">IF(D935="Inativo","Inativo",IFERROR(VLOOKUP($G935,Conf!$F$19:$G$39,2,0),VLOOKUP($S935,Conf!$K:$M,3,0)))</f>
        <v>AUXILIAR</v>
      </c>
      <c r="D935" s="72" t="str">
        <f ca="1">IFERROR(IF(TODAY()-K935&gt;365,"Inativo",IF(J935=2,"Férias",IF(J935=7,"Demitido","Afastamento"))),VLOOKUP(J935,Conf!$H:$I,2,0))</f>
        <v>Ativos</v>
      </c>
      <c r="E935" s="71">
        <v>30</v>
      </c>
      <c r="F935" s="71">
        <v>190</v>
      </c>
      <c r="G935" s="71" t="s">
        <v>3111</v>
      </c>
      <c r="H935" s="71">
        <v>216</v>
      </c>
      <c r="I935" s="71" t="s">
        <v>3026</v>
      </c>
      <c r="J935" s="71">
        <v>1</v>
      </c>
      <c r="K935" s="71" t="s">
        <v>223</v>
      </c>
      <c r="L935" s="71" t="s">
        <v>3112</v>
      </c>
      <c r="M935" s="71" t="s">
        <v>623</v>
      </c>
      <c r="N935" s="71">
        <v>10151050929</v>
      </c>
      <c r="O935" s="71" t="s">
        <v>245</v>
      </c>
      <c r="P935" s="71" t="s">
        <v>246</v>
      </c>
      <c r="Q935" s="71">
        <v>0</v>
      </c>
      <c r="R935" s="71" t="s">
        <v>3028</v>
      </c>
      <c r="S935" s="71" t="s">
        <v>3029</v>
      </c>
      <c r="T935" s="71" t="s">
        <v>3030</v>
      </c>
    </row>
    <row r="936" spans="1:20" x14ac:dyDescent="0.3">
      <c r="A936" s="72">
        <f>IFERROR(VLOOKUP($G936,Conf!$B:$C,2,0),E936)</f>
        <v>30</v>
      </c>
      <c r="B936" s="72" t="str">
        <f ca="1">IF(D936="Inativo","Inativo",VLOOKUP($S936,Conf!$K:$M,2,0))</f>
        <v>DEPOSITO</v>
      </c>
      <c r="C936" s="72" t="str">
        <f ca="1">IF(D936="Inativo","Inativo",IFERROR(VLOOKUP($G936,Conf!$F$19:$G$39,2,0),VLOOKUP($S936,Conf!$K:$M,3,0)))</f>
        <v>AUXILIAR</v>
      </c>
      <c r="D936" s="72" t="str">
        <f ca="1">IFERROR(IF(TODAY()-K936&gt;365,"Inativo",IF(J936=2,"Férias",IF(J936=7,"Demitido","Afastamento"))),VLOOKUP(J936,Conf!$H:$I,2,0))</f>
        <v>Ativos</v>
      </c>
      <c r="E936" s="71">
        <v>30</v>
      </c>
      <c r="F936" s="71">
        <v>192</v>
      </c>
      <c r="G936" s="71" t="s">
        <v>3113</v>
      </c>
      <c r="H936" s="71">
        <v>216</v>
      </c>
      <c r="I936" s="71" t="s">
        <v>3026</v>
      </c>
      <c r="J936" s="71">
        <v>1</v>
      </c>
      <c r="K936" s="71" t="s">
        <v>223</v>
      </c>
      <c r="L936" s="71" t="s">
        <v>3114</v>
      </c>
      <c r="M936" s="71" t="s">
        <v>3115</v>
      </c>
      <c r="N936" s="71">
        <v>13302121938</v>
      </c>
      <c r="O936" s="71" t="s">
        <v>245</v>
      </c>
      <c r="P936" s="71" t="s">
        <v>246</v>
      </c>
      <c r="Q936" s="71">
        <v>0</v>
      </c>
      <c r="R936" s="71" t="s">
        <v>3028</v>
      </c>
      <c r="S936" s="71" t="s">
        <v>3029</v>
      </c>
      <c r="T936" s="71" t="s">
        <v>3030</v>
      </c>
    </row>
    <row r="937" spans="1:20" x14ac:dyDescent="0.3">
      <c r="A937" s="72">
        <f>IFERROR(VLOOKUP($G937,Conf!$B:$C,2,0),E937)</f>
        <v>30</v>
      </c>
      <c r="B937" s="72" t="str">
        <f ca="1">IF(D937="Inativo","Inativo",VLOOKUP($S937,Conf!$K:$M,2,0))</f>
        <v>DEPOSITO</v>
      </c>
      <c r="C937" s="72" t="str">
        <f ca="1">IF(D937="Inativo","Inativo",IFERROR(VLOOKUP($G937,Conf!$F$19:$G$39,2,0),VLOOKUP($S937,Conf!$K:$M,3,0)))</f>
        <v>AUXILIAR</v>
      </c>
      <c r="D937" s="72" t="str">
        <f ca="1">IFERROR(IF(TODAY()-K937&gt;365,"Inativo",IF(J937=2,"Férias",IF(J937=7,"Demitido","Afastamento"))),VLOOKUP(J937,Conf!$H:$I,2,0))</f>
        <v>Férias</v>
      </c>
      <c r="E937" s="71">
        <v>30</v>
      </c>
      <c r="F937" s="71">
        <v>169</v>
      </c>
      <c r="G937" s="71" t="s">
        <v>3116</v>
      </c>
      <c r="H937" s="71">
        <v>216</v>
      </c>
      <c r="I937" s="71" t="s">
        <v>3026</v>
      </c>
      <c r="J937" s="71">
        <v>2</v>
      </c>
      <c r="K937" s="71" t="s">
        <v>231</v>
      </c>
      <c r="L937" s="71" t="s">
        <v>3117</v>
      </c>
      <c r="M937" s="71" t="s">
        <v>3118</v>
      </c>
      <c r="N937" s="71">
        <v>97953288915</v>
      </c>
      <c r="Q937" s="71">
        <v>0</v>
      </c>
      <c r="R937" s="71" t="s">
        <v>3028</v>
      </c>
      <c r="S937" s="71" t="s">
        <v>3029</v>
      </c>
      <c r="T937" s="71" t="s">
        <v>3030</v>
      </c>
    </row>
    <row r="938" spans="1:20" x14ac:dyDescent="0.3">
      <c r="A938" s="72">
        <f>IFERROR(VLOOKUP($G938,Conf!$B:$C,2,0),E938)</f>
        <v>30</v>
      </c>
      <c r="B938" s="72" t="str">
        <f ca="1">IF(D938="Inativo","Inativo",VLOOKUP($S938,Conf!$K:$M,2,0))</f>
        <v>DEPOSITO</v>
      </c>
      <c r="C938" s="72" t="str">
        <f ca="1">IF(D938="Inativo","Inativo",IFERROR(VLOOKUP($G938,Conf!$F$19:$G$39,2,0),VLOOKUP($S938,Conf!$K:$M,3,0)))</f>
        <v>AUXILIAR</v>
      </c>
      <c r="D938" s="72" t="str">
        <f ca="1">IFERROR(IF(TODAY()-K938&gt;365,"Inativo",IF(J938=2,"Férias",IF(J938=7,"Demitido","Afastamento"))),VLOOKUP(J938,Conf!$H:$I,2,0))</f>
        <v>Ativos</v>
      </c>
      <c r="E938" s="71">
        <v>30</v>
      </c>
      <c r="F938" s="71">
        <v>397</v>
      </c>
      <c r="G938" s="71" t="s">
        <v>3119</v>
      </c>
      <c r="H938" s="71">
        <v>86</v>
      </c>
      <c r="I938" s="71" t="s">
        <v>945</v>
      </c>
      <c r="J938" s="71">
        <v>1</v>
      </c>
      <c r="K938" s="71" t="s">
        <v>223</v>
      </c>
      <c r="L938" s="71" t="s">
        <v>3120</v>
      </c>
      <c r="M938" s="71" t="s">
        <v>301</v>
      </c>
      <c r="N938" s="71">
        <v>15775779908</v>
      </c>
      <c r="O938" s="71" t="s">
        <v>245</v>
      </c>
      <c r="P938" s="71" t="s">
        <v>246</v>
      </c>
      <c r="Q938" s="71">
        <v>0</v>
      </c>
      <c r="R938" s="71" t="s">
        <v>3020</v>
      </c>
      <c r="S938" s="71" t="s">
        <v>3021</v>
      </c>
      <c r="T938" s="71" t="s">
        <v>3022</v>
      </c>
    </row>
    <row r="939" spans="1:20" x14ac:dyDescent="0.3">
      <c r="A939" s="72">
        <f>IFERROR(VLOOKUP($G939,Conf!$B:$C,2,0),E939)</f>
        <v>30</v>
      </c>
      <c r="B939" s="72" t="str">
        <f ca="1">IF(D939="Inativo","Inativo",VLOOKUP($S939,Conf!$K:$M,2,0))</f>
        <v>DEPOSITO</v>
      </c>
      <c r="C939" s="72" t="str">
        <f ca="1">IF(D939="Inativo","Inativo",IFERROR(VLOOKUP($G939,Conf!$F$19:$G$39,2,0),VLOOKUP($S939,Conf!$K:$M,3,0)))</f>
        <v>AUXILIAR</v>
      </c>
      <c r="D939" s="72" t="str">
        <f ca="1">IFERROR(IF(TODAY()-K939&gt;365,"Inativo",IF(J939=2,"Férias",IF(J939=7,"Demitido","Afastamento"))),VLOOKUP(J939,Conf!$H:$I,2,0))</f>
        <v>Demitido</v>
      </c>
      <c r="E939" s="71">
        <v>30</v>
      </c>
      <c r="F939" s="71">
        <v>307</v>
      </c>
      <c r="G939" s="71" t="s">
        <v>3121</v>
      </c>
      <c r="H939" s="71">
        <v>86</v>
      </c>
      <c r="I939" s="71" t="s">
        <v>945</v>
      </c>
      <c r="J939" s="71">
        <v>7</v>
      </c>
      <c r="K939" s="71" t="s">
        <v>2364</v>
      </c>
      <c r="L939" s="71" t="s">
        <v>3122</v>
      </c>
      <c r="M939" s="71" t="s">
        <v>3123</v>
      </c>
      <c r="N939" s="71">
        <v>6836829544</v>
      </c>
      <c r="Q939" s="71">
        <v>0</v>
      </c>
      <c r="R939" s="71" t="s">
        <v>3048</v>
      </c>
      <c r="S939" s="71" t="s">
        <v>3049</v>
      </c>
      <c r="T939" s="71" t="s">
        <v>3050</v>
      </c>
    </row>
    <row r="940" spans="1:20" x14ac:dyDescent="0.3">
      <c r="A940" s="72">
        <f>IFERROR(VLOOKUP($G940,Conf!$B:$C,2,0),E940)</f>
        <v>30</v>
      </c>
      <c r="B940" s="72" t="str">
        <f ca="1">IF(D940="Inativo","Inativo",VLOOKUP($S940,Conf!$K:$M,2,0))</f>
        <v>DEPOSITO</v>
      </c>
      <c r="C940" s="72" t="str">
        <f ca="1">IF(D940="Inativo","Inativo",IFERROR(VLOOKUP($G940,Conf!$F$19:$G$39,2,0),VLOOKUP($S940,Conf!$K:$M,3,0)))</f>
        <v>AUXILIAR</v>
      </c>
      <c r="D940" s="72" t="str">
        <f ca="1">IFERROR(IF(TODAY()-K940&gt;365,"Inativo",IF(J940=2,"Férias",IF(J940=7,"Demitido","Afastamento"))),VLOOKUP(J940,Conf!$H:$I,2,0))</f>
        <v>Ativos</v>
      </c>
      <c r="E940" s="71">
        <v>30</v>
      </c>
      <c r="F940" s="71">
        <v>5</v>
      </c>
      <c r="G940" s="71" t="s">
        <v>3124</v>
      </c>
      <c r="H940" s="71">
        <v>217</v>
      </c>
      <c r="I940" s="71" t="s">
        <v>3125</v>
      </c>
      <c r="J940" s="71">
        <v>1</v>
      </c>
      <c r="K940" s="71" t="s">
        <v>223</v>
      </c>
      <c r="L940" s="71" t="s">
        <v>3126</v>
      </c>
      <c r="M940" s="71" t="s">
        <v>3127</v>
      </c>
      <c r="N940" s="71">
        <v>6688506980</v>
      </c>
      <c r="Q940" s="71">
        <v>0</v>
      </c>
      <c r="R940" s="71" t="s">
        <v>3028</v>
      </c>
      <c r="S940" s="71" t="s">
        <v>3029</v>
      </c>
      <c r="T940" s="71" t="s">
        <v>3030</v>
      </c>
    </row>
    <row r="941" spans="1:20" x14ac:dyDescent="0.3">
      <c r="A941" s="72">
        <f>IFERROR(VLOOKUP($G941,Conf!$B:$C,2,0),E941)</f>
        <v>30</v>
      </c>
      <c r="B941" s="72" t="str">
        <f ca="1">IF(D941="Inativo","Inativo",VLOOKUP($S941,Conf!$K:$M,2,0))</f>
        <v>DEPOSITO</v>
      </c>
      <c r="C941" s="72" t="str">
        <f ca="1">IF(D941="Inativo","Inativo",IFERROR(VLOOKUP($G941,Conf!$F$19:$G$39,2,0),VLOOKUP($S941,Conf!$K:$M,3,0)))</f>
        <v>AUXILIAR</v>
      </c>
      <c r="D941" s="72" t="str">
        <f ca="1">IFERROR(IF(TODAY()-K941&gt;365,"Inativo",IF(J941=2,"Férias",IF(J941=7,"Demitido","Afastamento"))),VLOOKUP(J941,Conf!$H:$I,2,0))</f>
        <v>Ativos</v>
      </c>
      <c r="E941" s="71">
        <v>30</v>
      </c>
      <c r="F941" s="71">
        <v>387</v>
      </c>
      <c r="G941" s="71" t="s">
        <v>3128</v>
      </c>
      <c r="H941" s="71">
        <v>9</v>
      </c>
      <c r="I941" s="71" t="s">
        <v>945</v>
      </c>
      <c r="J941" s="71">
        <v>1</v>
      </c>
      <c r="K941" s="71" t="s">
        <v>223</v>
      </c>
      <c r="L941" s="71" t="s">
        <v>3129</v>
      </c>
      <c r="M941" s="71" t="s">
        <v>2532</v>
      </c>
      <c r="N941" s="71">
        <v>3479821901</v>
      </c>
      <c r="O941" s="71" t="s">
        <v>245</v>
      </c>
      <c r="P941" s="71" t="s">
        <v>246</v>
      </c>
      <c r="Q941" s="71">
        <v>0</v>
      </c>
      <c r="R941" s="71" t="s">
        <v>3020</v>
      </c>
      <c r="S941" s="71" t="s">
        <v>3021</v>
      </c>
      <c r="T941" s="71" t="s">
        <v>3022</v>
      </c>
    </row>
    <row r="942" spans="1:20" x14ac:dyDescent="0.3">
      <c r="A942" s="72">
        <f>IFERROR(VLOOKUP($G942,Conf!$B:$C,2,0),E942)</f>
        <v>30</v>
      </c>
      <c r="B942" s="72" t="str">
        <f ca="1">IF(D942="Inativo","Inativo",VLOOKUP($S942,Conf!$K:$M,2,0))</f>
        <v>DEPOSITO</v>
      </c>
      <c r="C942" s="72" t="str">
        <f ca="1">IF(D942="Inativo","Inativo",IFERROR(VLOOKUP($G942,Conf!$F$19:$G$39,2,0),VLOOKUP($S942,Conf!$K:$M,3,0)))</f>
        <v>AUXILIAR</v>
      </c>
      <c r="D942" s="72" t="str">
        <f ca="1">IFERROR(IF(TODAY()-K942&gt;365,"Inativo",IF(J942=2,"Férias",IF(J942=7,"Demitido","Afastamento"))),VLOOKUP(J942,Conf!$H:$I,2,0))</f>
        <v>Ativos</v>
      </c>
      <c r="E942" s="71">
        <v>30</v>
      </c>
      <c r="F942" s="71">
        <v>339</v>
      </c>
      <c r="G942" s="71" t="s">
        <v>3130</v>
      </c>
      <c r="H942" s="71">
        <v>86</v>
      </c>
      <c r="I942" s="71" t="s">
        <v>945</v>
      </c>
      <c r="J942" s="71">
        <v>1</v>
      </c>
      <c r="K942" s="71" t="s">
        <v>223</v>
      </c>
      <c r="L942" s="71" t="s">
        <v>3131</v>
      </c>
      <c r="M942" s="71" t="s">
        <v>2452</v>
      </c>
      <c r="N942" s="71">
        <v>674604962</v>
      </c>
      <c r="Q942" s="71">
        <v>0</v>
      </c>
      <c r="R942" s="71" t="s">
        <v>3031</v>
      </c>
      <c r="S942" s="71" t="s">
        <v>3032</v>
      </c>
      <c r="T942" s="71" t="s">
        <v>3033</v>
      </c>
    </row>
    <row r="943" spans="1:20" x14ac:dyDescent="0.3">
      <c r="A943" s="72">
        <f>IFERROR(VLOOKUP($G943,Conf!$B:$C,2,0),E943)</f>
        <v>30</v>
      </c>
      <c r="B943" s="72" t="str">
        <f ca="1">IF(D943="Inativo","Inativo",VLOOKUP($S943,Conf!$K:$M,2,0))</f>
        <v>DEPOSITO</v>
      </c>
      <c r="C943" s="72" t="str">
        <f ca="1">IF(D943="Inativo","Inativo",IFERROR(VLOOKUP($G943,Conf!$F$19:$G$39,2,0),VLOOKUP($S943,Conf!$K:$M,3,0)))</f>
        <v>AUXILIAR</v>
      </c>
      <c r="D943" s="72" t="str">
        <f ca="1">IFERROR(IF(TODAY()-K943&gt;365,"Inativo",IF(J943=2,"Férias",IF(J943=7,"Demitido","Afastamento"))),VLOOKUP(J943,Conf!$H:$I,2,0))</f>
        <v>Ativos</v>
      </c>
      <c r="E943" s="71">
        <v>30</v>
      </c>
      <c r="F943" s="71">
        <v>178</v>
      </c>
      <c r="G943" s="71" t="s">
        <v>3132</v>
      </c>
      <c r="H943" s="71">
        <v>216</v>
      </c>
      <c r="I943" s="71" t="s">
        <v>3026</v>
      </c>
      <c r="J943" s="71">
        <v>1</v>
      </c>
      <c r="K943" s="71" t="s">
        <v>223</v>
      </c>
      <c r="L943" s="71" t="s">
        <v>3133</v>
      </c>
      <c r="M943" s="71" t="s">
        <v>1992</v>
      </c>
      <c r="N943" s="71">
        <v>7454768997</v>
      </c>
      <c r="Q943" s="71">
        <v>0</v>
      </c>
      <c r="R943" s="71" t="s">
        <v>3028</v>
      </c>
      <c r="S943" s="71" t="s">
        <v>3029</v>
      </c>
      <c r="T943" s="71" t="s">
        <v>3030</v>
      </c>
    </row>
    <row r="944" spans="1:20" x14ac:dyDescent="0.3">
      <c r="A944" s="72">
        <f>IFERROR(VLOOKUP($G944,Conf!$B:$C,2,0),E944)</f>
        <v>30</v>
      </c>
      <c r="B944" s="72" t="str">
        <f ca="1">IF(D944="Inativo","Inativo",VLOOKUP($S944,Conf!$K:$M,2,0))</f>
        <v>DEPOSITO</v>
      </c>
      <c r="C944" s="72" t="str">
        <f ca="1">IF(D944="Inativo","Inativo",IFERROR(VLOOKUP($G944,Conf!$F$19:$G$39,2,0),VLOOKUP($S944,Conf!$K:$M,3,0)))</f>
        <v>AUXILIAR</v>
      </c>
      <c r="D944" s="72" t="str">
        <f ca="1">IFERROR(IF(TODAY()-K944&gt;365,"Inativo",IF(J944=2,"Férias",IF(J944=7,"Demitido","Afastamento"))),VLOOKUP(J944,Conf!$H:$I,2,0))</f>
        <v>Ativos</v>
      </c>
      <c r="E944" s="71">
        <v>30</v>
      </c>
      <c r="F944" s="71">
        <v>385</v>
      </c>
      <c r="G944" s="71" t="s">
        <v>3134</v>
      </c>
      <c r="H944" s="71">
        <v>9</v>
      </c>
      <c r="I944" s="71" t="s">
        <v>945</v>
      </c>
      <c r="J944" s="71">
        <v>1</v>
      </c>
      <c r="K944" s="71" t="s">
        <v>223</v>
      </c>
      <c r="L944" s="71" t="s">
        <v>3135</v>
      </c>
      <c r="M944" s="71" t="s">
        <v>452</v>
      </c>
      <c r="N944" s="71">
        <v>5409149408</v>
      </c>
      <c r="O944" s="71" t="s">
        <v>245</v>
      </c>
      <c r="P944" s="71" t="s">
        <v>246</v>
      </c>
      <c r="Q944" s="71">
        <v>0</v>
      </c>
      <c r="R944" s="71" t="s">
        <v>3020</v>
      </c>
      <c r="S944" s="71" t="s">
        <v>3021</v>
      </c>
      <c r="T944" s="71" t="s">
        <v>3022</v>
      </c>
    </row>
    <row r="945" spans="1:20" x14ac:dyDescent="0.3">
      <c r="A945" s="72">
        <f>IFERROR(VLOOKUP($G945,Conf!$B:$C,2,0),E945)</f>
        <v>30</v>
      </c>
      <c r="B945" s="72" t="str">
        <f ca="1">IF(D945="Inativo","Inativo",VLOOKUP($S945,Conf!$K:$M,2,0))</f>
        <v>DEPOSITO</v>
      </c>
      <c r="C945" s="72" t="str">
        <f ca="1">IF(D945="Inativo","Inativo",IFERROR(VLOOKUP($G945,Conf!$F$19:$G$39,2,0),VLOOKUP($S945,Conf!$K:$M,3,0)))</f>
        <v>AUXILIAR</v>
      </c>
      <c r="D945" s="72" t="str">
        <f ca="1">IFERROR(IF(TODAY()-K945&gt;365,"Inativo",IF(J945=2,"Férias",IF(J945=7,"Demitido","Afastamento"))),VLOOKUP(J945,Conf!$H:$I,2,0))</f>
        <v>Ativos</v>
      </c>
      <c r="E945" s="71">
        <v>30</v>
      </c>
      <c r="F945" s="71">
        <v>310</v>
      </c>
      <c r="G945" s="71" t="s">
        <v>3136</v>
      </c>
      <c r="H945" s="71">
        <v>206</v>
      </c>
      <c r="I945" s="71" t="s">
        <v>2901</v>
      </c>
      <c r="J945" s="71">
        <v>1</v>
      </c>
      <c r="K945" s="71" t="s">
        <v>223</v>
      </c>
      <c r="L945" s="71" t="s">
        <v>3137</v>
      </c>
      <c r="M945" s="71" t="s">
        <v>1612</v>
      </c>
      <c r="N945" s="71">
        <v>12677777967</v>
      </c>
      <c r="Q945" s="71">
        <v>0</v>
      </c>
      <c r="R945" s="71" t="s">
        <v>3048</v>
      </c>
      <c r="S945" s="71" t="s">
        <v>3049</v>
      </c>
      <c r="T945" s="71" t="s">
        <v>3050</v>
      </c>
    </row>
    <row r="946" spans="1:20" x14ac:dyDescent="0.3">
      <c r="A946" s="72">
        <f>IFERROR(VLOOKUP($G946,Conf!$B:$C,2,0),E946)</f>
        <v>30</v>
      </c>
      <c r="B946" s="72" t="str">
        <f ca="1">IF(D946="Inativo","Inativo",VLOOKUP($S946,Conf!$K:$M,2,0))</f>
        <v>DEPOSITO</v>
      </c>
      <c r="C946" s="72" t="str">
        <f ca="1">IF(D946="Inativo","Inativo",IFERROR(VLOOKUP($G946,Conf!$F$19:$G$39,2,0),VLOOKUP($S946,Conf!$K:$M,3,0)))</f>
        <v>AUXILIAR</v>
      </c>
      <c r="D946" s="72" t="str">
        <f ca="1">IFERROR(IF(TODAY()-K946&gt;365,"Inativo",IF(J946=2,"Férias",IF(J946=7,"Demitido","Afastamento"))),VLOOKUP(J946,Conf!$H:$I,2,0))</f>
        <v>Ativos</v>
      </c>
      <c r="E946" s="71">
        <v>30</v>
      </c>
      <c r="F946" s="71">
        <v>189</v>
      </c>
      <c r="G946" s="71" t="s">
        <v>3138</v>
      </c>
      <c r="H946" s="71">
        <v>216</v>
      </c>
      <c r="I946" s="71" t="s">
        <v>3026</v>
      </c>
      <c r="J946" s="71">
        <v>1</v>
      </c>
      <c r="K946" s="71" t="s">
        <v>223</v>
      </c>
      <c r="L946" s="71" t="s">
        <v>3139</v>
      </c>
      <c r="M946" s="71" t="s">
        <v>623</v>
      </c>
      <c r="N946" s="71">
        <v>14274968979</v>
      </c>
      <c r="O946" s="71" t="s">
        <v>245</v>
      </c>
      <c r="P946" s="71" t="s">
        <v>246</v>
      </c>
      <c r="Q946" s="71">
        <v>0</v>
      </c>
      <c r="R946" s="71" t="s">
        <v>3028</v>
      </c>
      <c r="S946" s="71" t="s">
        <v>3029</v>
      </c>
      <c r="T946" s="71" t="s">
        <v>3030</v>
      </c>
    </row>
    <row r="947" spans="1:20" x14ac:dyDescent="0.3">
      <c r="A947" s="72">
        <f>IFERROR(VLOOKUP($G947,Conf!$B:$C,2,0),E947)</f>
        <v>30</v>
      </c>
      <c r="B947" s="72" t="str">
        <f ca="1">IF(D947="Inativo","Inativo",VLOOKUP($S947,Conf!$K:$M,2,0))</f>
        <v>DEPOSITO</v>
      </c>
      <c r="C947" s="72" t="str">
        <f ca="1">IF(D947="Inativo","Inativo",IFERROR(VLOOKUP($G947,Conf!$F$19:$G$39,2,0),VLOOKUP($S947,Conf!$K:$M,3,0)))</f>
        <v>AUXILIAR</v>
      </c>
      <c r="D947" s="72" t="str">
        <f ca="1">IFERROR(IF(TODAY()-K947&gt;365,"Inativo",IF(J947=2,"Férias",IF(J947=7,"Demitido","Afastamento"))),VLOOKUP(J947,Conf!$H:$I,2,0))</f>
        <v>Ativos</v>
      </c>
      <c r="E947" s="71">
        <v>30</v>
      </c>
      <c r="F947" s="71">
        <v>199</v>
      </c>
      <c r="G947" s="71" t="s">
        <v>3140</v>
      </c>
      <c r="H947" s="71">
        <v>216</v>
      </c>
      <c r="I947" s="71" t="s">
        <v>3026</v>
      </c>
      <c r="J947" s="71">
        <v>1</v>
      </c>
      <c r="K947" s="71" t="s">
        <v>223</v>
      </c>
      <c r="L947" s="71" t="s">
        <v>3141</v>
      </c>
      <c r="M947" s="71" t="s">
        <v>471</v>
      </c>
      <c r="N947" s="71">
        <v>12352017912</v>
      </c>
      <c r="O947" s="71" t="s">
        <v>245</v>
      </c>
      <c r="P947" s="71" t="s">
        <v>246</v>
      </c>
      <c r="Q947" s="71">
        <v>0</v>
      </c>
      <c r="R947" s="71" t="s">
        <v>3028</v>
      </c>
      <c r="S947" s="71" t="s">
        <v>3029</v>
      </c>
      <c r="T947" s="71" t="s">
        <v>3030</v>
      </c>
    </row>
    <row r="948" spans="1:20" x14ac:dyDescent="0.3">
      <c r="A948" s="72">
        <f>IFERROR(VLOOKUP($G948,Conf!$B:$C,2,0),E948)</f>
        <v>30</v>
      </c>
      <c r="B948" s="72" t="str">
        <f ca="1">IF(D948="Inativo","Inativo",VLOOKUP($S948,Conf!$K:$M,2,0))</f>
        <v>DEPOSITO</v>
      </c>
      <c r="C948" s="72" t="str">
        <f ca="1">IF(D948="Inativo","Inativo",IFERROR(VLOOKUP($G948,Conf!$F$19:$G$39,2,0),VLOOKUP($S948,Conf!$K:$M,3,0)))</f>
        <v>AUXILIAR</v>
      </c>
      <c r="D948" s="72" t="str">
        <f ca="1">IFERROR(IF(TODAY()-K948&gt;365,"Inativo",IF(J948=2,"Férias",IF(J948=7,"Demitido","Afastamento"))),VLOOKUP(J948,Conf!$H:$I,2,0))</f>
        <v>Ativos</v>
      </c>
      <c r="E948" s="71">
        <v>30</v>
      </c>
      <c r="F948" s="71">
        <v>379</v>
      </c>
      <c r="G948" s="71" t="s">
        <v>3142</v>
      </c>
      <c r="H948" s="71">
        <v>9</v>
      </c>
      <c r="I948" s="71" t="s">
        <v>945</v>
      </c>
      <c r="J948" s="71">
        <v>1</v>
      </c>
      <c r="K948" s="71" t="s">
        <v>223</v>
      </c>
      <c r="L948" s="71" t="s">
        <v>3143</v>
      </c>
      <c r="M948" s="71" t="s">
        <v>2686</v>
      </c>
      <c r="N948" s="71">
        <v>12334097942</v>
      </c>
      <c r="O948" s="71" t="s">
        <v>245</v>
      </c>
      <c r="P948" s="71" t="s">
        <v>246</v>
      </c>
      <c r="Q948" s="71">
        <v>0</v>
      </c>
      <c r="R948" s="71" t="s">
        <v>3020</v>
      </c>
      <c r="S948" s="71" t="s">
        <v>3021</v>
      </c>
      <c r="T948" s="71" t="s">
        <v>3022</v>
      </c>
    </row>
    <row r="949" spans="1:20" x14ac:dyDescent="0.3">
      <c r="A949" s="72">
        <f>IFERROR(VLOOKUP($G949,Conf!$B:$C,2,0),E949)</f>
        <v>30</v>
      </c>
      <c r="B949" s="72" t="str">
        <f ca="1">IF(D949="Inativo","Inativo",VLOOKUP($S949,Conf!$K:$M,2,0))</f>
        <v>DEPOSITO</v>
      </c>
      <c r="C949" s="72" t="str">
        <f ca="1">IF(D949="Inativo","Inativo",IFERROR(VLOOKUP($G949,Conf!$F$19:$G$39,2,0),VLOOKUP($S949,Conf!$K:$M,3,0)))</f>
        <v>AUXILIAR</v>
      </c>
      <c r="D949" s="72" t="str">
        <f ca="1">IFERROR(IF(TODAY()-K949&gt;365,"Inativo",IF(J949=2,"Férias",IF(J949=7,"Demitido","Afastamento"))),VLOOKUP(J949,Conf!$H:$I,2,0))</f>
        <v>Ativos</v>
      </c>
      <c r="E949" s="71">
        <v>30</v>
      </c>
      <c r="F949" s="71">
        <v>394</v>
      </c>
      <c r="G949" s="71" t="s">
        <v>3144</v>
      </c>
      <c r="H949" s="71">
        <v>92</v>
      </c>
      <c r="I949" s="71" t="s">
        <v>1553</v>
      </c>
      <c r="J949" s="71">
        <v>1</v>
      </c>
      <c r="K949" s="71" t="s">
        <v>223</v>
      </c>
      <c r="L949" s="71" t="s">
        <v>3145</v>
      </c>
      <c r="M949" s="71" t="s">
        <v>1759</v>
      </c>
      <c r="N949" s="71">
        <v>46905740900</v>
      </c>
      <c r="O949" s="71" t="s">
        <v>245</v>
      </c>
      <c r="P949" s="71" t="s">
        <v>246</v>
      </c>
      <c r="Q949" s="71">
        <v>0</v>
      </c>
      <c r="R949" s="71" t="s">
        <v>3031</v>
      </c>
      <c r="S949" s="71" t="s">
        <v>3032</v>
      </c>
      <c r="T949" s="71" t="s">
        <v>3033</v>
      </c>
    </row>
    <row r="950" spans="1:20" x14ac:dyDescent="0.3">
      <c r="A950" s="72">
        <f>IFERROR(VLOOKUP($G950,Conf!$B:$C,2,0),E950)</f>
        <v>30</v>
      </c>
      <c r="B950" s="72" t="str">
        <f ca="1">IF(D950="Inativo","Inativo",VLOOKUP($S950,Conf!$K:$M,2,0))</f>
        <v>DEPOSITO</v>
      </c>
      <c r="C950" s="72" t="str">
        <f ca="1">IF(D950="Inativo","Inativo",IFERROR(VLOOKUP($G950,Conf!$F$19:$G$39,2,0),VLOOKUP($S950,Conf!$K:$M,3,0)))</f>
        <v>AUXILIAR</v>
      </c>
      <c r="D950" s="72" t="str">
        <f ca="1">IFERROR(IF(TODAY()-K950&gt;365,"Inativo",IF(J950=2,"Férias",IF(J950=7,"Demitido","Afastamento"))),VLOOKUP(J950,Conf!$H:$I,2,0))</f>
        <v>Ativos</v>
      </c>
      <c r="E950" s="71">
        <v>30</v>
      </c>
      <c r="F950" s="71">
        <v>193</v>
      </c>
      <c r="G950" s="71" t="s">
        <v>3146</v>
      </c>
      <c r="H950" s="71">
        <v>216</v>
      </c>
      <c r="I950" s="71" t="s">
        <v>3026</v>
      </c>
      <c r="J950" s="71">
        <v>1</v>
      </c>
      <c r="K950" s="71" t="s">
        <v>223</v>
      </c>
      <c r="L950" s="71" t="s">
        <v>3147</v>
      </c>
      <c r="M950" s="71" t="s">
        <v>434</v>
      </c>
      <c r="N950" s="71">
        <v>15698079900</v>
      </c>
      <c r="O950" s="71" t="s">
        <v>245</v>
      </c>
      <c r="P950" s="71" t="s">
        <v>246</v>
      </c>
      <c r="Q950" s="71">
        <v>0</v>
      </c>
      <c r="R950" s="71" t="s">
        <v>3028</v>
      </c>
      <c r="S950" s="71" t="s">
        <v>3029</v>
      </c>
      <c r="T950" s="71" t="s">
        <v>3030</v>
      </c>
    </row>
    <row r="951" spans="1:20" x14ac:dyDescent="0.3">
      <c r="A951" s="72">
        <f>IFERROR(VLOOKUP($G951,Conf!$B:$C,2,0),E951)</f>
        <v>30</v>
      </c>
      <c r="B951" s="72" t="str">
        <f ca="1">IF(D951="Inativo","Inativo",VLOOKUP($S951,Conf!$K:$M,2,0))</f>
        <v>DEPOSITO</v>
      </c>
      <c r="C951" s="72" t="str">
        <f ca="1">IF(D951="Inativo","Inativo",IFERROR(VLOOKUP($G951,Conf!$F$19:$G$39,2,0),VLOOKUP($S951,Conf!$K:$M,3,0)))</f>
        <v>AUXILIAR</v>
      </c>
      <c r="D951" s="72" t="str">
        <f ca="1">IFERROR(IF(TODAY()-K951&gt;365,"Inativo",IF(J951=2,"Férias",IF(J951=7,"Demitido","Afastamento"))),VLOOKUP(J951,Conf!$H:$I,2,0))</f>
        <v>Demitido</v>
      </c>
      <c r="E951" s="71">
        <v>30</v>
      </c>
      <c r="F951" s="71">
        <v>398</v>
      </c>
      <c r="G951" s="71" t="s">
        <v>3148</v>
      </c>
      <c r="H951" s="71">
        <v>86</v>
      </c>
      <c r="I951" s="71" t="s">
        <v>945</v>
      </c>
      <c r="J951" s="71">
        <v>7</v>
      </c>
      <c r="K951" s="71" t="s">
        <v>3633</v>
      </c>
      <c r="L951" s="71" t="s">
        <v>3149</v>
      </c>
      <c r="M951" s="71" t="s">
        <v>460</v>
      </c>
      <c r="N951" s="71">
        <v>45922732811</v>
      </c>
      <c r="O951" s="71" t="s">
        <v>245</v>
      </c>
      <c r="P951" s="71" t="s">
        <v>246</v>
      </c>
      <c r="Q951" s="71">
        <v>0</v>
      </c>
      <c r="R951" s="71" t="s">
        <v>3020</v>
      </c>
      <c r="S951" s="71" t="s">
        <v>3021</v>
      </c>
      <c r="T951" s="71" t="s">
        <v>3022</v>
      </c>
    </row>
    <row r="952" spans="1:20" x14ac:dyDescent="0.3">
      <c r="A952" s="72">
        <f>IFERROR(VLOOKUP($G952,Conf!$B:$C,2,0),E952)</f>
        <v>30</v>
      </c>
      <c r="B952" s="72" t="str">
        <f ca="1">IF(D952="Inativo","Inativo",VLOOKUP($S952,Conf!$K:$M,2,0))</f>
        <v>DEPOSITO</v>
      </c>
      <c r="C952" s="72" t="str">
        <f ca="1">IF(D952="Inativo","Inativo",IFERROR(VLOOKUP($G952,Conf!$F$19:$G$39,2,0),VLOOKUP($S952,Conf!$K:$M,3,0)))</f>
        <v>AUXILIAR</v>
      </c>
      <c r="D952" s="72" t="str">
        <f ca="1">IFERROR(IF(TODAY()-K952&gt;365,"Inativo",IF(J952=2,"Férias",IF(J952=7,"Demitido","Afastamento"))),VLOOKUP(J952,Conf!$H:$I,2,0))</f>
        <v>Ativos</v>
      </c>
      <c r="E952" s="71">
        <v>30</v>
      </c>
      <c r="F952" s="71">
        <v>111</v>
      </c>
      <c r="G952" s="71" t="s">
        <v>3150</v>
      </c>
      <c r="H952" s="71">
        <v>9</v>
      </c>
      <c r="I952" s="71" t="s">
        <v>945</v>
      </c>
      <c r="J952" s="71">
        <v>1</v>
      </c>
      <c r="K952" s="71" t="s">
        <v>223</v>
      </c>
      <c r="L952" s="71" t="s">
        <v>3151</v>
      </c>
      <c r="M952" s="71" t="s">
        <v>942</v>
      </c>
      <c r="N952" s="71">
        <v>95360522968</v>
      </c>
      <c r="Q952" s="71">
        <v>0</v>
      </c>
      <c r="R952" s="71" t="s">
        <v>3152</v>
      </c>
      <c r="S952" s="71" t="s">
        <v>3153</v>
      </c>
      <c r="T952" s="71" t="s">
        <v>3154</v>
      </c>
    </row>
    <row r="953" spans="1:20" x14ac:dyDescent="0.3">
      <c r="A953" s="72">
        <f>IFERROR(VLOOKUP($G953,Conf!$B:$C,2,0),E953)</f>
        <v>30</v>
      </c>
      <c r="B953" s="72" t="str">
        <f ca="1">IF(D953="Inativo","Inativo",VLOOKUP($S953,Conf!$K:$M,2,0))</f>
        <v>DEPOSITO</v>
      </c>
      <c r="C953" s="72" t="str">
        <f ca="1">IF(D953="Inativo","Inativo",IFERROR(VLOOKUP($G953,Conf!$F$19:$G$39,2,0),VLOOKUP($S953,Conf!$K:$M,3,0)))</f>
        <v>AUXILIAR</v>
      </c>
      <c r="D953" s="72" t="str">
        <f ca="1">IFERROR(IF(TODAY()-K953&gt;365,"Inativo",IF(J953=2,"Férias",IF(J953=7,"Demitido","Afastamento"))),VLOOKUP(J953,Conf!$H:$I,2,0))</f>
        <v>Ativos</v>
      </c>
      <c r="E953" s="71">
        <v>30</v>
      </c>
      <c r="F953" s="71">
        <v>176</v>
      </c>
      <c r="G953" s="71" t="s">
        <v>3155</v>
      </c>
      <c r="H953" s="71">
        <v>216</v>
      </c>
      <c r="I953" s="71" t="s">
        <v>3026</v>
      </c>
      <c r="J953" s="71">
        <v>1</v>
      </c>
      <c r="K953" s="71" t="s">
        <v>223</v>
      </c>
      <c r="L953" s="71" t="s">
        <v>2050</v>
      </c>
      <c r="M953" s="71" t="s">
        <v>3156</v>
      </c>
      <c r="N953" s="71">
        <v>78252903991</v>
      </c>
      <c r="Q953" s="71">
        <v>0</v>
      </c>
      <c r="R953" s="71" t="s">
        <v>3028</v>
      </c>
      <c r="S953" s="71" t="s">
        <v>3029</v>
      </c>
      <c r="T953" s="71" t="s">
        <v>3030</v>
      </c>
    </row>
    <row r="954" spans="1:20" x14ac:dyDescent="0.3">
      <c r="A954" s="72">
        <f>IFERROR(VLOOKUP($G954,Conf!$B:$C,2,0),E954)</f>
        <v>30</v>
      </c>
      <c r="B954" s="72" t="str">
        <f ca="1">IF(D954="Inativo","Inativo",VLOOKUP($S954,Conf!$K:$M,2,0))</f>
        <v>DEPOSITO</v>
      </c>
      <c r="C954" s="72" t="str">
        <f ca="1">IF(D954="Inativo","Inativo",IFERROR(VLOOKUP($G954,Conf!$F$19:$G$39,2,0),VLOOKUP($S954,Conf!$K:$M,3,0)))</f>
        <v>CAMARA FRIA</v>
      </c>
      <c r="D954" s="72" t="str">
        <f ca="1">IFERROR(IF(TODAY()-K954&gt;365,"Inativo",IF(J954=2,"Férias",IF(J954=7,"Demitido","Afastamento"))),VLOOKUP(J954,Conf!$H:$I,2,0))</f>
        <v>Ativos</v>
      </c>
      <c r="E954" s="71">
        <v>30</v>
      </c>
      <c r="F954" s="71">
        <v>306</v>
      </c>
      <c r="G954" s="71" t="s">
        <v>3157</v>
      </c>
      <c r="H954" s="71">
        <v>204</v>
      </c>
      <c r="I954" s="71" t="s">
        <v>1563</v>
      </c>
      <c r="J954" s="71">
        <v>1</v>
      </c>
      <c r="K954" s="71" t="s">
        <v>223</v>
      </c>
      <c r="L954" s="71" t="s">
        <v>3158</v>
      </c>
      <c r="M954" s="71" t="s">
        <v>3159</v>
      </c>
      <c r="N954" s="71">
        <v>14160167918</v>
      </c>
      <c r="Q954" s="71">
        <v>0</v>
      </c>
      <c r="R954" s="71" t="s">
        <v>3160</v>
      </c>
      <c r="S954" s="71" t="s">
        <v>3161</v>
      </c>
      <c r="T954" s="71" t="s">
        <v>3162</v>
      </c>
    </row>
    <row r="955" spans="1:20" x14ac:dyDescent="0.3">
      <c r="A955" s="72">
        <f>IFERROR(VLOOKUP($G955,Conf!$B:$C,2,0),E955)</f>
        <v>30</v>
      </c>
      <c r="B955" s="72" t="str">
        <f ca="1">IF(D955="Inativo","Inativo",VLOOKUP($S955,Conf!$K:$M,2,0))</f>
        <v>DEPOSITO</v>
      </c>
      <c r="C955" s="72" t="str">
        <f ca="1">IF(D955="Inativo","Inativo",IFERROR(VLOOKUP($G955,Conf!$F$19:$G$39,2,0),VLOOKUP($S955,Conf!$K:$M,3,0)))</f>
        <v>CONFERENTE</v>
      </c>
      <c r="D955" s="72" t="str">
        <f ca="1">IFERROR(IF(TODAY()-K955&gt;365,"Inativo",IF(J955=2,"Férias",IF(J955=7,"Demitido","Afastamento"))),VLOOKUP(J955,Conf!$H:$I,2,0))</f>
        <v>Ativos</v>
      </c>
      <c r="E955" s="71">
        <v>30</v>
      </c>
      <c r="F955" s="71">
        <v>66</v>
      </c>
      <c r="G955" s="71" t="s">
        <v>3163</v>
      </c>
      <c r="H955" s="71">
        <v>216</v>
      </c>
      <c r="I955" s="71" t="s">
        <v>3026</v>
      </c>
      <c r="J955" s="71">
        <v>1</v>
      </c>
      <c r="K955" s="71" t="s">
        <v>223</v>
      </c>
      <c r="L955" s="71" t="s">
        <v>2100</v>
      </c>
      <c r="M955" s="71" t="s">
        <v>3164</v>
      </c>
      <c r="N955" s="71">
        <v>3825714950</v>
      </c>
      <c r="Q955" s="71">
        <v>0</v>
      </c>
      <c r="R955" s="71" t="s">
        <v>3165</v>
      </c>
      <c r="S955" s="71" t="s">
        <v>120</v>
      </c>
      <c r="T955" s="71" t="s">
        <v>3166</v>
      </c>
    </row>
    <row r="956" spans="1:20" x14ac:dyDescent="0.3">
      <c r="A956" s="72">
        <f>IFERROR(VLOOKUP($G956,Conf!$B:$C,2,0),E956)</f>
        <v>30</v>
      </c>
      <c r="B956" s="72" t="str">
        <f ca="1">IF(D956="Inativo","Inativo",VLOOKUP($S956,Conf!$K:$M,2,0))</f>
        <v>DEPOSITO</v>
      </c>
      <c r="C956" s="72" t="str">
        <f ca="1">IF(D956="Inativo","Inativo",IFERROR(VLOOKUP($G956,Conf!$F$19:$G$39,2,0),VLOOKUP($S956,Conf!$K:$M,3,0)))</f>
        <v>CONFERENTE</v>
      </c>
      <c r="D956" s="72" t="str">
        <f ca="1">IFERROR(IF(TODAY()-K956&gt;365,"Inativo",IF(J956=2,"Férias",IF(J956=7,"Demitido","Afastamento"))),VLOOKUP(J956,Conf!$H:$I,2,0))</f>
        <v>Ativos</v>
      </c>
      <c r="E956" s="71">
        <v>30</v>
      </c>
      <c r="F956" s="71">
        <v>16</v>
      </c>
      <c r="G956" s="71" t="s">
        <v>3167</v>
      </c>
      <c r="H956" s="71">
        <v>216</v>
      </c>
      <c r="I956" s="71" t="s">
        <v>3026</v>
      </c>
      <c r="J956" s="71">
        <v>1</v>
      </c>
      <c r="K956" s="71" t="s">
        <v>223</v>
      </c>
      <c r="L956" s="71" t="s">
        <v>3168</v>
      </c>
      <c r="M956" s="71" t="s">
        <v>3169</v>
      </c>
      <c r="N956" s="71">
        <v>8312381945</v>
      </c>
      <c r="Q956" s="71">
        <v>0</v>
      </c>
      <c r="R956" s="71" t="s">
        <v>3165</v>
      </c>
      <c r="S956" s="71" t="s">
        <v>120</v>
      </c>
      <c r="T956" s="71" t="s">
        <v>3166</v>
      </c>
    </row>
    <row r="957" spans="1:20" x14ac:dyDescent="0.3">
      <c r="A957" s="72">
        <f>IFERROR(VLOOKUP($G957,Conf!$B:$C,2,0),E957)</f>
        <v>30</v>
      </c>
      <c r="B957" s="72" t="str">
        <f ca="1">IF(D957="Inativo","Inativo",VLOOKUP($S957,Conf!$K:$M,2,0))</f>
        <v>DEPOSITO</v>
      </c>
      <c r="C957" s="72" t="str">
        <f ca="1">IF(D957="Inativo","Inativo",IFERROR(VLOOKUP($G957,Conf!$F$19:$G$39,2,0),VLOOKUP($S957,Conf!$K:$M,3,0)))</f>
        <v>CONFERENTE</v>
      </c>
      <c r="D957" s="72" t="str">
        <f ca="1">IFERROR(IF(TODAY()-K957&gt;365,"Inativo",IF(J957=2,"Férias",IF(J957=7,"Demitido","Afastamento"))),VLOOKUP(J957,Conf!$H:$I,2,0))</f>
        <v>Ativos</v>
      </c>
      <c r="E957" s="71">
        <v>30</v>
      </c>
      <c r="F957" s="71">
        <v>112</v>
      </c>
      <c r="G957" s="71" t="s">
        <v>3170</v>
      </c>
      <c r="H957" s="71">
        <v>216</v>
      </c>
      <c r="I957" s="71" t="s">
        <v>3026</v>
      </c>
      <c r="J957" s="71">
        <v>1</v>
      </c>
      <c r="K957" s="71" t="s">
        <v>223</v>
      </c>
      <c r="L957" s="71" t="s">
        <v>3171</v>
      </c>
      <c r="M957" s="71" t="s">
        <v>3172</v>
      </c>
      <c r="N957" s="71">
        <v>15742676980</v>
      </c>
      <c r="Q957" s="71">
        <v>0</v>
      </c>
      <c r="R957" s="71" t="s">
        <v>3165</v>
      </c>
      <c r="S957" s="71" t="s">
        <v>120</v>
      </c>
      <c r="T957" s="71" t="s">
        <v>3166</v>
      </c>
    </row>
    <row r="958" spans="1:20" x14ac:dyDescent="0.3">
      <c r="A958" s="72">
        <f>IFERROR(VLOOKUP($G958,Conf!$B:$C,2,0),E958)</f>
        <v>30</v>
      </c>
      <c r="B958" s="72" t="str">
        <f ca="1">IF(D958="Inativo","Inativo",VLOOKUP($S958,Conf!$K:$M,2,0))</f>
        <v>DEPOSITO</v>
      </c>
      <c r="C958" s="72" t="str">
        <f ca="1">IF(D958="Inativo","Inativo",IFERROR(VLOOKUP($G958,Conf!$F$19:$G$39,2,0),VLOOKUP($S958,Conf!$K:$M,3,0)))</f>
        <v>CONFERENTE</v>
      </c>
      <c r="D958" s="72" t="str">
        <f ca="1">IFERROR(IF(TODAY()-K958&gt;365,"Inativo",IF(J958=2,"Férias",IF(J958=7,"Demitido","Afastamento"))),VLOOKUP(J958,Conf!$H:$I,2,0))</f>
        <v>Ativos</v>
      </c>
      <c r="E958" s="71">
        <v>30</v>
      </c>
      <c r="F958" s="71">
        <v>371</v>
      </c>
      <c r="G958" s="71" t="s">
        <v>3173</v>
      </c>
      <c r="H958" s="71">
        <v>86</v>
      </c>
      <c r="I958" s="71" t="s">
        <v>945</v>
      </c>
      <c r="J958" s="71">
        <v>1</v>
      </c>
      <c r="K958" s="71" t="s">
        <v>223</v>
      </c>
      <c r="L958" s="71" t="s">
        <v>3174</v>
      </c>
      <c r="M958" s="71" t="s">
        <v>468</v>
      </c>
      <c r="N958" s="71">
        <v>4870110903</v>
      </c>
      <c r="O958" s="71" t="s">
        <v>245</v>
      </c>
      <c r="P958" s="71" t="s">
        <v>246</v>
      </c>
      <c r="Q958" s="71">
        <v>0</v>
      </c>
      <c r="R958" s="71" t="s">
        <v>3175</v>
      </c>
      <c r="S958" s="71" t="s">
        <v>3176</v>
      </c>
      <c r="T958" s="71" t="s">
        <v>3177</v>
      </c>
    </row>
    <row r="959" spans="1:20" x14ac:dyDescent="0.3">
      <c r="A959" s="72">
        <f>IFERROR(VLOOKUP($G959,Conf!$B:$C,2,0),E959)</f>
        <v>30</v>
      </c>
      <c r="B959" s="72" t="str">
        <f ca="1">IF(D959="Inativo","Inativo",VLOOKUP($S959,Conf!$K:$M,2,0))</f>
        <v>DEPOSITO</v>
      </c>
      <c r="C959" s="72" t="str">
        <f ca="1">IF(D959="Inativo","Inativo",IFERROR(VLOOKUP($G959,Conf!$F$19:$G$39,2,0),VLOOKUP($S959,Conf!$K:$M,3,0)))</f>
        <v>CONFERENTE</v>
      </c>
      <c r="D959" s="72" t="str">
        <f ca="1">IFERROR(IF(TODAY()-K959&gt;365,"Inativo",IF(J959=2,"Férias",IF(J959=7,"Demitido","Afastamento"))),VLOOKUP(J959,Conf!$H:$I,2,0))</f>
        <v>Ativos</v>
      </c>
      <c r="E959" s="71">
        <v>30</v>
      </c>
      <c r="F959" s="71">
        <v>103</v>
      </c>
      <c r="G959" s="71" t="s">
        <v>3178</v>
      </c>
      <c r="H959" s="71">
        <v>216</v>
      </c>
      <c r="I959" s="71" t="s">
        <v>3026</v>
      </c>
      <c r="J959" s="71">
        <v>1</v>
      </c>
      <c r="K959" s="71" t="s">
        <v>223</v>
      </c>
      <c r="L959" s="71" t="s">
        <v>3179</v>
      </c>
      <c r="M959" s="71" t="s">
        <v>3180</v>
      </c>
      <c r="N959" s="71">
        <v>13740549920</v>
      </c>
      <c r="Q959" s="71">
        <v>0</v>
      </c>
      <c r="R959" s="71" t="s">
        <v>3165</v>
      </c>
      <c r="S959" s="71" t="s">
        <v>120</v>
      </c>
      <c r="T959" s="71" t="s">
        <v>3166</v>
      </c>
    </row>
    <row r="960" spans="1:20" x14ac:dyDescent="0.3">
      <c r="A960" s="72">
        <f>IFERROR(VLOOKUP($G960,Conf!$B:$C,2,0),E960)</f>
        <v>30</v>
      </c>
      <c r="B960" s="72" t="str">
        <f ca="1">IF(D960="Inativo","Inativo",VLOOKUP($S960,Conf!$K:$M,2,0))</f>
        <v>DEPOSITO</v>
      </c>
      <c r="C960" s="72" t="str">
        <f ca="1">IF(D960="Inativo","Inativo",IFERROR(VLOOKUP($G960,Conf!$F$19:$G$39,2,0),VLOOKUP($S960,Conf!$K:$M,3,0)))</f>
        <v>CONFERENTE</v>
      </c>
      <c r="D960" s="72" t="str">
        <f ca="1">IFERROR(IF(TODAY()-K960&gt;365,"Inativo",IF(J960=2,"Férias",IF(J960=7,"Demitido","Afastamento"))),VLOOKUP(J960,Conf!$H:$I,2,0))</f>
        <v>Ativos</v>
      </c>
      <c r="E960" s="71">
        <v>30</v>
      </c>
      <c r="F960" s="71">
        <v>308</v>
      </c>
      <c r="G960" s="71" t="s">
        <v>3181</v>
      </c>
      <c r="H960" s="71">
        <v>86</v>
      </c>
      <c r="I960" s="71" t="s">
        <v>945</v>
      </c>
      <c r="J960" s="71">
        <v>1</v>
      </c>
      <c r="K960" s="71" t="s">
        <v>223</v>
      </c>
      <c r="L960" s="71" t="s">
        <v>3182</v>
      </c>
      <c r="M960" s="71" t="s">
        <v>3123</v>
      </c>
      <c r="N960" s="71">
        <v>80001592955</v>
      </c>
      <c r="Q960" s="71">
        <v>0</v>
      </c>
      <c r="R960" s="71" t="s">
        <v>3175</v>
      </c>
      <c r="S960" s="71" t="s">
        <v>3176</v>
      </c>
      <c r="T960" s="71" t="s">
        <v>3177</v>
      </c>
    </row>
    <row r="961" spans="1:20" x14ac:dyDescent="0.3">
      <c r="A961" s="72">
        <f>IFERROR(VLOOKUP($G961,Conf!$B:$C,2,0),E961)</f>
        <v>30</v>
      </c>
      <c r="B961" s="72" t="str">
        <f ca="1">IF(D961="Inativo","Inativo",VLOOKUP($S961,Conf!$K:$M,2,0))</f>
        <v>DEPOSITO</v>
      </c>
      <c r="C961" s="72" t="str">
        <f ca="1">IF(D961="Inativo","Inativo",IFERROR(VLOOKUP($G961,Conf!$F$19:$G$39,2,0),VLOOKUP($S961,Conf!$K:$M,3,0)))</f>
        <v>CONFERENTE</v>
      </c>
      <c r="D961" s="72" t="str">
        <f ca="1">IFERROR(IF(TODAY()-K961&gt;365,"Inativo",IF(J961=2,"Férias",IF(J961=7,"Demitido","Afastamento"))),VLOOKUP(J961,Conf!$H:$I,2,0))</f>
        <v>Ativos</v>
      </c>
      <c r="E961" s="71">
        <v>30</v>
      </c>
      <c r="F961" s="71">
        <v>366</v>
      </c>
      <c r="G961" s="71" t="s">
        <v>3075</v>
      </c>
      <c r="H961" s="71">
        <v>86</v>
      </c>
      <c r="I961" s="71" t="s">
        <v>945</v>
      </c>
      <c r="J961" s="71">
        <v>1</v>
      </c>
      <c r="K961" s="71" t="s">
        <v>223</v>
      </c>
      <c r="L961" s="71" t="s">
        <v>3076</v>
      </c>
      <c r="M961" s="71" t="s">
        <v>889</v>
      </c>
      <c r="N961" s="71">
        <v>10124627900</v>
      </c>
      <c r="Q961" s="71">
        <v>0</v>
      </c>
      <c r="R961" s="71" t="s">
        <v>3175</v>
      </c>
      <c r="S961" s="71" t="s">
        <v>3176</v>
      </c>
      <c r="T961" s="71" t="s">
        <v>3177</v>
      </c>
    </row>
    <row r="962" spans="1:20" x14ac:dyDescent="0.3">
      <c r="A962" s="72">
        <f>IFERROR(VLOOKUP($G962,Conf!$B:$C,2,0),E962)</f>
        <v>30</v>
      </c>
      <c r="B962" s="72" t="str">
        <f ca="1">IF(D962="Inativo","Inativo",VLOOKUP($S962,Conf!$K:$M,2,0))</f>
        <v>DEPOSITO</v>
      </c>
      <c r="C962" s="72" t="str">
        <f ca="1">IF(D962="Inativo","Inativo",IFERROR(VLOOKUP($G962,Conf!$F$19:$G$39,2,0),VLOOKUP($S962,Conf!$K:$M,3,0)))</f>
        <v>CONFERENTE</v>
      </c>
      <c r="D962" s="72" t="str">
        <f ca="1">IFERROR(IF(TODAY()-K962&gt;365,"Inativo",IF(J962=2,"Férias",IF(J962=7,"Demitido","Afastamento"))),VLOOKUP(J962,Conf!$H:$I,2,0))</f>
        <v>Ativos</v>
      </c>
      <c r="E962" s="71">
        <v>30</v>
      </c>
      <c r="F962" s="71">
        <v>373</v>
      </c>
      <c r="G962" s="71" t="s">
        <v>3084</v>
      </c>
      <c r="H962" s="71">
        <v>86</v>
      </c>
      <c r="I962" s="71" t="s">
        <v>945</v>
      </c>
      <c r="J962" s="71">
        <v>1</v>
      </c>
      <c r="K962" s="71" t="s">
        <v>223</v>
      </c>
      <c r="L962" s="71" t="s">
        <v>3085</v>
      </c>
      <c r="M962" s="71" t="s">
        <v>3086</v>
      </c>
      <c r="N962" s="71">
        <v>8700551945</v>
      </c>
      <c r="O962" s="71" t="s">
        <v>245</v>
      </c>
      <c r="P962" s="71" t="s">
        <v>246</v>
      </c>
      <c r="Q962" s="71">
        <v>0</v>
      </c>
      <c r="R962" s="71" t="s">
        <v>3175</v>
      </c>
      <c r="S962" s="71" t="s">
        <v>3176</v>
      </c>
      <c r="T962" s="71" t="s">
        <v>3177</v>
      </c>
    </row>
    <row r="963" spans="1:20" x14ac:dyDescent="0.3">
      <c r="A963" s="72">
        <f>IFERROR(VLOOKUP($G963,Conf!$B:$C,2,0),E963)</f>
        <v>30</v>
      </c>
      <c r="B963" s="72" t="str">
        <f ca="1">IF(D963="Inativo","Inativo",VLOOKUP($S963,Conf!$K:$M,2,0))</f>
        <v>DEPOSITO</v>
      </c>
      <c r="C963" s="72" t="str">
        <f ca="1">IF(D963="Inativo","Inativo",IFERROR(VLOOKUP($G963,Conf!$F$19:$G$39,2,0),VLOOKUP($S963,Conf!$K:$M,3,0)))</f>
        <v>CONFERENTE</v>
      </c>
      <c r="D963" s="72" t="str">
        <f ca="1">IFERROR(IF(TODAY()-K963&gt;365,"Inativo",IF(J963=2,"Férias",IF(J963=7,"Demitido","Afastamento"))),VLOOKUP(J963,Conf!$H:$I,2,0))</f>
        <v>Ativos</v>
      </c>
      <c r="E963" s="71">
        <v>30</v>
      </c>
      <c r="F963" s="71">
        <v>382</v>
      </c>
      <c r="G963" s="71" t="s">
        <v>3183</v>
      </c>
      <c r="H963" s="71">
        <v>9</v>
      </c>
      <c r="I963" s="71" t="s">
        <v>945</v>
      </c>
      <c r="J963" s="71">
        <v>1</v>
      </c>
      <c r="K963" s="71" t="s">
        <v>223</v>
      </c>
      <c r="L963" s="71" t="s">
        <v>3184</v>
      </c>
      <c r="M963" s="71" t="s">
        <v>623</v>
      </c>
      <c r="N963" s="71">
        <v>7754814919</v>
      </c>
      <c r="O963" s="71" t="s">
        <v>245</v>
      </c>
      <c r="P963" s="71" t="s">
        <v>246</v>
      </c>
      <c r="Q963" s="71">
        <v>0</v>
      </c>
      <c r="R963" s="71" t="s">
        <v>3175</v>
      </c>
      <c r="S963" s="71" t="s">
        <v>3176</v>
      </c>
      <c r="T963" s="71" t="s">
        <v>3177</v>
      </c>
    </row>
    <row r="964" spans="1:20" x14ac:dyDescent="0.3">
      <c r="A964" s="72">
        <f>IFERROR(VLOOKUP($G964,Conf!$B:$C,2,0),E964)</f>
        <v>30</v>
      </c>
      <c r="B964" s="72" t="str">
        <f ca="1">IF(D964="Inativo","Inativo",VLOOKUP($S964,Conf!$K:$M,2,0))</f>
        <v>DEPOSITO</v>
      </c>
      <c r="C964" s="72" t="str">
        <f ca="1">IF(D964="Inativo","Inativo",IFERROR(VLOOKUP($G964,Conf!$F$19:$G$39,2,0),VLOOKUP($S964,Conf!$K:$M,3,0)))</f>
        <v>CONFERENTE</v>
      </c>
      <c r="D964" s="72" t="str">
        <f ca="1">IFERROR(IF(TODAY()-K964&gt;365,"Inativo",IF(J964=2,"Férias",IF(J964=7,"Demitido","Afastamento"))),VLOOKUP(J964,Conf!$H:$I,2,0))</f>
        <v>Ativos</v>
      </c>
      <c r="E964" s="71">
        <v>30</v>
      </c>
      <c r="F964" s="71">
        <v>357</v>
      </c>
      <c r="G964" s="71" t="s">
        <v>3185</v>
      </c>
      <c r="H964" s="71">
        <v>86</v>
      </c>
      <c r="I964" s="71" t="s">
        <v>945</v>
      </c>
      <c r="J964" s="71">
        <v>1</v>
      </c>
      <c r="K964" s="71" t="s">
        <v>223</v>
      </c>
      <c r="L964" s="71" t="s">
        <v>3186</v>
      </c>
      <c r="M964" s="71" t="s">
        <v>986</v>
      </c>
      <c r="N964" s="71">
        <v>10596495943</v>
      </c>
      <c r="Q964" s="71">
        <v>0</v>
      </c>
      <c r="R964" s="71" t="s">
        <v>3187</v>
      </c>
      <c r="S964" s="71" t="s">
        <v>3188</v>
      </c>
      <c r="T964" s="71" t="s">
        <v>3189</v>
      </c>
    </row>
    <row r="965" spans="1:20" x14ac:dyDescent="0.3">
      <c r="A965" s="72">
        <f>IFERROR(VLOOKUP($G965,Conf!$B:$C,2,0),E965)</f>
        <v>30</v>
      </c>
      <c r="B965" s="72" t="str">
        <f ca="1">IF(D965="Inativo","Inativo",VLOOKUP($S965,Conf!$K:$M,2,0))</f>
        <v>DEPOSITO</v>
      </c>
      <c r="C965" s="72" t="str">
        <f ca="1">IF(D965="Inativo","Inativo",IFERROR(VLOOKUP($G965,Conf!$F$19:$G$39,2,0),VLOOKUP($S965,Conf!$K:$M,3,0)))</f>
        <v>CONFERENTE</v>
      </c>
      <c r="D965" s="72" t="str">
        <f ca="1">IFERROR(IF(TODAY()-K965&gt;365,"Inativo",IF(J965=2,"Férias",IF(J965=7,"Demitido","Afastamento"))),VLOOKUP(J965,Conf!$H:$I,2,0))</f>
        <v>Ativos</v>
      </c>
      <c r="E965" s="71">
        <v>30</v>
      </c>
      <c r="F965" s="71">
        <v>263</v>
      </c>
      <c r="G965" s="71" t="s">
        <v>3190</v>
      </c>
      <c r="H965" s="71">
        <v>204</v>
      </c>
      <c r="I965" s="71" t="s">
        <v>1563</v>
      </c>
      <c r="J965" s="71">
        <v>1</v>
      </c>
      <c r="K965" s="71" t="s">
        <v>223</v>
      </c>
      <c r="L965" s="71" t="s">
        <v>3191</v>
      </c>
      <c r="M965" s="71" t="s">
        <v>3192</v>
      </c>
      <c r="N965" s="71">
        <v>12018454919</v>
      </c>
      <c r="Q965" s="71">
        <v>0</v>
      </c>
      <c r="R965" s="71" t="s">
        <v>3187</v>
      </c>
      <c r="S965" s="71" t="s">
        <v>3188</v>
      </c>
      <c r="T965" s="71" t="s">
        <v>3189</v>
      </c>
    </row>
    <row r="966" spans="1:20" x14ac:dyDescent="0.3">
      <c r="A966" s="72">
        <f>IFERROR(VLOOKUP($G966,Conf!$B:$C,2,0),E966)</f>
        <v>30</v>
      </c>
      <c r="B966" s="72" t="str">
        <f ca="1">IF(D966="Inativo","Inativo",VLOOKUP($S966,Conf!$K:$M,2,0))</f>
        <v>DEPOSITO</v>
      </c>
      <c r="C966" s="72" t="str">
        <f ca="1">IF(D966="Inativo","Inativo",IFERROR(VLOOKUP($G966,Conf!$F$19:$G$39,2,0),VLOOKUP($S966,Conf!$K:$M,3,0)))</f>
        <v>CONFERENTE</v>
      </c>
      <c r="D966" s="72" t="str">
        <f ca="1">IFERROR(IF(TODAY()-K966&gt;365,"Inativo",IF(J966=2,"Férias",IF(J966=7,"Demitido","Afastamento"))),VLOOKUP(J966,Conf!$H:$I,2,0))</f>
        <v>Ativos</v>
      </c>
      <c r="E966" s="71">
        <v>30</v>
      </c>
      <c r="F966" s="71">
        <v>285</v>
      </c>
      <c r="G966" s="71" t="s">
        <v>3193</v>
      </c>
      <c r="H966" s="71">
        <v>92</v>
      </c>
      <c r="I966" s="71" t="s">
        <v>1553</v>
      </c>
      <c r="J966" s="71">
        <v>1</v>
      </c>
      <c r="K966" s="71" t="s">
        <v>223</v>
      </c>
      <c r="L966" s="71" t="s">
        <v>3194</v>
      </c>
      <c r="M966" s="71" t="s">
        <v>3195</v>
      </c>
      <c r="N966" s="71">
        <v>12404745980</v>
      </c>
      <c r="Q966" s="71">
        <v>0</v>
      </c>
      <c r="R966" s="71" t="s">
        <v>3187</v>
      </c>
      <c r="S966" s="71" t="s">
        <v>3188</v>
      </c>
      <c r="T966" s="71" t="s">
        <v>3189</v>
      </c>
    </row>
    <row r="967" spans="1:20" x14ac:dyDescent="0.3">
      <c r="A967" s="72">
        <f>IFERROR(VLOOKUP($G967,Conf!$B:$C,2,0),E967)</f>
        <v>30</v>
      </c>
      <c r="B967" s="72" t="str">
        <f ca="1">IF(D967="Inativo","Inativo",VLOOKUP($S967,Conf!$K:$M,2,0))</f>
        <v>DEPOSITO</v>
      </c>
      <c r="C967" s="72" t="str">
        <f ca="1">IF(D967="Inativo","Inativo",IFERROR(VLOOKUP($G967,Conf!$F$19:$G$39,2,0),VLOOKUP($S967,Conf!$K:$M,3,0)))</f>
        <v>CONFERENTE</v>
      </c>
      <c r="D967" s="72" t="str">
        <f ca="1">IFERROR(IF(TODAY()-K967&gt;365,"Inativo",IF(J967=2,"Férias",IF(J967=7,"Demitido","Afastamento"))),VLOOKUP(J967,Conf!$H:$I,2,0))</f>
        <v>Ativos</v>
      </c>
      <c r="E967" s="71">
        <v>30</v>
      </c>
      <c r="F967" s="71">
        <v>304</v>
      </c>
      <c r="G967" s="71" t="s">
        <v>3196</v>
      </c>
      <c r="H967" s="71">
        <v>204</v>
      </c>
      <c r="I967" s="71" t="s">
        <v>1563</v>
      </c>
      <c r="J967" s="71">
        <v>1</v>
      </c>
      <c r="K967" s="71" t="s">
        <v>223</v>
      </c>
      <c r="L967" s="71" t="s">
        <v>3197</v>
      </c>
      <c r="M967" s="71" t="s">
        <v>1399</v>
      </c>
      <c r="N967" s="71">
        <v>11613113943</v>
      </c>
      <c r="Q967" s="71">
        <v>0</v>
      </c>
      <c r="R967" s="71" t="s">
        <v>3175</v>
      </c>
      <c r="S967" s="71" t="s">
        <v>3176</v>
      </c>
      <c r="T967" s="71" t="s">
        <v>3177</v>
      </c>
    </row>
    <row r="968" spans="1:20" x14ac:dyDescent="0.3">
      <c r="A968" s="72">
        <f>IFERROR(VLOOKUP($G968,Conf!$B:$C,2,0),E968)</f>
        <v>30</v>
      </c>
      <c r="B968" s="72" t="str">
        <f ca="1">IF(D968="Inativo","Inativo",VLOOKUP($S968,Conf!$K:$M,2,0))</f>
        <v>DEPOSITO</v>
      </c>
      <c r="C968" s="72" t="str">
        <f ca="1">IF(D968="Inativo","Inativo",IFERROR(VLOOKUP($G968,Conf!$F$19:$G$39,2,0),VLOOKUP($S968,Conf!$K:$M,3,0)))</f>
        <v>CONFERENTE</v>
      </c>
      <c r="D968" s="72" t="str">
        <f ca="1">IFERROR(IF(TODAY()-K968&gt;365,"Inativo",IF(J968=2,"Férias",IF(J968=7,"Demitido","Afastamento"))),VLOOKUP(J968,Conf!$H:$I,2,0))</f>
        <v>Ativos</v>
      </c>
      <c r="E968" s="71">
        <v>30</v>
      </c>
      <c r="F968" s="71">
        <v>180</v>
      </c>
      <c r="G968" s="71" t="s">
        <v>3198</v>
      </c>
      <c r="H968" s="71">
        <v>216</v>
      </c>
      <c r="I968" s="71" t="s">
        <v>3026</v>
      </c>
      <c r="J968" s="71">
        <v>1</v>
      </c>
      <c r="K968" s="71" t="s">
        <v>223</v>
      </c>
      <c r="L968" s="71" t="s">
        <v>3199</v>
      </c>
      <c r="M968" s="71" t="s">
        <v>250</v>
      </c>
      <c r="N968" s="71">
        <v>71119244102</v>
      </c>
      <c r="Q968" s="71">
        <v>0</v>
      </c>
      <c r="R968" s="71" t="s">
        <v>3165</v>
      </c>
      <c r="S968" s="71" t="s">
        <v>120</v>
      </c>
      <c r="T968" s="71" t="s">
        <v>3166</v>
      </c>
    </row>
    <row r="969" spans="1:20" x14ac:dyDescent="0.3">
      <c r="A969" s="72">
        <f>IFERROR(VLOOKUP($G969,Conf!$B:$C,2,0),E969)</f>
        <v>30</v>
      </c>
      <c r="B969" s="72" t="str">
        <f ca="1">IF(D969="Inativo","Inativo",VLOOKUP($S969,Conf!$K:$M,2,0))</f>
        <v>DEPOSITO</v>
      </c>
      <c r="C969" s="72" t="str">
        <f ca="1">IF(D969="Inativo","Inativo",IFERROR(VLOOKUP($G969,Conf!$F$19:$G$39,2,0),VLOOKUP($S969,Conf!$K:$M,3,0)))</f>
        <v>CONFERENTE</v>
      </c>
      <c r="D969" s="72" t="str">
        <f ca="1">IFERROR(IF(TODAY()-K969&gt;365,"Inativo",IF(J969=2,"Férias",IF(J969=7,"Demitido","Afastamento"))),VLOOKUP(J969,Conf!$H:$I,2,0))</f>
        <v>Ativos</v>
      </c>
      <c r="E969" s="71">
        <v>30</v>
      </c>
      <c r="F969" s="71">
        <v>250</v>
      </c>
      <c r="G969" s="71" t="s">
        <v>3200</v>
      </c>
      <c r="H969" s="71">
        <v>1129</v>
      </c>
      <c r="I969" s="71" t="s">
        <v>339</v>
      </c>
      <c r="J969" s="71">
        <v>1</v>
      </c>
      <c r="K969" s="71" t="s">
        <v>223</v>
      </c>
      <c r="L969" s="71" t="s">
        <v>3201</v>
      </c>
      <c r="M969" s="71" t="s">
        <v>3202</v>
      </c>
      <c r="N969" s="71">
        <v>93498527991</v>
      </c>
      <c r="Q969" s="71">
        <v>0</v>
      </c>
      <c r="R969" s="71" t="s">
        <v>3187</v>
      </c>
      <c r="S969" s="71" t="s">
        <v>3188</v>
      </c>
      <c r="T969" s="71" t="s">
        <v>3189</v>
      </c>
    </row>
    <row r="970" spans="1:20" x14ac:dyDescent="0.3">
      <c r="A970" s="72">
        <f>IFERROR(VLOOKUP($G970,Conf!$B:$C,2,0),E970)</f>
        <v>30</v>
      </c>
      <c r="B970" s="72" t="str">
        <f ca="1">IF(D970="Inativo","Inativo",VLOOKUP($S970,Conf!$K:$M,2,0))</f>
        <v>DEPOSITO</v>
      </c>
      <c r="C970" s="72" t="str">
        <f ca="1">IF(D970="Inativo","Inativo",IFERROR(VLOOKUP($G970,Conf!$F$19:$G$39,2,0),VLOOKUP($S970,Conf!$K:$M,3,0)))</f>
        <v>CONFERENTE</v>
      </c>
      <c r="D970" s="72" t="str">
        <f ca="1">IFERROR(IF(TODAY()-K970&gt;365,"Inativo",IF(J970=2,"Férias",IF(J970=7,"Demitido","Afastamento"))),VLOOKUP(J970,Conf!$H:$I,2,0))</f>
        <v>Ativos</v>
      </c>
      <c r="E970" s="71">
        <v>30</v>
      </c>
      <c r="F970" s="71">
        <v>328</v>
      </c>
      <c r="G970" s="71" t="s">
        <v>3203</v>
      </c>
      <c r="H970" s="71">
        <v>218</v>
      </c>
      <c r="I970" s="71" t="s">
        <v>3204</v>
      </c>
      <c r="J970" s="71">
        <v>1</v>
      </c>
      <c r="K970" s="71" t="s">
        <v>223</v>
      </c>
      <c r="L970" s="71" t="s">
        <v>3205</v>
      </c>
      <c r="M970" s="71" t="s">
        <v>3206</v>
      </c>
      <c r="N970" s="71">
        <v>9449172919</v>
      </c>
      <c r="Q970" s="71">
        <v>0</v>
      </c>
      <c r="R970" s="71" t="s">
        <v>3187</v>
      </c>
      <c r="S970" s="71" t="s">
        <v>3188</v>
      </c>
      <c r="T970" s="71" t="s">
        <v>3189</v>
      </c>
    </row>
    <row r="971" spans="1:20" x14ac:dyDescent="0.3">
      <c r="A971" s="72">
        <f>IFERROR(VLOOKUP($G971,Conf!$B:$C,2,0),E971)</f>
        <v>30</v>
      </c>
      <c r="B971" s="72" t="str">
        <f ca="1">IF(D971="Inativo","Inativo",VLOOKUP($S971,Conf!$K:$M,2,0))</f>
        <v>DEPOSITO</v>
      </c>
      <c r="C971" s="72" t="str">
        <f ca="1">IF(D971="Inativo","Inativo",IFERROR(VLOOKUP($G971,Conf!$F$19:$G$39,2,0),VLOOKUP($S971,Conf!$K:$M,3,0)))</f>
        <v>CONFERENTE</v>
      </c>
      <c r="D971" s="72" t="str">
        <f ca="1">IFERROR(IF(TODAY()-K971&gt;365,"Inativo",IF(J971=2,"Férias",IF(J971=7,"Demitido","Afastamento"))),VLOOKUP(J971,Conf!$H:$I,2,0))</f>
        <v>Demitido</v>
      </c>
      <c r="E971" s="71">
        <v>30</v>
      </c>
      <c r="F971" s="71">
        <v>230</v>
      </c>
      <c r="G971" s="71" t="s">
        <v>3207</v>
      </c>
      <c r="H971" s="71">
        <v>86</v>
      </c>
      <c r="I971" s="71" t="s">
        <v>945</v>
      </c>
      <c r="J971" s="71">
        <v>7</v>
      </c>
      <c r="K971" s="71" t="s">
        <v>3045</v>
      </c>
      <c r="L971" s="71" t="s">
        <v>419</v>
      </c>
      <c r="M971" s="71" t="s">
        <v>3208</v>
      </c>
      <c r="N971" s="71">
        <v>8455173920</v>
      </c>
      <c r="Q971" s="71">
        <v>0</v>
      </c>
      <c r="R971" s="71" t="s">
        <v>3175</v>
      </c>
      <c r="S971" s="71" t="s">
        <v>3176</v>
      </c>
      <c r="T971" s="71" t="s">
        <v>3177</v>
      </c>
    </row>
    <row r="972" spans="1:20" x14ac:dyDescent="0.3">
      <c r="A972" s="72">
        <f>IFERROR(VLOOKUP($G972,Conf!$B:$C,2,0),E972)</f>
        <v>30</v>
      </c>
      <c r="B972" s="72" t="str">
        <f ca="1">IF(D972="Inativo","Inativo",VLOOKUP($S972,Conf!$K:$M,2,0))</f>
        <v>DEPOSITO</v>
      </c>
      <c r="C972" s="72" t="str">
        <f ca="1">IF(D972="Inativo","Inativo",IFERROR(VLOOKUP($G972,Conf!$F$19:$G$39,2,0),VLOOKUP($S972,Conf!$K:$M,3,0)))</f>
        <v>CONFERENTE</v>
      </c>
      <c r="D972" s="72" t="str">
        <f ca="1">IFERROR(IF(TODAY()-K972&gt;365,"Inativo",IF(J972=2,"Férias",IF(J972=7,"Demitido","Afastamento"))),VLOOKUP(J972,Conf!$H:$I,2,0))</f>
        <v>Ativos</v>
      </c>
      <c r="E972" s="71">
        <v>30</v>
      </c>
      <c r="F972" s="71">
        <v>112</v>
      </c>
      <c r="G972" s="71" t="s">
        <v>3209</v>
      </c>
      <c r="H972" s="71">
        <v>92</v>
      </c>
      <c r="I972" s="71" t="s">
        <v>1553</v>
      </c>
      <c r="J972" s="71">
        <v>1</v>
      </c>
      <c r="K972" s="71" t="s">
        <v>223</v>
      </c>
      <c r="L972" s="71" t="s">
        <v>3210</v>
      </c>
      <c r="M972" s="71" t="s">
        <v>942</v>
      </c>
      <c r="N972" s="71">
        <v>83405682991</v>
      </c>
      <c r="Q972" s="71">
        <v>0</v>
      </c>
      <c r="R972" s="71" t="s">
        <v>3187</v>
      </c>
      <c r="S972" s="71" t="s">
        <v>3188</v>
      </c>
      <c r="T972" s="71" t="s">
        <v>3189</v>
      </c>
    </row>
    <row r="973" spans="1:20" x14ac:dyDescent="0.3">
      <c r="A973" s="72">
        <f>IFERROR(VLOOKUP($G973,Conf!$B:$C,2,0),E973)</f>
        <v>30</v>
      </c>
      <c r="B973" s="72" t="str">
        <f ca="1">IF(D973="Inativo","Inativo",VLOOKUP($S973,Conf!$K:$M,2,0))</f>
        <v>DEPOSITO</v>
      </c>
      <c r="C973" s="72" t="str">
        <f ca="1">IF(D973="Inativo","Inativo",IFERROR(VLOOKUP($G973,Conf!$F$19:$G$39,2,0),VLOOKUP($S973,Conf!$K:$M,3,0)))</f>
        <v>CONFERENTE</v>
      </c>
      <c r="D973" s="72" t="str">
        <f ca="1">IFERROR(IF(TODAY()-K973&gt;365,"Inativo",IF(J973=2,"Férias",IF(J973=7,"Demitido","Afastamento"))),VLOOKUP(J973,Conf!$H:$I,2,0))</f>
        <v>Ativos</v>
      </c>
      <c r="E973" s="71">
        <v>30</v>
      </c>
      <c r="F973" s="71">
        <v>119</v>
      </c>
      <c r="G973" s="71" t="s">
        <v>3211</v>
      </c>
      <c r="H973" s="71">
        <v>206</v>
      </c>
      <c r="I973" s="71" t="s">
        <v>2901</v>
      </c>
      <c r="J973" s="71">
        <v>1</v>
      </c>
      <c r="K973" s="71" t="s">
        <v>223</v>
      </c>
      <c r="L973" s="71" t="s">
        <v>3212</v>
      </c>
      <c r="M973" s="71" t="s">
        <v>349</v>
      </c>
      <c r="N973" s="71">
        <v>97979457900</v>
      </c>
      <c r="Q973" s="71">
        <v>0</v>
      </c>
      <c r="R973" s="71" t="s">
        <v>3213</v>
      </c>
      <c r="S973" s="71" t="s">
        <v>3214</v>
      </c>
      <c r="T973" s="71" t="s">
        <v>3215</v>
      </c>
    </row>
    <row r="974" spans="1:20" x14ac:dyDescent="0.3">
      <c r="A974" s="72">
        <f>IFERROR(VLOOKUP($G974,Conf!$B:$C,2,0),E974)</f>
        <v>30</v>
      </c>
      <c r="B974" s="72" t="str">
        <f ca="1">IF(D974="Inativo","Inativo",VLOOKUP($S974,Conf!$K:$M,2,0))</f>
        <v>DEPOSITO</v>
      </c>
      <c r="C974" s="72" t="str">
        <f ca="1">IF(D974="Inativo","Inativo",IFERROR(VLOOKUP($G974,Conf!$F$19:$G$39,2,0),VLOOKUP($S974,Conf!$K:$M,3,0)))</f>
        <v>CONFERENTE</v>
      </c>
      <c r="D974" s="72" t="str">
        <f ca="1">IFERROR(IF(TODAY()-K974&gt;365,"Inativo",IF(J974=2,"Férias",IF(J974=7,"Demitido","Afastamento"))),VLOOKUP(J974,Conf!$H:$I,2,0))</f>
        <v>Ativos</v>
      </c>
      <c r="E974" s="71">
        <v>30</v>
      </c>
      <c r="F974" s="71">
        <v>80</v>
      </c>
      <c r="G974" s="71" t="s">
        <v>3216</v>
      </c>
      <c r="H974" s="71">
        <v>216</v>
      </c>
      <c r="I974" s="71" t="s">
        <v>3026</v>
      </c>
      <c r="J974" s="71">
        <v>1</v>
      </c>
      <c r="K974" s="71" t="s">
        <v>223</v>
      </c>
      <c r="L974" s="71" t="s">
        <v>3217</v>
      </c>
      <c r="M974" s="71" t="s">
        <v>3218</v>
      </c>
      <c r="N974" s="71">
        <v>9984359964</v>
      </c>
      <c r="Q974" s="71">
        <v>0</v>
      </c>
      <c r="R974" s="71" t="s">
        <v>3165</v>
      </c>
      <c r="S974" s="71" t="s">
        <v>120</v>
      </c>
      <c r="T974" s="71" t="s">
        <v>3166</v>
      </c>
    </row>
    <row r="975" spans="1:20" x14ac:dyDescent="0.3">
      <c r="A975" s="72">
        <f>IFERROR(VLOOKUP($G975,Conf!$B:$C,2,0),E975)</f>
        <v>30</v>
      </c>
      <c r="B975" s="72" t="str">
        <f ca="1">IF(D975="Inativo","Inativo",VLOOKUP($S975,Conf!$K:$M,2,0))</f>
        <v>DEPOSITO</v>
      </c>
      <c r="C975" s="72" t="str">
        <f ca="1">IF(D975="Inativo","Inativo",IFERROR(VLOOKUP($G975,Conf!$F$19:$G$39,2,0),VLOOKUP($S975,Conf!$K:$M,3,0)))</f>
        <v>CONFERENTE</v>
      </c>
      <c r="D975" s="72" t="str">
        <f ca="1">IFERROR(IF(TODAY()-K975&gt;365,"Inativo",IF(J975=2,"Férias",IF(J975=7,"Demitido","Afastamento"))),VLOOKUP(J975,Conf!$H:$I,2,0))</f>
        <v>Ativos</v>
      </c>
      <c r="E975" s="71">
        <v>30</v>
      </c>
      <c r="F975" s="71">
        <v>363</v>
      </c>
      <c r="G975" s="71" t="s">
        <v>3219</v>
      </c>
      <c r="H975" s="71">
        <v>204</v>
      </c>
      <c r="I975" s="71" t="s">
        <v>1563</v>
      </c>
      <c r="J975" s="71">
        <v>1</v>
      </c>
      <c r="K975" s="71" t="s">
        <v>223</v>
      </c>
      <c r="L975" s="71" t="s">
        <v>3220</v>
      </c>
      <c r="M975" s="71" t="s">
        <v>3221</v>
      </c>
      <c r="N975" s="71">
        <v>7137600956</v>
      </c>
      <c r="Q975" s="71">
        <v>0</v>
      </c>
      <c r="R975" s="71" t="s">
        <v>3187</v>
      </c>
      <c r="S975" s="71" t="s">
        <v>3188</v>
      </c>
      <c r="T975" s="71" t="s">
        <v>3189</v>
      </c>
    </row>
    <row r="976" spans="1:20" x14ac:dyDescent="0.3">
      <c r="A976" s="72">
        <f>IFERROR(VLOOKUP($G976,Conf!$B:$C,2,0),E976)</f>
        <v>30</v>
      </c>
      <c r="B976" s="72" t="str">
        <f ca="1">IF(D976="Inativo","Inativo",VLOOKUP($S976,Conf!$K:$M,2,0))</f>
        <v>DEPOSITO</v>
      </c>
      <c r="C976" s="72" t="str">
        <f ca="1">IF(D976="Inativo","Inativo",IFERROR(VLOOKUP($G976,Conf!$F$19:$G$39,2,0),VLOOKUP($S976,Conf!$K:$M,3,0)))</f>
        <v>EMPILHADEIRA</v>
      </c>
      <c r="D976" s="72" t="str">
        <f ca="1">IFERROR(IF(TODAY()-K976&gt;365,"Inativo",IF(J976=2,"Férias",IF(J976=7,"Demitido","Afastamento"))),VLOOKUP(J976,Conf!$H:$I,2,0))</f>
        <v>Ativos</v>
      </c>
      <c r="E976" s="71">
        <v>30</v>
      </c>
      <c r="F976" s="71">
        <v>21</v>
      </c>
      <c r="G976" s="71" t="s">
        <v>3222</v>
      </c>
      <c r="H976" s="71">
        <v>216</v>
      </c>
      <c r="I976" s="71" t="s">
        <v>3026</v>
      </c>
      <c r="J976" s="71">
        <v>1</v>
      </c>
      <c r="K976" s="71" t="s">
        <v>223</v>
      </c>
      <c r="L976" s="71" t="s">
        <v>3223</v>
      </c>
      <c r="M976" s="71" t="s">
        <v>3224</v>
      </c>
      <c r="N976" s="71">
        <v>3589926996</v>
      </c>
      <c r="Q976" s="71">
        <v>0</v>
      </c>
      <c r="R976" s="71" t="s">
        <v>3225</v>
      </c>
      <c r="S976" s="71" t="s">
        <v>3226</v>
      </c>
      <c r="T976" s="71" t="s">
        <v>3227</v>
      </c>
    </row>
    <row r="977" spans="1:20" x14ac:dyDescent="0.3">
      <c r="A977" s="72">
        <f>IFERROR(VLOOKUP($G977,Conf!$B:$C,2,0),E977)</f>
        <v>30</v>
      </c>
      <c r="B977" s="72" t="str">
        <f ca="1">IF(D977="Inativo","Inativo",VLOOKUP($S977,Conf!$K:$M,2,0))</f>
        <v>DEPOSITO</v>
      </c>
      <c r="C977" s="72" t="str">
        <f ca="1">IF(D977="Inativo","Inativo",IFERROR(VLOOKUP($G977,Conf!$F$19:$G$39,2,0),VLOOKUP($S977,Conf!$K:$M,3,0)))</f>
        <v>EMPILHADEIRA</v>
      </c>
      <c r="D977" s="72" t="str">
        <f ca="1">IFERROR(IF(TODAY()-K977&gt;365,"Inativo",IF(J977=2,"Férias",IF(J977=7,"Demitido","Afastamento"))),VLOOKUP(J977,Conf!$H:$I,2,0))</f>
        <v>Ativos</v>
      </c>
      <c r="E977" s="71">
        <v>30</v>
      </c>
      <c r="F977" s="71">
        <v>399</v>
      </c>
      <c r="G977" s="71" t="s">
        <v>3228</v>
      </c>
      <c r="H977" s="71">
        <v>86</v>
      </c>
      <c r="I977" s="71" t="s">
        <v>945</v>
      </c>
      <c r="J977" s="71">
        <v>1</v>
      </c>
      <c r="K977" s="71" t="s">
        <v>223</v>
      </c>
      <c r="L977" s="71" t="s">
        <v>3229</v>
      </c>
      <c r="M977" s="71" t="s">
        <v>460</v>
      </c>
      <c r="N977" s="71">
        <v>12053735945</v>
      </c>
      <c r="O977" s="71" t="s">
        <v>245</v>
      </c>
      <c r="P977" s="71" t="s">
        <v>246</v>
      </c>
      <c r="Q977" s="71">
        <v>0</v>
      </c>
      <c r="R977" s="71" t="s">
        <v>3230</v>
      </c>
      <c r="S977" s="71" t="s">
        <v>3231</v>
      </c>
      <c r="T977" s="71" t="s">
        <v>3232</v>
      </c>
    </row>
    <row r="978" spans="1:20" x14ac:dyDescent="0.3">
      <c r="A978" s="72">
        <f>IFERROR(VLOOKUP($G978,Conf!$B:$C,2,0),E978)</f>
        <v>30</v>
      </c>
      <c r="B978" s="72" t="str">
        <f ca="1">IF(D978="Inativo","Inativo",VLOOKUP($S978,Conf!$K:$M,2,0))</f>
        <v>DEPOSITO</v>
      </c>
      <c r="C978" s="72" t="str">
        <f ca="1">IF(D978="Inativo","Inativo",IFERROR(VLOOKUP($G978,Conf!$F$19:$G$39,2,0),VLOOKUP($S978,Conf!$K:$M,3,0)))</f>
        <v>EMPILHADEIRA</v>
      </c>
      <c r="D978" s="72" t="str">
        <f ca="1">IFERROR(IF(TODAY()-K978&gt;365,"Inativo",IF(J978=2,"Férias",IF(J978=7,"Demitido","Afastamento"))),VLOOKUP(J978,Conf!$H:$I,2,0))</f>
        <v>Ativos</v>
      </c>
      <c r="E978" s="71">
        <v>30</v>
      </c>
      <c r="F978" s="71">
        <v>264</v>
      </c>
      <c r="G978" s="71" t="s">
        <v>3233</v>
      </c>
      <c r="H978" s="71">
        <v>92</v>
      </c>
      <c r="I978" s="71" t="s">
        <v>1553</v>
      </c>
      <c r="J978" s="71">
        <v>1</v>
      </c>
      <c r="K978" s="71" t="s">
        <v>223</v>
      </c>
      <c r="L978" s="71" t="s">
        <v>3234</v>
      </c>
      <c r="M978" s="71" t="s">
        <v>315</v>
      </c>
      <c r="N978" s="71">
        <v>962839981</v>
      </c>
      <c r="Q978" s="71">
        <v>0</v>
      </c>
      <c r="R978" s="71" t="s">
        <v>3230</v>
      </c>
      <c r="S978" s="71" t="s">
        <v>3231</v>
      </c>
      <c r="T978" s="71" t="s">
        <v>3232</v>
      </c>
    </row>
    <row r="979" spans="1:20" x14ac:dyDescent="0.3">
      <c r="A979" s="72">
        <f>IFERROR(VLOOKUP($G979,Conf!$B:$C,2,0),E979)</f>
        <v>30</v>
      </c>
      <c r="B979" s="72" t="str">
        <f ca="1">IF(D979="Inativo","Inativo",VLOOKUP($S979,Conf!$K:$M,2,0))</f>
        <v>DEPOSITO</v>
      </c>
      <c r="C979" s="72" t="str">
        <f ca="1">IF(D979="Inativo","Inativo",IFERROR(VLOOKUP($G979,Conf!$F$19:$G$39,2,0),VLOOKUP($S979,Conf!$K:$M,3,0)))</f>
        <v>EMPILHADEIRA</v>
      </c>
      <c r="D979" s="72" t="str">
        <f ca="1">IFERROR(IF(TODAY()-K979&gt;365,"Inativo",IF(J979=2,"Férias",IF(J979=7,"Demitido","Afastamento"))),VLOOKUP(J979,Conf!$H:$I,2,0))</f>
        <v>Demitido</v>
      </c>
      <c r="E979" s="71">
        <v>30</v>
      </c>
      <c r="F979" s="71">
        <v>392</v>
      </c>
      <c r="G979" s="71" t="s">
        <v>3235</v>
      </c>
      <c r="H979" s="71">
        <v>92</v>
      </c>
      <c r="I979" s="71" t="s">
        <v>1553</v>
      </c>
      <c r="J979" s="71">
        <v>7</v>
      </c>
      <c r="K979" s="71" t="s">
        <v>1117</v>
      </c>
      <c r="L979" s="71" t="s">
        <v>3236</v>
      </c>
      <c r="M979" s="71" t="s">
        <v>2075</v>
      </c>
      <c r="N979" s="71">
        <v>83405860920</v>
      </c>
      <c r="O979" s="71" t="s">
        <v>245</v>
      </c>
      <c r="P979" s="71" t="s">
        <v>246</v>
      </c>
      <c r="Q979" s="71">
        <v>0</v>
      </c>
      <c r="R979" s="71" t="s">
        <v>3230</v>
      </c>
      <c r="S979" s="71" t="s">
        <v>3231</v>
      </c>
      <c r="T979" s="71" t="s">
        <v>3232</v>
      </c>
    </row>
    <row r="980" spans="1:20" x14ac:dyDescent="0.3">
      <c r="A980" s="72">
        <f>IFERROR(VLOOKUP($G980,Conf!$B:$C,2,0),E980)</f>
        <v>30</v>
      </c>
      <c r="B980" s="72" t="str">
        <f ca="1">IF(D980="Inativo","Inativo",VLOOKUP($S980,Conf!$K:$M,2,0))</f>
        <v>DEPOSITO</v>
      </c>
      <c r="C980" s="72" t="str">
        <f ca="1">IF(D980="Inativo","Inativo",IFERROR(VLOOKUP($G980,Conf!$F$19:$G$39,2,0),VLOOKUP($S980,Conf!$K:$M,3,0)))</f>
        <v>EMPILHADEIRA</v>
      </c>
      <c r="D980" s="72" t="str">
        <f ca="1">IFERROR(IF(TODAY()-K980&gt;365,"Inativo",IF(J980=2,"Férias",IF(J980=7,"Demitido","Afastamento"))),VLOOKUP(J980,Conf!$H:$I,2,0))</f>
        <v>Ativos</v>
      </c>
      <c r="E980" s="71">
        <v>30</v>
      </c>
      <c r="F980" s="71">
        <v>50</v>
      </c>
      <c r="G980" s="71" t="s">
        <v>3237</v>
      </c>
      <c r="H980" s="71">
        <v>216</v>
      </c>
      <c r="I980" s="71" t="s">
        <v>3026</v>
      </c>
      <c r="J980" s="71">
        <v>1</v>
      </c>
      <c r="K980" s="71" t="s">
        <v>223</v>
      </c>
      <c r="L980" s="71" t="s">
        <v>3238</v>
      </c>
      <c r="M980" s="71" t="s">
        <v>3239</v>
      </c>
      <c r="N980" s="71">
        <v>9258224930</v>
      </c>
      <c r="Q980" s="71">
        <v>0</v>
      </c>
      <c r="R980" s="71" t="s">
        <v>3225</v>
      </c>
      <c r="S980" s="71" t="s">
        <v>3226</v>
      </c>
      <c r="T980" s="71" t="s">
        <v>3227</v>
      </c>
    </row>
    <row r="981" spans="1:20" x14ac:dyDescent="0.3">
      <c r="A981" s="72">
        <f>IFERROR(VLOOKUP($G981,Conf!$B:$C,2,0),E981)</f>
        <v>30</v>
      </c>
      <c r="B981" s="72" t="str">
        <f ca="1">IF(D981="Inativo","Inativo",VLOOKUP($S981,Conf!$K:$M,2,0))</f>
        <v>DEPOSITO</v>
      </c>
      <c r="C981" s="72" t="str">
        <f ca="1">IF(D981="Inativo","Inativo",IFERROR(VLOOKUP($G981,Conf!$F$19:$G$39,2,0),VLOOKUP($S981,Conf!$K:$M,3,0)))</f>
        <v>EMPILHADEIRA</v>
      </c>
      <c r="D981" s="72" t="str">
        <f ca="1">IFERROR(IF(TODAY()-K981&gt;365,"Inativo",IF(J981=2,"Férias",IF(J981=7,"Demitido","Afastamento"))),VLOOKUP(J981,Conf!$H:$I,2,0))</f>
        <v>Férias</v>
      </c>
      <c r="E981" s="71">
        <v>30</v>
      </c>
      <c r="F981" s="71">
        <v>117</v>
      </c>
      <c r="G981" s="71" t="s">
        <v>3240</v>
      </c>
      <c r="H981" s="71">
        <v>9</v>
      </c>
      <c r="I981" s="71" t="s">
        <v>945</v>
      </c>
      <c r="J981" s="71">
        <v>2</v>
      </c>
      <c r="K981" s="71" t="s">
        <v>471</v>
      </c>
      <c r="L981" s="71" t="s">
        <v>3241</v>
      </c>
      <c r="M981" s="71" t="s">
        <v>3242</v>
      </c>
      <c r="N981" s="71">
        <v>3199066984</v>
      </c>
      <c r="Q981" s="71">
        <v>0</v>
      </c>
      <c r="R981" s="71" t="s">
        <v>3230</v>
      </c>
      <c r="S981" s="71" t="s">
        <v>3231</v>
      </c>
      <c r="T981" s="71" t="s">
        <v>3232</v>
      </c>
    </row>
    <row r="982" spans="1:20" x14ac:dyDescent="0.3">
      <c r="A982" s="72">
        <f>IFERROR(VLOOKUP($G982,Conf!$B:$C,2,0),E982)</f>
        <v>30</v>
      </c>
      <c r="B982" s="72" t="str">
        <f ca="1">IF(D982="Inativo","Inativo",VLOOKUP($S982,Conf!$K:$M,2,0))</f>
        <v>DEPOSITO</v>
      </c>
      <c r="C982" s="72" t="str">
        <f ca="1">IF(D982="Inativo","Inativo",IFERROR(VLOOKUP($G982,Conf!$F$19:$G$39,2,0),VLOOKUP($S982,Conf!$K:$M,3,0)))</f>
        <v>EMPILHADEIRA</v>
      </c>
      <c r="D982" s="72" t="str">
        <f ca="1">IFERROR(IF(TODAY()-K982&gt;365,"Inativo",IF(J982=2,"Férias",IF(J982=7,"Demitido","Afastamento"))),VLOOKUP(J982,Conf!$H:$I,2,0))</f>
        <v>Ativos</v>
      </c>
      <c r="E982" s="71">
        <v>30</v>
      </c>
      <c r="F982" s="71">
        <v>211</v>
      </c>
      <c r="G982" s="71" t="s">
        <v>3243</v>
      </c>
      <c r="H982" s="71">
        <v>9</v>
      </c>
      <c r="I982" s="71" t="s">
        <v>945</v>
      </c>
      <c r="J982" s="71">
        <v>1</v>
      </c>
      <c r="K982" s="71" t="s">
        <v>223</v>
      </c>
      <c r="L982" s="71" t="s">
        <v>3244</v>
      </c>
      <c r="M982" s="71" t="s">
        <v>3245</v>
      </c>
      <c r="N982" s="71">
        <v>11501309978</v>
      </c>
      <c r="Q982" s="71">
        <v>0</v>
      </c>
      <c r="R982" s="71" t="s">
        <v>3230</v>
      </c>
      <c r="S982" s="71" t="s">
        <v>3231</v>
      </c>
      <c r="T982" s="71" t="s">
        <v>3232</v>
      </c>
    </row>
    <row r="983" spans="1:20" x14ac:dyDescent="0.3">
      <c r="A983" s="72">
        <f>IFERROR(VLOOKUP($G983,Conf!$B:$C,2,0),E983)</f>
        <v>30</v>
      </c>
      <c r="B983" s="72" t="str">
        <f ca="1">IF(D983="Inativo","Inativo",VLOOKUP($S983,Conf!$K:$M,2,0))</f>
        <v>DEPOSITO</v>
      </c>
      <c r="C983" s="72" t="str">
        <f ca="1">IF(D983="Inativo","Inativo",IFERROR(VLOOKUP($G983,Conf!$F$19:$G$39,2,0),VLOOKUP($S983,Conf!$K:$M,3,0)))</f>
        <v>EMPILHADEIRA</v>
      </c>
      <c r="D983" s="72" t="str">
        <f ca="1">IFERROR(IF(TODAY()-K983&gt;365,"Inativo",IF(J983=2,"Férias",IF(J983=7,"Demitido","Afastamento"))),VLOOKUP(J983,Conf!$H:$I,2,0))</f>
        <v>Férias</v>
      </c>
      <c r="E983" s="71">
        <v>30</v>
      </c>
      <c r="F983" s="71">
        <v>139</v>
      </c>
      <c r="G983" s="71" t="s">
        <v>3246</v>
      </c>
      <c r="H983" s="71">
        <v>216</v>
      </c>
      <c r="I983" s="71" t="s">
        <v>3026</v>
      </c>
      <c r="J983" s="71">
        <v>2</v>
      </c>
      <c r="K983" s="71" t="s">
        <v>231</v>
      </c>
      <c r="L983" s="71" t="s">
        <v>3247</v>
      </c>
      <c r="M983" s="71" t="s">
        <v>1399</v>
      </c>
      <c r="N983" s="71">
        <v>75181940900</v>
      </c>
      <c r="Q983" s="71">
        <v>0</v>
      </c>
      <c r="R983" s="71" t="s">
        <v>3225</v>
      </c>
      <c r="S983" s="71" t="s">
        <v>3226</v>
      </c>
      <c r="T983" s="71" t="s">
        <v>3227</v>
      </c>
    </row>
    <row r="984" spans="1:20" x14ac:dyDescent="0.3">
      <c r="A984" s="72">
        <f>IFERROR(VLOOKUP($G984,Conf!$B:$C,2,0),E984)</f>
        <v>30</v>
      </c>
      <c r="B984" s="72" t="str">
        <f ca="1">IF(D984="Inativo","Inativo",VLOOKUP($S984,Conf!$K:$M,2,0))</f>
        <v>DEPOSITO</v>
      </c>
      <c r="C984" s="72" t="str">
        <f ca="1">IF(D984="Inativo","Inativo",IFERROR(VLOOKUP($G984,Conf!$F$19:$G$39,2,0),VLOOKUP($S984,Conf!$K:$M,3,0)))</f>
        <v>ENCARREGADO</v>
      </c>
      <c r="D984" s="72" t="str">
        <f ca="1">IFERROR(IF(TODAY()-K984&gt;365,"Inativo",IF(J984=2,"Férias",IF(J984=7,"Demitido","Afastamento"))),VLOOKUP(J984,Conf!$H:$I,2,0))</f>
        <v>Ativos</v>
      </c>
      <c r="E984" s="71">
        <v>30</v>
      </c>
      <c r="F984" s="71">
        <v>24</v>
      </c>
      <c r="G984" s="71" t="s">
        <v>3248</v>
      </c>
      <c r="H984" s="71">
        <v>216</v>
      </c>
      <c r="I984" s="71" t="s">
        <v>3026</v>
      </c>
      <c r="J984" s="71">
        <v>1</v>
      </c>
      <c r="K984" s="71" t="s">
        <v>223</v>
      </c>
      <c r="L984" s="71" t="s">
        <v>3249</v>
      </c>
      <c r="M984" s="71" t="s">
        <v>3250</v>
      </c>
      <c r="N984" s="71">
        <v>9688120901</v>
      </c>
      <c r="Q984" s="71">
        <v>0</v>
      </c>
      <c r="R984" s="71" t="s">
        <v>3251</v>
      </c>
      <c r="S984" s="71" t="s">
        <v>3252</v>
      </c>
      <c r="T984" s="71" t="s">
        <v>3253</v>
      </c>
    </row>
    <row r="985" spans="1:20" x14ac:dyDescent="0.3">
      <c r="A985" s="72">
        <f>IFERROR(VLOOKUP($G985,Conf!$B:$C,2,0),E985)</f>
        <v>30</v>
      </c>
      <c r="B985" s="72" t="str">
        <f ca="1">IF(D985="Inativo","Inativo",VLOOKUP($S985,Conf!$K:$M,2,0))</f>
        <v>DEPOSITO</v>
      </c>
      <c r="C985" s="72" t="str">
        <f ca="1">IF(D985="Inativo","Inativo",IFERROR(VLOOKUP($G985,Conf!$F$19:$G$39,2,0),VLOOKUP($S985,Conf!$K:$M,3,0)))</f>
        <v>ENCARREGADO</v>
      </c>
      <c r="D985" s="72" t="str">
        <f ca="1">IFERROR(IF(TODAY()-K985&gt;365,"Inativo",IF(J985=2,"Férias",IF(J985=7,"Demitido","Afastamento"))),VLOOKUP(J985,Conf!$H:$I,2,0))</f>
        <v>Ativos</v>
      </c>
      <c r="E985" s="71">
        <v>30</v>
      </c>
      <c r="F985" s="71">
        <v>313</v>
      </c>
      <c r="G985" s="71" t="s">
        <v>3254</v>
      </c>
      <c r="H985" s="71">
        <v>207</v>
      </c>
      <c r="I985" s="71" t="s">
        <v>1563</v>
      </c>
      <c r="J985" s="71">
        <v>1</v>
      </c>
      <c r="K985" s="71" t="s">
        <v>223</v>
      </c>
      <c r="L985" s="71" t="s">
        <v>3255</v>
      </c>
      <c r="M985" s="71" t="s">
        <v>1300</v>
      </c>
      <c r="N985" s="71">
        <v>3712351976</v>
      </c>
      <c r="Q985" s="71">
        <v>0</v>
      </c>
      <c r="R985" s="71" t="s">
        <v>3256</v>
      </c>
      <c r="S985" s="71" t="s">
        <v>3257</v>
      </c>
      <c r="T985" s="71" t="s">
        <v>3258</v>
      </c>
    </row>
    <row r="986" spans="1:20" x14ac:dyDescent="0.3">
      <c r="A986" s="72">
        <f>IFERROR(VLOOKUP($G986,Conf!$B:$C,2,0),E986)</f>
        <v>30</v>
      </c>
      <c r="B986" s="72" t="str">
        <f ca="1">IF(D986="Inativo","Inativo",VLOOKUP($S986,Conf!$K:$M,2,0))</f>
        <v>DEPOSITO</v>
      </c>
      <c r="C986" s="72" t="str">
        <f ca="1">IF(D986="Inativo","Inativo",IFERROR(VLOOKUP($G986,Conf!$F$19:$G$39,2,0),VLOOKUP($S986,Conf!$K:$M,3,0)))</f>
        <v>GERENTE</v>
      </c>
      <c r="D986" s="72" t="str">
        <f ca="1">IFERROR(IF(TODAY()-K986&gt;365,"Inativo",IF(J986=2,"Férias",IF(J986=7,"Demitido","Afastamento"))),VLOOKUP(J986,Conf!$H:$I,2,0))</f>
        <v>Ativos</v>
      </c>
      <c r="E986" s="71">
        <v>30</v>
      </c>
      <c r="F986" s="71">
        <v>23</v>
      </c>
      <c r="G986" s="71" t="s">
        <v>3259</v>
      </c>
      <c r="H986" s="71">
        <v>216</v>
      </c>
      <c r="I986" s="71" t="s">
        <v>3026</v>
      </c>
      <c r="J986" s="71">
        <v>1</v>
      </c>
      <c r="K986" s="71" t="s">
        <v>223</v>
      </c>
      <c r="L986" s="71" t="s">
        <v>3260</v>
      </c>
      <c r="M986" s="71" t="s">
        <v>3250</v>
      </c>
      <c r="N986" s="71">
        <v>8706997929</v>
      </c>
      <c r="Q986" s="71">
        <v>0</v>
      </c>
      <c r="R986" s="71" t="s">
        <v>3261</v>
      </c>
      <c r="S986" s="71" t="s">
        <v>3262</v>
      </c>
      <c r="T986" s="71" t="s">
        <v>3263</v>
      </c>
    </row>
    <row r="987" spans="1:20" x14ac:dyDescent="0.3">
      <c r="A987" s="72">
        <f>IFERROR(VLOOKUP($G987,Conf!$B:$C,2,0),E987)</f>
        <v>30</v>
      </c>
      <c r="B987" s="72" t="str">
        <f ca="1">IF(D987="Inativo","Inativo",VLOOKUP($S987,Conf!$K:$M,2,0))</f>
        <v>DEPOSITO</v>
      </c>
      <c r="C987" s="72" t="str">
        <f ca="1">IF(D987="Inativo","Inativo",IFERROR(VLOOKUP($G987,Conf!$F$19:$G$39,2,0),VLOOKUP($S987,Conf!$K:$M,3,0)))</f>
        <v>ENCARREGADO</v>
      </c>
      <c r="D987" s="72" t="str">
        <f ca="1">IFERROR(IF(TODAY()-K987&gt;365,"Inativo",IF(J987=2,"Férias",IF(J987=7,"Demitido","Afastamento"))),VLOOKUP(J987,Conf!$H:$I,2,0))</f>
        <v>Ativos</v>
      </c>
      <c r="E987" s="71">
        <v>30</v>
      </c>
      <c r="F987" s="71">
        <v>360</v>
      </c>
      <c r="G987" s="71" t="s">
        <v>3264</v>
      </c>
      <c r="H987" s="71">
        <v>9</v>
      </c>
      <c r="I987" s="71" t="s">
        <v>945</v>
      </c>
      <c r="J987" s="71">
        <v>1</v>
      </c>
      <c r="K987" s="71" t="s">
        <v>223</v>
      </c>
      <c r="L987" s="71" t="s">
        <v>3265</v>
      </c>
      <c r="M987" s="71" t="s">
        <v>3266</v>
      </c>
      <c r="N987" s="71">
        <v>9762535936</v>
      </c>
      <c r="Q987" s="71">
        <v>0</v>
      </c>
      <c r="R987" s="71" t="s">
        <v>3267</v>
      </c>
      <c r="S987" s="71" t="s">
        <v>3268</v>
      </c>
      <c r="T987" s="71" t="s">
        <v>3269</v>
      </c>
    </row>
    <row r="988" spans="1:20" x14ac:dyDescent="0.3">
      <c r="A988" s="72">
        <f>IFERROR(VLOOKUP($G988,Conf!$B:$C,2,0),E988)</f>
        <v>30</v>
      </c>
      <c r="B988" s="72" t="str">
        <f ca="1">IF(D988="Inativo","Inativo",VLOOKUP($S988,Conf!$K:$M,2,0))</f>
        <v>DEPOSITO</v>
      </c>
      <c r="C988" s="72" t="str">
        <f ca="1">IF(D988="Inativo","Inativo",IFERROR(VLOOKUP($G988,Conf!$F$19:$G$39,2,0),VLOOKUP($S988,Conf!$K:$M,3,0)))</f>
        <v>GERENTE</v>
      </c>
      <c r="D988" s="72" t="str">
        <f ca="1">IFERROR(IF(TODAY()-K988&gt;365,"Inativo",IF(J988=2,"Férias",IF(J988=7,"Demitido","Afastamento"))),VLOOKUP(J988,Conf!$H:$I,2,0))</f>
        <v>Ativos</v>
      </c>
      <c r="E988" s="71">
        <v>30</v>
      </c>
      <c r="F988" s="71">
        <v>395</v>
      </c>
      <c r="G988" s="71" t="s">
        <v>3270</v>
      </c>
      <c r="H988" s="71">
        <v>12</v>
      </c>
      <c r="I988" s="71" t="s">
        <v>639</v>
      </c>
      <c r="J988" s="71">
        <v>1</v>
      </c>
      <c r="K988" s="71" t="s">
        <v>223</v>
      </c>
      <c r="L988" s="71" t="s">
        <v>3271</v>
      </c>
      <c r="M988" s="71" t="s">
        <v>2110</v>
      </c>
      <c r="N988" s="71">
        <v>10055756492</v>
      </c>
      <c r="O988" s="71" t="s">
        <v>245</v>
      </c>
      <c r="P988" s="71" t="s">
        <v>246</v>
      </c>
      <c r="Q988" s="71">
        <v>0</v>
      </c>
      <c r="R988" s="71" t="s">
        <v>3272</v>
      </c>
      <c r="S988" s="71" t="s">
        <v>3273</v>
      </c>
      <c r="T988" s="71" t="s">
        <v>3274</v>
      </c>
    </row>
    <row r="989" spans="1:20" x14ac:dyDescent="0.3">
      <c r="A989" s="72">
        <f>IFERROR(VLOOKUP($G989,Conf!$B:$C,2,0),E989)</f>
        <v>30</v>
      </c>
      <c r="B989" s="72" t="str">
        <f ca="1">IF(D989="Inativo","Inativo",VLOOKUP($S989,Conf!$K:$M,2,0))</f>
        <v>DEPOSITO</v>
      </c>
      <c r="C989" s="72" t="str">
        <f ca="1">IF(D989="Inativo","Inativo",IFERROR(VLOOKUP($G989,Conf!$F$19:$G$39,2,0),VLOOKUP($S989,Conf!$K:$M,3,0)))</f>
        <v>GERENTE</v>
      </c>
      <c r="D989" s="72" t="str">
        <f ca="1">IFERROR(IF(TODAY()-K989&gt;365,"Inativo",IF(J989=2,"Férias",IF(J989=7,"Demitido","Afastamento"))),VLOOKUP(J989,Conf!$H:$I,2,0))</f>
        <v>Ativos</v>
      </c>
      <c r="E989" s="71">
        <v>30</v>
      </c>
      <c r="F989" s="71">
        <v>49</v>
      </c>
      <c r="G989" s="71" t="s">
        <v>3275</v>
      </c>
      <c r="H989" s="71">
        <v>12</v>
      </c>
      <c r="I989" s="71" t="s">
        <v>639</v>
      </c>
      <c r="J989" s="71">
        <v>1</v>
      </c>
      <c r="K989" s="71" t="s">
        <v>223</v>
      </c>
      <c r="L989" s="71" t="s">
        <v>3276</v>
      </c>
      <c r="M989" s="71" t="s">
        <v>2962</v>
      </c>
      <c r="N989" s="71">
        <v>4034749903</v>
      </c>
      <c r="Q989" s="71">
        <v>0</v>
      </c>
      <c r="R989" s="71" t="s">
        <v>3272</v>
      </c>
      <c r="S989" s="71" t="s">
        <v>3273</v>
      </c>
      <c r="T989" s="71" t="s">
        <v>3274</v>
      </c>
    </row>
    <row r="990" spans="1:20" x14ac:dyDescent="0.3">
      <c r="A990" s="72">
        <f>IFERROR(VLOOKUP($G990,Conf!$B:$C,2,0),E990)</f>
        <v>30</v>
      </c>
      <c r="B990" s="72" t="str">
        <f ca="1">IF(D990="Inativo","Inativo",VLOOKUP($S990,Conf!$K:$M,2,0))</f>
        <v>DEPOSITO</v>
      </c>
      <c r="C990" s="72" t="str">
        <f ca="1">IF(D990="Inativo","Inativo",IFERROR(VLOOKUP($G990,Conf!$F$19:$G$39,2,0),VLOOKUP($S990,Conf!$K:$M,3,0)))</f>
        <v>APRENDIZ</v>
      </c>
      <c r="D990" s="72" t="str">
        <f ca="1">IFERROR(IF(TODAY()-K990&gt;365,"Inativo",IF(J990=2,"Férias",IF(J990=7,"Demitido","Afastamento"))),VLOOKUP(J990,Conf!$H:$I,2,0))</f>
        <v>Ativos</v>
      </c>
      <c r="E990" s="71">
        <v>30</v>
      </c>
      <c r="F990" s="71">
        <v>388</v>
      </c>
      <c r="G990" s="71" t="s">
        <v>3277</v>
      </c>
      <c r="H990" s="71">
        <v>977</v>
      </c>
      <c r="I990" s="71" t="s">
        <v>1449</v>
      </c>
      <c r="J990" s="71">
        <v>1</v>
      </c>
      <c r="K990" s="71" t="s">
        <v>223</v>
      </c>
      <c r="L990" s="71" t="s">
        <v>3278</v>
      </c>
      <c r="M990" s="71" t="s">
        <v>604</v>
      </c>
      <c r="N990" s="71">
        <v>11443946940</v>
      </c>
      <c r="O990" s="71" t="s">
        <v>245</v>
      </c>
      <c r="P990" s="71" t="s">
        <v>246</v>
      </c>
      <c r="Q990" s="71">
        <v>0</v>
      </c>
      <c r="R990" s="71" t="s">
        <v>3279</v>
      </c>
      <c r="S990" s="71" t="s">
        <v>3280</v>
      </c>
      <c r="T990" s="71" t="s">
        <v>3281</v>
      </c>
    </row>
    <row r="991" spans="1:20" x14ac:dyDescent="0.3">
      <c r="A991" s="72">
        <f>IFERROR(VLOOKUP($G991,Conf!$B:$C,2,0),E991)</f>
        <v>30</v>
      </c>
      <c r="B991" s="72" t="str">
        <f ca="1">IF(D991="Inativo","Inativo",VLOOKUP($S991,Conf!$K:$M,2,0))</f>
        <v>DEPOSITO</v>
      </c>
      <c r="C991" s="72" t="str">
        <f ca="1">IF(D991="Inativo","Inativo",IFERROR(VLOOKUP($G991,Conf!$F$19:$G$39,2,0),VLOOKUP($S991,Conf!$K:$M,3,0)))</f>
        <v>APRENDIZ</v>
      </c>
      <c r="D991" s="72" t="str">
        <f ca="1">IFERROR(IF(TODAY()-K991&gt;365,"Inativo",IF(J991=2,"Férias",IF(J991=7,"Demitido","Afastamento"))),VLOOKUP(J991,Conf!$H:$I,2,0))</f>
        <v>Ativos</v>
      </c>
      <c r="E991" s="71">
        <v>30</v>
      </c>
      <c r="F991" s="71">
        <v>390</v>
      </c>
      <c r="G991" s="71" t="s">
        <v>3282</v>
      </c>
      <c r="H991" s="71">
        <v>977</v>
      </c>
      <c r="I991" s="71" t="s">
        <v>1449</v>
      </c>
      <c r="J991" s="71">
        <v>1</v>
      </c>
      <c r="K991" s="71" t="s">
        <v>223</v>
      </c>
      <c r="L991" s="71" t="s">
        <v>3283</v>
      </c>
      <c r="M991" s="71" t="s">
        <v>604</v>
      </c>
      <c r="N991" s="71">
        <v>11492615951</v>
      </c>
      <c r="O991" s="71" t="s">
        <v>245</v>
      </c>
      <c r="P991" s="71" t="s">
        <v>246</v>
      </c>
      <c r="Q991" s="71">
        <v>0</v>
      </c>
      <c r="R991" s="71" t="s">
        <v>3279</v>
      </c>
      <c r="S991" s="71" t="s">
        <v>3280</v>
      </c>
      <c r="T991" s="71" t="s">
        <v>3281</v>
      </c>
    </row>
    <row r="992" spans="1:20" x14ac:dyDescent="0.3">
      <c r="A992" s="72">
        <f>IFERROR(VLOOKUP($G992,Conf!$B:$C,2,0),E992)</f>
        <v>30</v>
      </c>
      <c r="B992" s="72" t="str">
        <f ca="1">IF(D992="Inativo","Inativo",VLOOKUP($S992,Conf!$K:$M,2,0))</f>
        <v>DEPOSITO</v>
      </c>
      <c r="C992" s="72" t="str">
        <f ca="1">IF(D992="Inativo","Inativo",IFERROR(VLOOKUP($G992,Conf!$F$19:$G$39,2,0),VLOOKUP($S992,Conf!$K:$M,3,0)))</f>
        <v>APRENDIZ</v>
      </c>
      <c r="D992" s="72" t="str">
        <f ca="1">IFERROR(IF(TODAY()-K992&gt;365,"Inativo",IF(J992=2,"Férias",IF(J992=7,"Demitido","Afastamento"))),VLOOKUP(J992,Conf!$H:$I,2,0))</f>
        <v>Ativos</v>
      </c>
      <c r="E992" s="71">
        <v>30</v>
      </c>
      <c r="F992" s="71">
        <v>389</v>
      </c>
      <c r="G992" s="71" t="s">
        <v>3284</v>
      </c>
      <c r="H992" s="71">
        <v>977</v>
      </c>
      <c r="I992" s="71" t="s">
        <v>1449</v>
      </c>
      <c r="J992" s="71">
        <v>1</v>
      </c>
      <c r="K992" s="71" t="s">
        <v>223</v>
      </c>
      <c r="L992" s="71" t="s">
        <v>3285</v>
      </c>
      <c r="M992" s="71" t="s">
        <v>604</v>
      </c>
      <c r="N992" s="71">
        <v>9765713908</v>
      </c>
      <c r="O992" s="71" t="s">
        <v>245</v>
      </c>
      <c r="P992" s="71" t="s">
        <v>246</v>
      </c>
      <c r="Q992" s="71">
        <v>0</v>
      </c>
      <c r="R992" s="71" t="s">
        <v>3279</v>
      </c>
      <c r="S992" s="71" t="s">
        <v>3280</v>
      </c>
      <c r="T992" s="71" t="s">
        <v>3281</v>
      </c>
    </row>
    <row r="993" spans="1:20" x14ac:dyDescent="0.3">
      <c r="A993" s="72">
        <f>IFERROR(VLOOKUP($G993,Conf!$B:$C,2,0),E993)</f>
        <v>30</v>
      </c>
      <c r="B993" s="72" t="str">
        <f ca="1">IF(D993="Inativo","Inativo",VLOOKUP($S993,Conf!$K:$M,2,0))</f>
        <v>ENTREGA</v>
      </c>
      <c r="C993" s="72" t="str">
        <f ca="1">IF(D993="Inativo","Inativo",IFERROR(VLOOKUP($G993,Conf!$F$19:$G$39,2,0),VLOOKUP($S993,Conf!$K:$M,3,0)))</f>
        <v>MOTORISTA</v>
      </c>
      <c r="D993" s="72" t="str">
        <f ca="1">IFERROR(IF(TODAY()-K993&gt;365,"Inativo",IF(J993=2,"Férias",IF(J993=7,"Demitido","Afastamento"))),VLOOKUP(J993,Conf!$H:$I,2,0))</f>
        <v>Ativos</v>
      </c>
      <c r="E993" s="71">
        <v>30</v>
      </c>
      <c r="F993" s="71">
        <v>138</v>
      </c>
      <c r="G993" s="71" t="s">
        <v>3286</v>
      </c>
      <c r="H993" s="71">
        <v>92</v>
      </c>
      <c r="I993" s="71" t="s">
        <v>1553</v>
      </c>
      <c r="J993" s="71">
        <v>1</v>
      </c>
      <c r="K993" s="71" t="s">
        <v>223</v>
      </c>
      <c r="L993" s="71" t="s">
        <v>3287</v>
      </c>
      <c r="M993" s="71" t="s">
        <v>3288</v>
      </c>
      <c r="N993" s="71">
        <v>49423177972</v>
      </c>
      <c r="Q993" s="71">
        <v>0</v>
      </c>
      <c r="R993" s="71" t="s">
        <v>3289</v>
      </c>
      <c r="S993" s="71" t="s">
        <v>3290</v>
      </c>
      <c r="T993" s="71" t="s">
        <v>3291</v>
      </c>
    </row>
    <row r="994" spans="1:20" x14ac:dyDescent="0.3">
      <c r="A994" s="72">
        <f>IFERROR(VLOOKUP($G994,Conf!$B:$C,2,0),E994)</f>
        <v>30</v>
      </c>
      <c r="B994" s="72" t="str">
        <f ca="1">IF(D994="Inativo","Inativo",VLOOKUP($S994,Conf!$K:$M,2,0))</f>
        <v>ENTREGA</v>
      </c>
      <c r="C994" s="72" t="str">
        <f ca="1">IF(D994="Inativo","Inativo",IFERROR(VLOOKUP($G994,Conf!$F$19:$G$39,2,0),VLOOKUP($S994,Conf!$K:$M,3,0)))</f>
        <v>MOTORISTA</v>
      </c>
      <c r="D994" s="72" t="str">
        <f ca="1">IFERROR(IF(TODAY()-K994&gt;365,"Inativo",IF(J994=2,"Férias",IF(J994=7,"Demitido","Afastamento"))),VLOOKUP(J994,Conf!$H:$I,2,0))</f>
        <v>Ativos</v>
      </c>
      <c r="E994" s="71">
        <v>30</v>
      </c>
      <c r="F994" s="71">
        <v>5</v>
      </c>
      <c r="G994" s="71" t="s">
        <v>3292</v>
      </c>
      <c r="H994" s="71">
        <v>9</v>
      </c>
      <c r="I994" s="71" t="s">
        <v>945</v>
      </c>
      <c r="J994" s="71">
        <v>1</v>
      </c>
      <c r="K994" s="71" t="s">
        <v>223</v>
      </c>
      <c r="L994" s="71" t="s">
        <v>3293</v>
      </c>
      <c r="M994" s="71" t="s">
        <v>3294</v>
      </c>
      <c r="N994" s="71">
        <v>36390569904</v>
      </c>
      <c r="Q994" s="71">
        <v>0</v>
      </c>
      <c r="R994" s="71" t="s">
        <v>3295</v>
      </c>
      <c r="S994" s="71" t="s">
        <v>361</v>
      </c>
      <c r="T994" s="71" t="s">
        <v>3296</v>
      </c>
    </row>
    <row r="995" spans="1:20" x14ac:dyDescent="0.3">
      <c r="A995" s="72">
        <f>IFERROR(VLOOKUP($G995,Conf!$B:$C,2,0),E995)</f>
        <v>30</v>
      </c>
      <c r="B995" s="72" t="str">
        <f ca="1">IF(D995="Inativo","Inativo",VLOOKUP($S995,Conf!$K:$M,2,0))</f>
        <v>ENTREGA</v>
      </c>
      <c r="C995" s="72" t="str">
        <f ca="1">IF(D995="Inativo","Inativo",IFERROR(VLOOKUP($G995,Conf!$F$19:$G$39,2,0),VLOOKUP($S995,Conf!$K:$M,3,0)))</f>
        <v>MOTORISTA</v>
      </c>
      <c r="D995" s="72" t="str">
        <f ca="1">IFERROR(IF(TODAY()-K995&gt;365,"Inativo",IF(J995=2,"Férias",IF(J995=7,"Demitido","Afastamento"))),VLOOKUP(J995,Conf!$H:$I,2,0))</f>
        <v>Ativos</v>
      </c>
      <c r="E995" s="71">
        <v>30</v>
      </c>
      <c r="F995" s="71">
        <v>11</v>
      </c>
      <c r="G995" s="71" t="s">
        <v>3297</v>
      </c>
      <c r="H995" s="71">
        <v>92</v>
      </c>
      <c r="I995" s="71" t="s">
        <v>1553</v>
      </c>
      <c r="J995" s="71">
        <v>1</v>
      </c>
      <c r="K995" s="71" t="s">
        <v>223</v>
      </c>
      <c r="L995" s="71" t="s">
        <v>3298</v>
      </c>
      <c r="M995" s="71" t="s">
        <v>3299</v>
      </c>
      <c r="N995" s="71">
        <v>2026995958</v>
      </c>
      <c r="Q995" s="71">
        <v>0</v>
      </c>
      <c r="R995" s="71" t="s">
        <v>3289</v>
      </c>
      <c r="S995" s="71" t="s">
        <v>3290</v>
      </c>
      <c r="T995" s="71" t="s">
        <v>3291</v>
      </c>
    </row>
    <row r="996" spans="1:20" x14ac:dyDescent="0.3">
      <c r="A996" s="72">
        <f>IFERROR(VLOOKUP($G996,Conf!$B:$C,2,0),E996)</f>
        <v>30</v>
      </c>
      <c r="B996" s="72" t="str">
        <f ca="1">IF(D996="Inativo","Inativo",VLOOKUP($S996,Conf!$K:$M,2,0))</f>
        <v>ENTREGA</v>
      </c>
      <c r="C996" s="72" t="str">
        <f ca="1">IF(D996="Inativo","Inativo",IFERROR(VLOOKUP($G996,Conf!$F$19:$G$39,2,0),VLOOKUP($S996,Conf!$K:$M,3,0)))</f>
        <v>MOTORISTA</v>
      </c>
      <c r="D996" s="72" t="str">
        <f ca="1">IFERROR(IF(TODAY()-K996&gt;365,"Inativo",IF(J996=2,"Férias",IF(J996=7,"Demitido","Afastamento"))),VLOOKUP(J996,Conf!$H:$I,2,0))</f>
        <v>Ativos</v>
      </c>
      <c r="E996" s="71">
        <v>30</v>
      </c>
      <c r="F996" s="71">
        <v>6</v>
      </c>
      <c r="G996" s="71" t="s">
        <v>3300</v>
      </c>
      <c r="H996" s="71">
        <v>190</v>
      </c>
      <c r="I996" s="71" t="s">
        <v>2873</v>
      </c>
      <c r="J996" s="71">
        <v>1</v>
      </c>
      <c r="K996" s="71" t="s">
        <v>223</v>
      </c>
      <c r="L996" s="71" t="s">
        <v>3301</v>
      </c>
      <c r="M996" s="71" t="s">
        <v>3302</v>
      </c>
      <c r="N996" s="71">
        <v>3437915959</v>
      </c>
      <c r="Q996" s="71">
        <v>0</v>
      </c>
      <c r="R996" s="71" t="s">
        <v>3295</v>
      </c>
      <c r="S996" s="71" t="s">
        <v>361</v>
      </c>
      <c r="T996" s="71" t="s">
        <v>3296</v>
      </c>
    </row>
    <row r="997" spans="1:20" x14ac:dyDescent="0.3">
      <c r="A997" s="72">
        <f>IFERROR(VLOOKUP($G997,Conf!$B:$C,2,0),E997)</f>
        <v>30</v>
      </c>
      <c r="B997" s="72" t="str">
        <f ca="1">IF(D997="Inativo","Inativo",VLOOKUP($S997,Conf!$K:$M,2,0))</f>
        <v>ENTREGA</v>
      </c>
      <c r="C997" s="72" t="str">
        <f ca="1">IF(D997="Inativo","Inativo",IFERROR(VLOOKUP($G997,Conf!$F$19:$G$39,2,0),VLOOKUP($S997,Conf!$K:$M,3,0)))</f>
        <v>MOTORISTA</v>
      </c>
      <c r="D997" s="72" t="str">
        <f ca="1">IFERROR(IF(TODAY()-K997&gt;365,"Inativo",IF(J997=2,"Férias",IF(J997=7,"Demitido","Afastamento"))),VLOOKUP(J997,Conf!$H:$I,2,0))</f>
        <v>Ativos</v>
      </c>
      <c r="E997" s="71">
        <v>30</v>
      </c>
      <c r="F997" s="71">
        <v>10</v>
      </c>
      <c r="G997" s="71" t="s">
        <v>3303</v>
      </c>
      <c r="H997" s="71">
        <v>50</v>
      </c>
      <c r="I997" s="71" t="s">
        <v>3304</v>
      </c>
      <c r="J997" s="71">
        <v>1</v>
      </c>
      <c r="K997" s="71" t="s">
        <v>223</v>
      </c>
      <c r="L997" s="71" t="s">
        <v>3305</v>
      </c>
      <c r="M997" s="71" t="s">
        <v>3306</v>
      </c>
      <c r="N997" s="71">
        <v>44949430963</v>
      </c>
      <c r="Q997" s="71">
        <v>0</v>
      </c>
      <c r="R997" s="71" t="s">
        <v>3307</v>
      </c>
      <c r="S997" s="71" t="s">
        <v>836</v>
      </c>
      <c r="T997" s="71" t="s">
        <v>3308</v>
      </c>
    </row>
    <row r="998" spans="1:20" x14ac:dyDescent="0.3">
      <c r="A998" s="72">
        <f>IFERROR(VLOOKUP($G998,Conf!$B:$C,2,0),E998)</f>
        <v>30</v>
      </c>
      <c r="B998" s="72" t="str">
        <f ca="1">IF(D998="Inativo","Inativo",VLOOKUP($S998,Conf!$K:$M,2,0))</f>
        <v>ENTREGA</v>
      </c>
      <c r="C998" s="72" t="str">
        <f ca="1">IF(D998="Inativo","Inativo",IFERROR(VLOOKUP($G998,Conf!$F$19:$G$39,2,0),VLOOKUP($S998,Conf!$K:$M,3,0)))</f>
        <v>MOTORISTA</v>
      </c>
      <c r="D998" s="72" t="str">
        <f ca="1">IFERROR(IF(TODAY()-K998&gt;365,"Inativo",IF(J998=2,"Férias",IF(J998=7,"Demitido","Afastamento"))),VLOOKUP(J998,Conf!$H:$I,2,0))</f>
        <v>Ativos</v>
      </c>
      <c r="E998" s="71">
        <v>30</v>
      </c>
      <c r="F998" s="71">
        <v>167</v>
      </c>
      <c r="G998" s="71" t="s">
        <v>3309</v>
      </c>
      <c r="H998" s="71">
        <v>9</v>
      </c>
      <c r="I998" s="71" t="s">
        <v>945</v>
      </c>
      <c r="J998" s="71">
        <v>1</v>
      </c>
      <c r="K998" s="71" t="s">
        <v>223</v>
      </c>
      <c r="L998" s="71" t="s">
        <v>3310</v>
      </c>
      <c r="M998" s="71" t="s">
        <v>3311</v>
      </c>
      <c r="N998" s="71">
        <v>5321049947</v>
      </c>
      <c r="Q998" s="71">
        <v>0</v>
      </c>
      <c r="R998" s="71" t="s">
        <v>3289</v>
      </c>
      <c r="S998" s="71" t="s">
        <v>3290</v>
      </c>
      <c r="T998" s="71" t="s">
        <v>3291</v>
      </c>
    </row>
    <row r="999" spans="1:20" x14ac:dyDescent="0.3">
      <c r="A999" s="72">
        <f>IFERROR(VLOOKUP($G999,Conf!$B:$C,2,0),E999)</f>
        <v>30</v>
      </c>
      <c r="B999" s="72" t="str">
        <f ca="1">IF(D999="Inativo","Inativo",VLOOKUP($S999,Conf!$K:$M,2,0))</f>
        <v>ENTREGA</v>
      </c>
      <c r="C999" s="72" t="str">
        <f ca="1">IF(D999="Inativo","Inativo",IFERROR(VLOOKUP($G999,Conf!$F$19:$G$39,2,0),VLOOKUP($S999,Conf!$K:$M,3,0)))</f>
        <v>MOTORISTA</v>
      </c>
      <c r="D999" s="72" t="str">
        <f ca="1">IFERROR(IF(TODAY()-K999&gt;365,"Inativo",IF(J999=2,"Férias",IF(J999=7,"Demitido","Afastamento"))),VLOOKUP(J999,Conf!$H:$I,2,0))</f>
        <v>Ativos</v>
      </c>
      <c r="E999" s="71">
        <v>30</v>
      </c>
      <c r="F999" s="71">
        <v>1</v>
      </c>
      <c r="G999" s="71" t="s">
        <v>3312</v>
      </c>
      <c r="H999" s="71">
        <v>88</v>
      </c>
      <c r="I999" s="71" t="s">
        <v>945</v>
      </c>
      <c r="J999" s="71">
        <v>1</v>
      </c>
      <c r="K999" s="71" t="s">
        <v>223</v>
      </c>
      <c r="L999" s="71" t="s">
        <v>3313</v>
      </c>
      <c r="M999" s="71" t="s">
        <v>3314</v>
      </c>
      <c r="N999" s="71">
        <v>81151330949</v>
      </c>
      <c r="Q999" s="71">
        <v>0</v>
      </c>
      <c r="R999" s="71" t="s">
        <v>3295</v>
      </c>
      <c r="S999" s="71" t="s">
        <v>361</v>
      </c>
      <c r="T999" s="71" t="s">
        <v>3296</v>
      </c>
    </row>
    <row r="1000" spans="1:20" x14ac:dyDescent="0.3">
      <c r="A1000" s="72">
        <f>IFERROR(VLOOKUP($G1000,Conf!$B:$C,2,0),E1000)</f>
        <v>30</v>
      </c>
      <c r="B1000" s="72" t="str">
        <f ca="1">IF(D1000="Inativo","Inativo",VLOOKUP($S1000,Conf!$K:$M,2,0))</f>
        <v>ENTREGA</v>
      </c>
      <c r="C1000" s="72" t="str">
        <f ca="1">IF(D1000="Inativo","Inativo",IFERROR(VLOOKUP($G1000,Conf!$F$19:$G$39,2,0),VLOOKUP($S1000,Conf!$K:$M,3,0)))</f>
        <v>MOTORISTA</v>
      </c>
      <c r="D1000" s="72" t="str">
        <f ca="1">IFERROR(IF(TODAY()-K1000&gt;365,"Inativo",IF(J1000=2,"Férias",IF(J1000=7,"Demitido","Afastamento"))),VLOOKUP(J1000,Conf!$H:$I,2,0))</f>
        <v>Ativos</v>
      </c>
      <c r="E1000" s="71">
        <v>30</v>
      </c>
      <c r="F1000" s="71">
        <v>242</v>
      </c>
      <c r="G1000" s="71" t="s">
        <v>3315</v>
      </c>
      <c r="H1000" s="71">
        <v>204</v>
      </c>
      <c r="I1000" s="71" t="s">
        <v>1563</v>
      </c>
      <c r="J1000" s="71">
        <v>1</v>
      </c>
      <c r="K1000" s="71" t="s">
        <v>223</v>
      </c>
      <c r="L1000" s="71" t="s">
        <v>3316</v>
      </c>
      <c r="M1000" s="71" t="s">
        <v>3317</v>
      </c>
      <c r="N1000" s="71">
        <v>36347400944</v>
      </c>
      <c r="Q1000" s="71">
        <v>0</v>
      </c>
      <c r="R1000" s="71" t="s">
        <v>3289</v>
      </c>
      <c r="S1000" s="71" t="s">
        <v>3290</v>
      </c>
      <c r="T1000" s="71" t="s">
        <v>3291</v>
      </c>
    </row>
    <row r="1001" spans="1:20" x14ac:dyDescent="0.3">
      <c r="A1001" s="72">
        <f>IFERROR(VLOOKUP($G1001,Conf!$B:$C,2,0),E1001)</f>
        <v>30</v>
      </c>
      <c r="B1001" s="72" t="str">
        <f ca="1">IF(D1001="Inativo","Inativo",VLOOKUP($S1001,Conf!$K:$M,2,0))</f>
        <v>ENTREGA</v>
      </c>
      <c r="C1001" s="72" t="str">
        <f ca="1">IF(D1001="Inativo","Inativo",IFERROR(VLOOKUP($G1001,Conf!$F$19:$G$39,2,0),VLOOKUP($S1001,Conf!$K:$M,3,0)))</f>
        <v>MOTORISTA</v>
      </c>
      <c r="D1001" s="72" t="str">
        <f ca="1">IFERROR(IF(TODAY()-K1001&gt;365,"Inativo",IF(J1001=2,"Férias",IF(J1001=7,"Demitido","Afastamento"))),VLOOKUP(J1001,Conf!$H:$I,2,0))</f>
        <v>Férias</v>
      </c>
      <c r="E1001" s="71">
        <v>30</v>
      </c>
      <c r="F1001" s="71">
        <v>17</v>
      </c>
      <c r="G1001" s="71" t="s">
        <v>3318</v>
      </c>
      <c r="H1001" s="71">
        <v>190</v>
      </c>
      <c r="I1001" s="71" t="s">
        <v>2873</v>
      </c>
      <c r="J1001" s="71">
        <v>2</v>
      </c>
      <c r="K1001" s="71" t="s">
        <v>231</v>
      </c>
      <c r="L1001" s="71" t="s">
        <v>3319</v>
      </c>
      <c r="M1001" s="71" t="s">
        <v>3320</v>
      </c>
      <c r="N1001" s="71">
        <v>6424215956</v>
      </c>
      <c r="Q1001" s="71">
        <v>0</v>
      </c>
      <c r="R1001" s="71" t="s">
        <v>3295</v>
      </c>
      <c r="S1001" s="71" t="s">
        <v>361</v>
      </c>
      <c r="T1001" s="71" t="s">
        <v>3296</v>
      </c>
    </row>
    <row r="1002" spans="1:20" x14ac:dyDescent="0.3">
      <c r="A1002" s="72">
        <f>IFERROR(VLOOKUP($G1002,Conf!$B:$C,2,0),E1002)</f>
        <v>30</v>
      </c>
      <c r="B1002" s="72" t="str">
        <f ca="1">IF(D1002="Inativo","Inativo",VLOOKUP($S1002,Conf!$K:$M,2,0))</f>
        <v>Inativo</v>
      </c>
      <c r="C1002" s="72" t="str">
        <f ca="1">IF(D1002="Inativo","Inativo",IFERROR(VLOOKUP($G1002,Conf!$F$19:$G$39,2,0),VLOOKUP($S1002,Conf!$K:$M,3,0)))</f>
        <v>Inativo</v>
      </c>
      <c r="D1002" s="72" t="str">
        <f ca="1">IFERROR(IF(TODAY()-K1002&gt;365,"Inativo",IF(J1002=2,"Férias",IF(J1002=7,"Demitido","Afastamento"))),VLOOKUP(J1002,Conf!$H:$I,2,0))</f>
        <v>Inativo</v>
      </c>
      <c r="E1002" s="71">
        <v>30</v>
      </c>
      <c r="F1002" s="71">
        <v>50</v>
      </c>
      <c r="G1002" s="71" t="s">
        <v>3321</v>
      </c>
      <c r="H1002" s="71">
        <v>47</v>
      </c>
      <c r="I1002" s="71" t="s">
        <v>222</v>
      </c>
      <c r="J1002" s="71">
        <v>3</v>
      </c>
      <c r="K1002" s="71" t="s">
        <v>3322</v>
      </c>
      <c r="L1002" s="71" t="s">
        <v>3323</v>
      </c>
      <c r="M1002" s="71" t="s">
        <v>3324</v>
      </c>
      <c r="N1002" s="71">
        <v>70018529968</v>
      </c>
      <c r="Q1002" s="71">
        <v>0</v>
      </c>
      <c r="R1002" s="71" t="s">
        <v>3325</v>
      </c>
      <c r="S1002" s="71" t="s">
        <v>3326</v>
      </c>
      <c r="T1002" s="71" t="s">
        <v>3327</v>
      </c>
    </row>
    <row r="1003" spans="1:20" x14ac:dyDescent="0.3">
      <c r="A1003" s="72">
        <f>IFERROR(VLOOKUP($G1003,Conf!$B:$C,2,0),E1003)</f>
        <v>30</v>
      </c>
      <c r="B1003" s="72" t="str">
        <f ca="1">IF(D1003="Inativo","Inativo",VLOOKUP($S1003,Conf!$K:$M,2,0))</f>
        <v>LIMPEZA</v>
      </c>
      <c r="C1003" s="72" t="str">
        <f ca="1">IF(D1003="Inativo","Inativo",IFERROR(VLOOKUP($G1003,Conf!$F$19:$G$39,2,0),VLOOKUP($S1003,Conf!$K:$M,3,0)))</f>
        <v>ZELADOR(A)</v>
      </c>
      <c r="D1003" s="72" t="str">
        <f ca="1">IFERROR(IF(TODAY()-K1003&gt;365,"Inativo",IF(J1003=2,"Férias",IF(J1003=7,"Demitido","Afastamento"))),VLOOKUP(J1003,Conf!$H:$I,2,0))</f>
        <v>Ativos</v>
      </c>
      <c r="E1003" s="71">
        <v>30</v>
      </c>
      <c r="F1003" s="71">
        <v>70</v>
      </c>
      <c r="G1003" s="71" t="s">
        <v>3328</v>
      </c>
      <c r="H1003" s="71">
        <v>244</v>
      </c>
      <c r="I1003" s="71" t="s">
        <v>1115</v>
      </c>
      <c r="J1003" s="71">
        <v>1</v>
      </c>
      <c r="K1003" s="71" t="s">
        <v>223</v>
      </c>
      <c r="L1003" s="71" t="s">
        <v>3329</v>
      </c>
      <c r="M1003" s="71" t="s">
        <v>840</v>
      </c>
      <c r="N1003" s="71">
        <v>40232479879</v>
      </c>
      <c r="O1003" s="71" t="s">
        <v>245</v>
      </c>
      <c r="P1003" s="71" t="s">
        <v>246</v>
      </c>
      <c r="Q1003" s="71">
        <v>0</v>
      </c>
      <c r="R1003" s="71" t="s">
        <v>3325</v>
      </c>
      <c r="S1003" s="71" t="s">
        <v>3326</v>
      </c>
      <c r="T1003" s="71" t="s">
        <v>3327</v>
      </c>
    </row>
    <row r="1004" spans="1:20" x14ac:dyDescent="0.3">
      <c r="A1004" s="72">
        <f>IFERROR(VLOOKUP($G1004,Conf!$B:$C,2,0),E1004)</f>
        <v>30</v>
      </c>
      <c r="B1004" s="72" t="str">
        <f ca="1">IF(D1004="Inativo","Inativo",VLOOKUP($S1004,Conf!$K:$M,2,0))</f>
        <v>LIMPEZA</v>
      </c>
      <c r="C1004" s="72" t="str">
        <f ca="1">IF(D1004="Inativo","Inativo",IFERROR(VLOOKUP($G1004,Conf!$F$19:$G$39,2,0),VLOOKUP($S1004,Conf!$K:$M,3,0)))</f>
        <v>ZELADOR(A)</v>
      </c>
      <c r="D1004" s="72" t="str">
        <f ca="1">IFERROR(IF(TODAY()-K1004&gt;365,"Inativo",IF(J1004=2,"Férias",IF(J1004=7,"Demitido","Afastamento"))),VLOOKUP(J1004,Conf!$H:$I,2,0))</f>
        <v>Ativos</v>
      </c>
      <c r="E1004" s="71">
        <v>30</v>
      </c>
      <c r="F1004" s="71">
        <v>272</v>
      </c>
      <c r="G1004" s="71" t="s">
        <v>3330</v>
      </c>
      <c r="H1004" s="71">
        <v>208</v>
      </c>
      <c r="I1004" s="71" t="s">
        <v>293</v>
      </c>
      <c r="J1004" s="71">
        <v>1</v>
      </c>
      <c r="K1004" s="71" t="s">
        <v>223</v>
      </c>
      <c r="L1004" s="71" t="s">
        <v>3331</v>
      </c>
      <c r="M1004" s="71" t="s">
        <v>2706</v>
      </c>
      <c r="N1004" s="71">
        <v>77136446953</v>
      </c>
      <c r="O1004" s="71" t="s">
        <v>245</v>
      </c>
      <c r="P1004" s="71" t="s">
        <v>246</v>
      </c>
      <c r="Q1004" s="71">
        <v>0</v>
      </c>
      <c r="R1004" s="71" t="s">
        <v>3332</v>
      </c>
      <c r="S1004" s="71" t="s">
        <v>3333</v>
      </c>
      <c r="T1004" s="71" t="s">
        <v>3334</v>
      </c>
    </row>
    <row r="1005" spans="1:20" x14ac:dyDescent="0.3">
      <c r="A1005" s="72">
        <f>IFERROR(VLOOKUP($G1005,Conf!$B:$C,2,0),E1005)</f>
        <v>30</v>
      </c>
      <c r="B1005" s="72" t="str">
        <f ca="1">IF(D1005="Inativo","Inativo",VLOOKUP($S1005,Conf!$K:$M,2,0))</f>
        <v>LIMPEZA</v>
      </c>
      <c r="C1005" s="72" t="str">
        <f ca="1">IF(D1005="Inativo","Inativo",IFERROR(VLOOKUP($G1005,Conf!$F$19:$G$39,2,0),VLOOKUP($S1005,Conf!$K:$M,3,0)))</f>
        <v>ZELADOR(A)</v>
      </c>
      <c r="D1005" s="72" t="str">
        <f ca="1">IFERROR(IF(TODAY()-K1005&gt;365,"Inativo",IF(J1005=2,"Férias",IF(J1005=7,"Demitido","Afastamento"))),VLOOKUP(J1005,Conf!$H:$I,2,0))</f>
        <v>Ativos</v>
      </c>
      <c r="E1005" s="71">
        <v>30</v>
      </c>
      <c r="F1005" s="71">
        <v>57</v>
      </c>
      <c r="G1005" s="71" t="s">
        <v>3335</v>
      </c>
      <c r="H1005" s="71">
        <v>68</v>
      </c>
      <c r="I1005" s="71" t="s">
        <v>740</v>
      </c>
      <c r="J1005" s="71">
        <v>1</v>
      </c>
      <c r="K1005" s="71" t="s">
        <v>223</v>
      </c>
      <c r="L1005" s="71" t="s">
        <v>3336</v>
      </c>
      <c r="M1005" s="71" t="s">
        <v>3337</v>
      </c>
      <c r="N1005" s="71">
        <v>16449335866</v>
      </c>
      <c r="Q1005" s="71">
        <v>0</v>
      </c>
      <c r="R1005" s="71" t="s">
        <v>3325</v>
      </c>
      <c r="S1005" s="71" t="s">
        <v>3326</v>
      </c>
      <c r="T1005" s="71" t="s">
        <v>3327</v>
      </c>
    </row>
    <row r="1006" spans="1:20" x14ac:dyDescent="0.3">
      <c r="A1006" s="72">
        <f>IFERROR(VLOOKUP($G1006,Conf!$B:$C,2,0),E1006)</f>
        <v>30</v>
      </c>
      <c r="B1006" s="72" t="str">
        <f ca="1">IF(D1006="Inativo","Inativo",VLOOKUP($S1006,Conf!$K:$M,2,0))</f>
        <v>LIMPEZA</v>
      </c>
      <c r="C1006" s="72" t="str">
        <f ca="1">IF(D1006="Inativo","Inativo",IFERROR(VLOOKUP($G1006,Conf!$F$19:$G$39,2,0),VLOOKUP($S1006,Conf!$K:$M,3,0)))</f>
        <v>ZELADOR(A)</v>
      </c>
      <c r="D1006" s="72" t="str">
        <f ca="1">IFERROR(IF(TODAY()-K1006&gt;365,"Inativo",IF(J1006=2,"Férias",IF(J1006=7,"Demitido","Afastamento"))),VLOOKUP(J1006,Conf!$H:$I,2,0))</f>
        <v>Ativos</v>
      </c>
      <c r="E1006" s="71">
        <v>30</v>
      </c>
      <c r="F1006" s="71">
        <v>153</v>
      </c>
      <c r="G1006" s="71" t="s">
        <v>3338</v>
      </c>
      <c r="H1006" s="71">
        <v>88</v>
      </c>
      <c r="I1006" s="71" t="s">
        <v>945</v>
      </c>
      <c r="J1006" s="71">
        <v>1</v>
      </c>
      <c r="K1006" s="71" t="s">
        <v>223</v>
      </c>
      <c r="L1006" s="71" t="s">
        <v>3339</v>
      </c>
      <c r="M1006" s="71" t="s">
        <v>2233</v>
      </c>
      <c r="N1006" s="71">
        <v>32663681857</v>
      </c>
      <c r="Q1006" s="71">
        <v>0</v>
      </c>
      <c r="R1006" s="71" t="s">
        <v>3332</v>
      </c>
      <c r="S1006" s="71" t="s">
        <v>3333</v>
      </c>
      <c r="T1006" s="71" t="s">
        <v>3334</v>
      </c>
    </row>
    <row r="1007" spans="1:20" x14ac:dyDescent="0.3">
      <c r="A1007" s="72">
        <f>IFERROR(VLOOKUP($G1007,Conf!$B:$C,2,0),E1007)</f>
        <v>30</v>
      </c>
      <c r="B1007" s="72" t="str">
        <f ca="1">IF(D1007="Inativo","Inativo",VLOOKUP($S1007,Conf!$K:$M,2,0))</f>
        <v>OPERACIONAL</v>
      </c>
      <c r="C1007" s="72" t="str">
        <f ca="1">IF(D1007="Inativo","Inativo",IFERROR(VLOOKUP($G1007,Conf!$F$19:$G$39,2,0),VLOOKUP($S1007,Conf!$K:$M,3,0)))</f>
        <v>ELETRICISTA</v>
      </c>
      <c r="D1007" s="72" t="str">
        <f ca="1">IFERROR(IF(TODAY()-K1007&gt;365,"Inativo",IF(J1007=2,"Férias",IF(J1007=7,"Demitido","Afastamento"))),VLOOKUP(J1007,Conf!$H:$I,2,0))</f>
        <v>Ativos</v>
      </c>
      <c r="E1007" s="71">
        <v>30</v>
      </c>
      <c r="F1007" s="71">
        <v>66</v>
      </c>
      <c r="G1007" s="71" t="s">
        <v>3340</v>
      </c>
      <c r="H1007" s="71">
        <v>9</v>
      </c>
      <c r="I1007" s="71" t="s">
        <v>945</v>
      </c>
      <c r="J1007" s="71">
        <v>1</v>
      </c>
      <c r="K1007" s="71" t="s">
        <v>223</v>
      </c>
      <c r="L1007" s="71" t="s">
        <v>3341</v>
      </c>
      <c r="M1007" s="71" t="s">
        <v>3342</v>
      </c>
      <c r="N1007" s="71">
        <v>34390584847</v>
      </c>
      <c r="Q1007" s="71">
        <v>0</v>
      </c>
      <c r="R1007" s="71" t="s">
        <v>3343</v>
      </c>
      <c r="S1007" s="71" t="s">
        <v>3344</v>
      </c>
      <c r="T1007" s="71" t="s">
        <v>1311</v>
      </c>
    </row>
    <row r="1008" spans="1:20" x14ac:dyDescent="0.3">
      <c r="A1008" s="72">
        <f>IFERROR(VLOOKUP($G1008,Conf!$B:$C,2,0),E1008)</f>
        <v>30</v>
      </c>
      <c r="B1008" s="72" t="str">
        <f ca="1">IF(D1008="Inativo","Inativo",VLOOKUP($S1008,Conf!$K:$M,2,0))</f>
        <v>OPERACIONAL</v>
      </c>
      <c r="C1008" s="72" t="str">
        <f ca="1">IF(D1008="Inativo","Inativo",IFERROR(VLOOKUP($G1008,Conf!$F$19:$G$39,2,0),VLOOKUP($S1008,Conf!$K:$M,3,0)))</f>
        <v>ELETRICISTA</v>
      </c>
      <c r="D1008" s="72" t="str">
        <f ca="1">IFERROR(IF(TODAY()-K1008&gt;365,"Inativo",IF(J1008=2,"Férias",IF(J1008=7,"Demitido","Afastamento"))),VLOOKUP(J1008,Conf!$H:$I,2,0))</f>
        <v>Ativos</v>
      </c>
      <c r="E1008" s="71">
        <v>30</v>
      </c>
      <c r="F1008" s="71">
        <v>21</v>
      </c>
      <c r="G1008" s="71" t="s">
        <v>3345</v>
      </c>
      <c r="H1008" s="71">
        <v>9</v>
      </c>
      <c r="I1008" s="71" t="s">
        <v>945</v>
      </c>
      <c r="J1008" s="71">
        <v>1</v>
      </c>
      <c r="K1008" s="71" t="s">
        <v>223</v>
      </c>
      <c r="L1008" s="71" t="s">
        <v>3346</v>
      </c>
      <c r="M1008" s="71" t="s">
        <v>3347</v>
      </c>
      <c r="N1008" s="71">
        <v>3911434928</v>
      </c>
      <c r="Q1008" s="71">
        <v>0</v>
      </c>
      <c r="R1008" s="71" t="s">
        <v>3343</v>
      </c>
      <c r="S1008" s="71" t="s">
        <v>3344</v>
      </c>
      <c r="T1008" s="71" t="s">
        <v>1311</v>
      </c>
    </row>
    <row r="1009" spans="1:20" x14ac:dyDescent="0.3">
      <c r="A1009" s="72">
        <f>IFERROR(VLOOKUP($G1009,Conf!$B:$C,2,0),E1009)</f>
        <v>30</v>
      </c>
      <c r="B1009" s="72" t="str">
        <f ca="1">IF(D1009="Inativo","Inativo",VLOOKUP($S1009,Conf!$K:$M,2,0))</f>
        <v>OPERACIONAL</v>
      </c>
      <c r="C1009" s="72" t="str">
        <f ca="1">IF(D1009="Inativo","Inativo",IFERROR(VLOOKUP($G1009,Conf!$F$19:$G$39,2,0),VLOOKUP($S1009,Conf!$K:$M,3,0)))</f>
        <v>ELETRICISTA</v>
      </c>
      <c r="D1009" s="72" t="str">
        <f ca="1">IFERROR(IF(TODAY()-K1009&gt;365,"Inativo",IF(J1009=2,"Férias",IF(J1009=7,"Demitido","Afastamento"))),VLOOKUP(J1009,Conf!$H:$I,2,0))</f>
        <v>Ativos</v>
      </c>
      <c r="E1009" s="71">
        <v>30</v>
      </c>
      <c r="F1009" s="71">
        <v>41</v>
      </c>
      <c r="G1009" s="71" t="s">
        <v>3348</v>
      </c>
      <c r="H1009" s="71">
        <v>86</v>
      </c>
      <c r="I1009" s="71" t="s">
        <v>945</v>
      </c>
      <c r="J1009" s="71">
        <v>1</v>
      </c>
      <c r="K1009" s="71" t="s">
        <v>223</v>
      </c>
      <c r="L1009" s="71" t="s">
        <v>3349</v>
      </c>
      <c r="M1009" s="71" t="s">
        <v>3350</v>
      </c>
      <c r="N1009" s="71">
        <v>6804569962</v>
      </c>
      <c r="Q1009" s="71">
        <v>0</v>
      </c>
      <c r="R1009" s="71" t="s">
        <v>3343</v>
      </c>
      <c r="S1009" s="71" t="s">
        <v>3344</v>
      </c>
      <c r="T1009" s="71" t="s">
        <v>1311</v>
      </c>
    </row>
    <row r="1010" spans="1:20" x14ac:dyDescent="0.3">
      <c r="A1010" s="72">
        <f>IFERROR(VLOOKUP($G1010,Conf!$B:$C,2,0),E1010)</f>
        <v>30</v>
      </c>
      <c r="B1010" s="72" t="str">
        <f ca="1">IF(D1010="Inativo","Inativo",VLOOKUP($S1010,Conf!$K:$M,2,0))</f>
        <v>OPERACIONAL</v>
      </c>
      <c r="C1010" s="72" t="str">
        <f ca="1">IF(D1010="Inativo","Inativo",IFERROR(VLOOKUP($G1010,Conf!$F$19:$G$39,2,0),VLOOKUP($S1010,Conf!$K:$M,3,0)))</f>
        <v>ELETRICISTA</v>
      </c>
      <c r="D1010" s="72" t="str">
        <f ca="1">IFERROR(IF(TODAY()-K1010&gt;365,"Inativo",IF(J1010=2,"Férias",IF(J1010=7,"Demitido","Afastamento"))),VLOOKUP(J1010,Conf!$H:$I,2,0))</f>
        <v>Ativos</v>
      </c>
      <c r="E1010" s="71">
        <v>30</v>
      </c>
      <c r="F1010" s="71">
        <v>52</v>
      </c>
      <c r="G1010" s="71" t="s">
        <v>3351</v>
      </c>
      <c r="H1010" s="71">
        <v>9</v>
      </c>
      <c r="I1010" s="71" t="s">
        <v>945</v>
      </c>
      <c r="J1010" s="71">
        <v>1</v>
      </c>
      <c r="K1010" s="71" t="s">
        <v>223</v>
      </c>
      <c r="L1010" s="71" t="s">
        <v>3352</v>
      </c>
      <c r="M1010" s="71" t="s">
        <v>3353</v>
      </c>
      <c r="N1010" s="71">
        <v>4996474912</v>
      </c>
      <c r="Q1010" s="71">
        <v>0</v>
      </c>
      <c r="R1010" s="71" t="s">
        <v>3343</v>
      </c>
      <c r="S1010" s="71" t="s">
        <v>3344</v>
      </c>
      <c r="T1010" s="71" t="s">
        <v>1311</v>
      </c>
    </row>
    <row r="1011" spans="1:20" x14ac:dyDescent="0.3">
      <c r="A1011" s="72">
        <f>IFERROR(VLOOKUP($G1011,Conf!$B:$C,2,0),E1011)</f>
        <v>30</v>
      </c>
      <c r="B1011" s="72" t="str">
        <f ca="1">IF(D1011="Inativo","Inativo",VLOOKUP($S1011,Conf!$K:$M,2,0))</f>
        <v>OPERACIONAL</v>
      </c>
      <c r="C1011" s="72" t="str">
        <f ca="1">IF(D1011="Inativo","Inativo",IFERROR(VLOOKUP($G1011,Conf!$F$19:$G$39,2,0),VLOOKUP($S1011,Conf!$K:$M,3,0)))</f>
        <v>ELETRICISTA</v>
      </c>
      <c r="D1011" s="72" t="str">
        <f ca="1">IFERROR(IF(TODAY()-K1011&gt;365,"Inativo",IF(J1011=2,"Férias",IF(J1011=7,"Demitido","Afastamento"))),VLOOKUP(J1011,Conf!$H:$I,2,0))</f>
        <v>Ativos</v>
      </c>
      <c r="E1011" s="71">
        <v>30</v>
      </c>
      <c r="F1011" s="71">
        <v>60</v>
      </c>
      <c r="G1011" s="71" t="s">
        <v>3354</v>
      </c>
      <c r="H1011" s="71">
        <v>9</v>
      </c>
      <c r="I1011" s="71" t="s">
        <v>945</v>
      </c>
      <c r="J1011" s="71">
        <v>1</v>
      </c>
      <c r="K1011" s="71" t="s">
        <v>223</v>
      </c>
      <c r="L1011" s="71" t="s">
        <v>3355</v>
      </c>
      <c r="M1011" s="71" t="s">
        <v>1925</v>
      </c>
      <c r="N1011" s="71">
        <v>10703182994</v>
      </c>
      <c r="Q1011" s="71">
        <v>0</v>
      </c>
      <c r="R1011" s="71" t="s">
        <v>3356</v>
      </c>
      <c r="S1011" s="71" t="s">
        <v>3357</v>
      </c>
      <c r="T1011" s="71" t="s">
        <v>3358</v>
      </c>
    </row>
    <row r="1012" spans="1:20" x14ac:dyDescent="0.3">
      <c r="A1012" s="72">
        <f>IFERROR(VLOOKUP($G1012,Conf!$B:$C,2,0),E1012)</f>
        <v>30</v>
      </c>
      <c r="B1012" s="72" t="str">
        <f ca="1">IF(D1012="Inativo","Inativo",VLOOKUP($S1012,Conf!$K:$M,2,0))</f>
        <v>OPERACIONAL</v>
      </c>
      <c r="C1012" s="72" t="str">
        <f ca="1">IF(D1012="Inativo","Inativo",IFERROR(VLOOKUP($G1012,Conf!$F$19:$G$39,2,0),VLOOKUP($S1012,Conf!$K:$M,3,0)))</f>
        <v>ELETRICISTA</v>
      </c>
      <c r="D1012" s="72" t="str">
        <f ca="1">IFERROR(IF(TODAY()-K1012&gt;365,"Inativo",IF(J1012=2,"Férias",IF(J1012=7,"Demitido","Afastamento"))),VLOOKUP(J1012,Conf!$H:$I,2,0))</f>
        <v>Ativos</v>
      </c>
      <c r="E1012" s="71">
        <v>30</v>
      </c>
      <c r="F1012" s="71">
        <v>20</v>
      </c>
      <c r="G1012" s="71" t="s">
        <v>3359</v>
      </c>
      <c r="H1012" s="71">
        <v>89</v>
      </c>
      <c r="I1012" s="71" t="s">
        <v>3360</v>
      </c>
      <c r="J1012" s="71">
        <v>1</v>
      </c>
      <c r="K1012" s="71" t="s">
        <v>223</v>
      </c>
      <c r="L1012" s="71" t="s">
        <v>3361</v>
      </c>
      <c r="M1012" s="71" t="s">
        <v>3362</v>
      </c>
      <c r="N1012" s="71">
        <v>4471686909</v>
      </c>
      <c r="Q1012" s="71">
        <v>0</v>
      </c>
      <c r="R1012" s="71" t="s">
        <v>3363</v>
      </c>
      <c r="S1012" s="71" t="s">
        <v>3364</v>
      </c>
      <c r="T1012" s="71" t="s">
        <v>3365</v>
      </c>
    </row>
    <row r="1013" spans="1:20" x14ac:dyDescent="0.3">
      <c r="A1013" s="72">
        <f>IFERROR(VLOOKUP($G1013,Conf!$B:$C,2,0),E1013)</f>
        <v>30</v>
      </c>
      <c r="B1013" s="72" t="str">
        <f ca="1">IF(D1013="Inativo","Inativo",VLOOKUP($S1013,Conf!$K:$M,2,0))</f>
        <v>OPERACIONAL</v>
      </c>
      <c r="C1013" s="72" t="str">
        <f ca="1">IF(D1013="Inativo","Inativo",IFERROR(VLOOKUP($G1013,Conf!$F$19:$G$39,2,0),VLOOKUP($S1013,Conf!$K:$M,3,0)))</f>
        <v>ELETRICISTA</v>
      </c>
      <c r="D1013" s="72" t="str">
        <f ca="1">IFERROR(IF(TODAY()-K1013&gt;365,"Inativo",IF(J1013=2,"Férias",IF(J1013=7,"Demitido","Afastamento"))),VLOOKUP(J1013,Conf!$H:$I,2,0))</f>
        <v>Ativos</v>
      </c>
      <c r="E1013" s="71">
        <v>30</v>
      </c>
      <c r="F1013" s="71">
        <v>17</v>
      </c>
      <c r="G1013" s="71" t="s">
        <v>3366</v>
      </c>
      <c r="H1013" s="71">
        <v>9</v>
      </c>
      <c r="I1013" s="71" t="s">
        <v>945</v>
      </c>
      <c r="J1013" s="71">
        <v>1</v>
      </c>
      <c r="K1013" s="71" t="s">
        <v>223</v>
      </c>
      <c r="L1013" s="71" t="s">
        <v>3367</v>
      </c>
      <c r="M1013" s="71" t="s">
        <v>3368</v>
      </c>
      <c r="N1013" s="71">
        <v>7510308992</v>
      </c>
      <c r="Q1013" s="71">
        <v>0</v>
      </c>
      <c r="R1013" s="71" t="s">
        <v>3343</v>
      </c>
      <c r="S1013" s="71" t="s">
        <v>3344</v>
      </c>
      <c r="T1013" s="71" t="s">
        <v>1311</v>
      </c>
    </row>
    <row r="1014" spans="1:20" x14ac:dyDescent="0.3">
      <c r="A1014" s="72">
        <f>IFERROR(VLOOKUP($G1014,Conf!$B:$C,2,0),E1014)</f>
        <v>30</v>
      </c>
      <c r="B1014" s="72" t="str">
        <f ca="1">IF(D1014="Inativo","Inativo",VLOOKUP($S1014,Conf!$K:$M,2,0))</f>
        <v>OPERACIONAL</v>
      </c>
      <c r="C1014" s="72" t="str">
        <f ca="1">IF(D1014="Inativo","Inativo",IFERROR(VLOOKUP($G1014,Conf!$F$19:$G$39,2,0),VLOOKUP($S1014,Conf!$K:$M,3,0)))</f>
        <v>PEDREIRO</v>
      </c>
      <c r="D1014" s="72" t="str">
        <f ca="1">IFERROR(IF(TODAY()-K1014&gt;365,"Inativo",IF(J1014=2,"Férias",IF(J1014=7,"Demitido","Afastamento"))),VLOOKUP(J1014,Conf!$H:$I,2,0))</f>
        <v>Demitido</v>
      </c>
      <c r="E1014" s="71">
        <v>30</v>
      </c>
      <c r="F1014" s="71">
        <v>54</v>
      </c>
      <c r="G1014" s="71" t="s">
        <v>3369</v>
      </c>
      <c r="H1014" s="71">
        <v>206</v>
      </c>
      <c r="I1014" s="71" t="s">
        <v>2901</v>
      </c>
      <c r="J1014" s="71">
        <v>7</v>
      </c>
      <c r="K1014" s="71" t="s">
        <v>801</v>
      </c>
      <c r="L1014" s="71" t="s">
        <v>3370</v>
      </c>
      <c r="M1014" s="71" t="s">
        <v>3371</v>
      </c>
      <c r="N1014" s="71">
        <v>12115335490</v>
      </c>
      <c r="Q1014" s="71">
        <v>0</v>
      </c>
      <c r="R1014" s="71" t="s">
        <v>3372</v>
      </c>
      <c r="S1014" s="71" t="s">
        <v>3373</v>
      </c>
      <c r="T1014" s="71" t="s">
        <v>3374</v>
      </c>
    </row>
    <row r="1015" spans="1:20" x14ac:dyDescent="0.3">
      <c r="A1015" s="72">
        <f>IFERROR(VLOOKUP($G1015,Conf!$B:$C,2,0),E1015)</f>
        <v>30</v>
      </c>
      <c r="B1015" s="72" t="str">
        <f ca="1">IF(D1015="Inativo","Inativo",VLOOKUP($S1015,Conf!$K:$M,2,0))</f>
        <v>OPERACIONAL</v>
      </c>
      <c r="C1015" s="72" t="str">
        <f ca="1">IF(D1015="Inativo","Inativo",IFERROR(VLOOKUP($G1015,Conf!$F$19:$G$39,2,0),VLOOKUP($S1015,Conf!$K:$M,3,0)))</f>
        <v>PEDREIRO</v>
      </c>
      <c r="D1015" s="72" t="str">
        <f ca="1">IFERROR(IF(TODAY()-K1015&gt;365,"Inativo",IF(J1015=2,"Férias",IF(J1015=7,"Demitido","Afastamento"))),VLOOKUP(J1015,Conf!$H:$I,2,0))</f>
        <v>Ativos</v>
      </c>
      <c r="E1015" s="71">
        <v>30</v>
      </c>
      <c r="F1015" s="71">
        <v>69</v>
      </c>
      <c r="G1015" s="71" t="s">
        <v>3375</v>
      </c>
      <c r="H1015" s="71">
        <v>206</v>
      </c>
      <c r="I1015" s="71" t="s">
        <v>2901</v>
      </c>
      <c r="J1015" s="71">
        <v>1</v>
      </c>
      <c r="K1015" s="71" t="s">
        <v>223</v>
      </c>
      <c r="L1015" s="71" t="s">
        <v>3376</v>
      </c>
      <c r="M1015" s="71" t="s">
        <v>1920</v>
      </c>
      <c r="N1015" s="71">
        <v>90021681953</v>
      </c>
      <c r="O1015" s="71" t="s">
        <v>245</v>
      </c>
      <c r="P1015" s="71" t="s">
        <v>246</v>
      </c>
      <c r="Q1015" s="71">
        <v>0</v>
      </c>
      <c r="R1015" s="71" t="s">
        <v>3372</v>
      </c>
      <c r="S1015" s="71" t="s">
        <v>3373</v>
      </c>
      <c r="T1015" s="71" t="s">
        <v>3374</v>
      </c>
    </row>
    <row r="1016" spans="1:20" x14ac:dyDescent="0.3">
      <c r="A1016" s="72">
        <f>IFERROR(VLOOKUP($G1016,Conf!$B:$C,2,0),E1016)</f>
        <v>30</v>
      </c>
      <c r="B1016" s="72" t="str">
        <f ca="1">IF(D1016="Inativo","Inativo",VLOOKUP($S1016,Conf!$K:$M,2,0))</f>
        <v>OPERACIONAL</v>
      </c>
      <c r="C1016" s="72" t="str">
        <f ca="1">IF(D1016="Inativo","Inativo",IFERROR(VLOOKUP($G1016,Conf!$F$19:$G$39,2,0),VLOOKUP($S1016,Conf!$K:$M,3,0)))</f>
        <v>PINTOR</v>
      </c>
      <c r="D1016" s="72" t="str">
        <f ca="1">IFERROR(IF(TODAY()-K1016&gt;365,"Inativo",IF(J1016=2,"Férias",IF(J1016=7,"Demitido","Afastamento"))),VLOOKUP(J1016,Conf!$H:$I,2,0))</f>
        <v>Ativos</v>
      </c>
      <c r="E1016" s="71">
        <v>30</v>
      </c>
      <c r="F1016" s="71">
        <v>16</v>
      </c>
      <c r="G1016" s="71" t="s">
        <v>3377</v>
      </c>
      <c r="H1016" s="71">
        <v>47</v>
      </c>
      <c r="I1016" s="71" t="s">
        <v>222</v>
      </c>
      <c r="J1016" s="71">
        <v>1</v>
      </c>
      <c r="K1016" s="71" t="s">
        <v>223</v>
      </c>
      <c r="L1016" s="71" t="s">
        <v>3378</v>
      </c>
      <c r="M1016" s="71" t="s">
        <v>3379</v>
      </c>
      <c r="N1016" s="71">
        <v>705367916</v>
      </c>
      <c r="Q1016" s="71">
        <v>0</v>
      </c>
      <c r="R1016" s="71" t="s">
        <v>3380</v>
      </c>
      <c r="S1016" s="71" t="s">
        <v>3381</v>
      </c>
      <c r="T1016" s="71" t="s">
        <v>3382</v>
      </c>
    </row>
    <row r="1017" spans="1:20" x14ac:dyDescent="0.3">
      <c r="A1017" s="72">
        <f>IFERROR(VLOOKUP($G1017,Conf!$B:$C,2,0),E1017)</f>
        <v>30</v>
      </c>
      <c r="B1017" s="72" t="str">
        <f ca="1">IF(D1017="Inativo","Inativo",VLOOKUP($S1017,Conf!$K:$M,2,0))</f>
        <v>OPERACIONAL</v>
      </c>
      <c r="C1017" s="72" t="str">
        <f ca="1">IF(D1017="Inativo","Inativo",IFERROR(VLOOKUP($G1017,Conf!$F$19:$G$39,2,0),VLOOKUP($S1017,Conf!$K:$M,3,0)))</f>
        <v>PINTOR</v>
      </c>
      <c r="D1017" s="72" t="str">
        <f ca="1">IFERROR(IF(TODAY()-K1017&gt;365,"Inativo",IF(J1017=2,"Férias",IF(J1017=7,"Demitido","Afastamento"))),VLOOKUP(J1017,Conf!$H:$I,2,0))</f>
        <v>Ativos</v>
      </c>
      <c r="E1017" s="71">
        <v>30</v>
      </c>
      <c r="F1017" s="71">
        <v>67</v>
      </c>
      <c r="G1017" s="71" t="s">
        <v>3383</v>
      </c>
      <c r="H1017" s="71">
        <v>190</v>
      </c>
      <c r="I1017" s="71" t="s">
        <v>2873</v>
      </c>
      <c r="J1017" s="71">
        <v>1</v>
      </c>
      <c r="K1017" s="71" t="s">
        <v>223</v>
      </c>
      <c r="L1017" s="71" t="s">
        <v>3384</v>
      </c>
      <c r="M1017" s="71" t="s">
        <v>3385</v>
      </c>
      <c r="N1017" s="71">
        <v>5936815927</v>
      </c>
      <c r="Q1017" s="71">
        <v>0</v>
      </c>
      <c r="R1017" s="71" t="s">
        <v>3386</v>
      </c>
      <c r="S1017" s="71" t="s">
        <v>3387</v>
      </c>
      <c r="T1017" s="71" t="s">
        <v>3388</v>
      </c>
    </row>
    <row r="1018" spans="1:20" x14ac:dyDescent="0.3">
      <c r="A1018" s="72">
        <f>IFERROR(VLOOKUP($G1018,Conf!$B:$C,2,0),E1018)</f>
        <v>30</v>
      </c>
      <c r="B1018" s="72" t="str">
        <f ca="1">IF(D1018="Inativo","Inativo",VLOOKUP($S1018,Conf!$K:$M,2,0))</f>
        <v>SOCIO</v>
      </c>
      <c r="C1018" s="72" t="str">
        <f ca="1">IF(D1018="Inativo","Inativo",IFERROR(VLOOKUP($G1018,Conf!$F$19:$G$39,2,0),VLOOKUP($S1018,Conf!$K:$M,3,0)))</f>
        <v>GERENTE</v>
      </c>
      <c r="D1018" s="72" t="str">
        <f ca="1">IFERROR(IF(TODAY()-K1018&gt;365,"Inativo",IF(J1018=2,"Férias",IF(J1018=7,"Demitido","Afastamento"))),VLOOKUP(J1018,Conf!$H:$I,2,0))</f>
        <v>Ativos</v>
      </c>
      <c r="E1018" s="71">
        <v>30</v>
      </c>
      <c r="F1018" s="71">
        <v>900008</v>
      </c>
      <c r="G1018" s="71" t="s">
        <v>3502</v>
      </c>
      <c r="H1018" s="71">
        <v>190</v>
      </c>
      <c r="I1018" s="71" t="s">
        <v>2873</v>
      </c>
      <c r="J1018" s="71">
        <v>1</v>
      </c>
      <c r="K1018" s="71" t="s">
        <v>223</v>
      </c>
      <c r="L1018" s="71" t="s">
        <v>3503</v>
      </c>
      <c r="M1018" s="71" t="s">
        <v>1717</v>
      </c>
      <c r="N1018" s="71">
        <v>1714574989</v>
      </c>
      <c r="Q1018" s="71">
        <v>0</v>
      </c>
      <c r="R1018" s="71" t="s">
        <v>3398</v>
      </c>
      <c r="S1018" s="71" t="s">
        <v>3399</v>
      </c>
      <c r="T1018" s="71" t="s">
        <v>3400</v>
      </c>
    </row>
    <row r="1019" spans="1:20" x14ac:dyDescent="0.3">
      <c r="A1019" s="72">
        <f>IFERROR(VLOOKUP($G1019,Conf!$B:$C,2,0),E1019)</f>
        <v>30</v>
      </c>
      <c r="B1019" s="72" t="str">
        <f ca="1">IF(D1019="Inativo","Inativo",VLOOKUP($S1019,Conf!$K:$M,2,0))</f>
        <v>SOCIO</v>
      </c>
      <c r="C1019" s="72" t="str">
        <f ca="1">IF(D1019="Inativo","Inativo",IFERROR(VLOOKUP($G1019,Conf!$F$19:$G$39,2,0),VLOOKUP($S1019,Conf!$K:$M,3,0)))</f>
        <v>GERENTE</v>
      </c>
      <c r="D1019" s="72" t="str">
        <f ca="1">IFERROR(IF(TODAY()-K1019&gt;365,"Inativo",IF(J1019=2,"Férias",IF(J1019=7,"Demitido","Afastamento"))),VLOOKUP(J1019,Conf!$H:$I,2,0))</f>
        <v>Ativos</v>
      </c>
      <c r="E1019" s="71">
        <v>30</v>
      </c>
      <c r="F1019" s="71">
        <v>900004</v>
      </c>
      <c r="G1019" s="71" t="s">
        <v>3504</v>
      </c>
      <c r="H1019" s="71">
        <v>190</v>
      </c>
      <c r="I1019" s="71" t="s">
        <v>2873</v>
      </c>
      <c r="J1019" s="71">
        <v>1</v>
      </c>
      <c r="K1019" s="71" t="s">
        <v>223</v>
      </c>
      <c r="L1019" s="71" t="s">
        <v>3505</v>
      </c>
      <c r="M1019" s="71" t="s">
        <v>1717</v>
      </c>
      <c r="N1019" s="71">
        <v>60646004972</v>
      </c>
      <c r="Q1019" s="71">
        <v>0</v>
      </c>
      <c r="R1019" s="71" t="s">
        <v>3398</v>
      </c>
      <c r="S1019" s="71" t="s">
        <v>3399</v>
      </c>
      <c r="T1019" s="71" t="s">
        <v>3400</v>
      </c>
    </row>
    <row r="1020" spans="1:20" x14ac:dyDescent="0.3">
      <c r="A1020" s="72">
        <f>IFERROR(VLOOKUP($G1020,Conf!$B:$C,2,0),E1020)</f>
        <v>30</v>
      </c>
      <c r="B1020" s="72" t="str">
        <f ca="1">IF(D1020="Inativo","Inativo",VLOOKUP($S1020,Conf!$K:$M,2,0))</f>
        <v>SOCIO</v>
      </c>
      <c r="C1020" s="72" t="str">
        <f ca="1">IF(D1020="Inativo","Inativo",IFERROR(VLOOKUP($G1020,Conf!$F$19:$G$39,2,0),VLOOKUP($S1020,Conf!$K:$M,3,0)))</f>
        <v>GERENTE</v>
      </c>
      <c r="D1020" s="72" t="str">
        <f ca="1">IFERROR(IF(TODAY()-K1020&gt;365,"Inativo",IF(J1020=2,"Férias",IF(J1020=7,"Demitido","Afastamento"))),VLOOKUP(J1020,Conf!$H:$I,2,0))</f>
        <v>Ativos</v>
      </c>
      <c r="E1020" s="71">
        <v>30</v>
      </c>
      <c r="F1020" s="71">
        <v>900003</v>
      </c>
      <c r="G1020" s="71" t="s">
        <v>3506</v>
      </c>
      <c r="H1020" s="71">
        <v>99999</v>
      </c>
      <c r="I1020" s="71" t="s">
        <v>3404</v>
      </c>
      <c r="J1020" s="71">
        <v>1</v>
      </c>
      <c r="K1020" s="71" t="s">
        <v>223</v>
      </c>
      <c r="L1020" s="71" t="s">
        <v>3507</v>
      </c>
      <c r="M1020" s="71" t="s">
        <v>1717</v>
      </c>
      <c r="N1020" s="71">
        <v>3710703921</v>
      </c>
      <c r="Q1020" s="71">
        <v>0</v>
      </c>
      <c r="R1020" s="71" t="s">
        <v>3398</v>
      </c>
      <c r="S1020" s="71" t="s">
        <v>3399</v>
      </c>
      <c r="T1020" s="71" t="s">
        <v>3400</v>
      </c>
    </row>
    <row r="1021" spans="1:20" x14ac:dyDescent="0.3">
      <c r="A1021" s="72">
        <f>IFERROR(VLOOKUP($G1021,Conf!$B:$C,2,0),E1021)</f>
        <v>30</v>
      </c>
      <c r="B1021" s="72" t="str">
        <f ca="1">IF(D1021="Inativo","Inativo",VLOOKUP($S1021,Conf!$K:$M,2,0))</f>
        <v>SOCIO</v>
      </c>
      <c r="C1021" s="72" t="str">
        <f ca="1">IF(D1021="Inativo","Inativo",IFERROR(VLOOKUP($G1021,Conf!$F$19:$G$39,2,0),VLOOKUP($S1021,Conf!$K:$M,3,0)))</f>
        <v>GERENTE</v>
      </c>
      <c r="D1021" s="72" t="str">
        <f ca="1">IFERROR(IF(TODAY()-K1021&gt;365,"Inativo",IF(J1021=2,"Férias",IF(J1021=7,"Demitido","Afastamento"))),VLOOKUP(J1021,Conf!$H:$I,2,0))</f>
        <v>Ativos</v>
      </c>
      <c r="E1021" s="71">
        <v>8</v>
      </c>
      <c r="F1021" s="71">
        <v>900001</v>
      </c>
      <c r="G1021" s="71" t="s">
        <v>3508</v>
      </c>
      <c r="H1021" s="71">
        <v>99999</v>
      </c>
      <c r="I1021" s="71" t="s">
        <v>3404</v>
      </c>
      <c r="J1021" s="71">
        <v>1</v>
      </c>
      <c r="K1021" s="71" t="s">
        <v>223</v>
      </c>
      <c r="L1021" s="71" t="s">
        <v>3509</v>
      </c>
      <c r="M1021" s="71" t="s">
        <v>3180</v>
      </c>
      <c r="N1021" s="71">
        <v>7843249990</v>
      </c>
      <c r="Q1021" s="71">
        <v>0</v>
      </c>
      <c r="R1021" s="71" t="s">
        <v>3510</v>
      </c>
      <c r="S1021" s="71" t="s">
        <v>3399</v>
      </c>
      <c r="T1021" s="71" t="s">
        <v>3400</v>
      </c>
    </row>
    <row r="1022" spans="1:20" x14ac:dyDescent="0.3">
      <c r="A1022" s="72">
        <f>IFERROR(VLOOKUP($G1022,Conf!$B:$C,2,0),E1022)</f>
        <v>30</v>
      </c>
      <c r="B1022" s="72" t="str">
        <f ca="1">IF(D1022="Inativo","Inativo",VLOOKUP($S1022,Conf!$K:$M,2,0))</f>
        <v>SOCIO</v>
      </c>
      <c r="C1022" s="72" t="str">
        <f ca="1">IF(D1022="Inativo","Inativo",IFERROR(VLOOKUP($G1022,Conf!$F$19:$G$39,2,0),VLOOKUP($S1022,Conf!$K:$M,3,0)))</f>
        <v>GERENTE</v>
      </c>
      <c r="D1022" s="72" t="str">
        <f ca="1">IFERROR(IF(TODAY()-K1022&gt;365,"Inativo",IF(J1022=2,"Férias",IF(J1022=7,"Demitido","Afastamento"))),VLOOKUP(J1022,Conf!$H:$I,2,0))</f>
        <v>Ativos</v>
      </c>
      <c r="E1022" s="71">
        <v>30</v>
      </c>
      <c r="F1022" s="71">
        <v>900007</v>
      </c>
      <c r="G1022" s="71" t="s">
        <v>3511</v>
      </c>
      <c r="H1022" s="71">
        <v>47</v>
      </c>
      <c r="I1022" s="71" t="s">
        <v>222</v>
      </c>
      <c r="J1022" s="71">
        <v>1</v>
      </c>
      <c r="K1022" s="71" t="s">
        <v>223</v>
      </c>
      <c r="L1022" s="71" t="s">
        <v>3512</v>
      </c>
      <c r="M1022" s="71" t="s">
        <v>1717</v>
      </c>
      <c r="N1022" s="71">
        <v>4201569926</v>
      </c>
      <c r="Q1022" s="71">
        <v>0</v>
      </c>
      <c r="R1022" s="71" t="s">
        <v>3398</v>
      </c>
      <c r="S1022" s="71" t="s">
        <v>3399</v>
      </c>
      <c r="T1022" s="71" t="s">
        <v>3400</v>
      </c>
    </row>
    <row r="1023" spans="1:20" x14ac:dyDescent="0.3">
      <c r="A1023" s="72">
        <f>IFERROR(VLOOKUP($G1023,Conf!$B:$C,2,0),E1023)</f>
        <v>30</v>
      </c>
      <c r="B1023" s="72" t="str">
        <f ca="1">IF(D1023="Inativo","Inativo",VLOOKUP($S1023,Conf!$K:$M,2,0))</f>
        <v>SOCIO</v>
      </c>
      <c r="C1023" s="72" t="str">
        <f ca="1">IF(D1023="Inativo","Inativo",IFERROR(VLOOKUP($G1023,Conf!$F$19:$G$39,2,0),VLOOKUP($S1023,Conf!$K:$M,3,0)))</f>
        <v>GERENTE</v>
      </c>
      <c r="D1023" s="72" t="str">
        <f ca="1">IFERROR(IF(TODAY()-K1023&gt;365,"Inativo",IF(J1023=2,"Férias",IF(J1023=7,"Demitido","Afastamento"))),VLOOKUP(J1023,Conf!$H:$I,2,0))</f>
        <v>Ativos</v>
      </c>
      <c r="E1023" s="71">
        <v>30</v>
      </c>
      <c r="F1023" s="71">
        <v>900006</v>
      </c>
      <c r="G1023" s="71" t="s">
        <v>3513</v>
      </c>
      <c r="H1023" s="71">
        <v>47</v>
      </c>
      <c r="I1023" s="71" t="s">
        <v>222</v>
      </c>
      <c r="J1023" s="71">
        <v>1</v>
      </c>
      <c r="K1023" s="71" t="s">
        <v>223</v>
      </c>
      <c r="L1023" s="71" t="s">
        <v>3514</v>
      </c>
      <c r="M1023" s="71" t="s">
        <v>1717</v>
      </c>
      <c r="N1023" s="71">
        <v>3134079917</v>
      </c>
      <c r="Q1023" s="71">
        <v>0</v>
      </c>
      <c r="R1023" s="71" t="s">
        <v>3398</v>
      </c>
      <c r="S1023" s="71" t="s">
        <v>3399</v>
      </c>
      <c r="T1023" s="71" t="s">
        <v>3400</v>
      </c>
    </row>
    <row r="1024" spans="1:20" x14ac:dyDescent="0.3">
      <c r="A1024" s="72">
        <f>IFERROR(VLOOKUP($G1024,Conf!$B:$C,2,0),E1024)</f>
        <v>30</v>
      </c>
      <c r="B1024" s="72" t="str">
        <f ca="1">IF(D1024="Inativo","Inativo",VLOOKUP($S1024,Conf!$K:$M,2,0))</f>
        <v>SOCIO</v>
      </c>
      <c r="C1024" s="72" t="str">
        <f ca="1">IF(D1024="Inativo","Inativo",IFERROR(VLOOKUP($G1024,Conf!$F$19:$G$39,2,0),VLOOKUP($S1024,Conf!$K:$M,3,0)))</f>
        <v>GERENTE</v>
      </c>
      <c r="D1024" s="72" t="str">
        <f ca="1">IFERROR(IF(TODAY()-K1024&gt;365,"Inativo",IF(J1024=2,"Férias",IF(J1024=7,"Demitido","Afastamento"))),VLOOKUP(J1024,Conf!$H:$I,2,0))</f>
        <v>Ativos</v>
      </c>
      <c r="E1024" s="71">
        <v>30</v>
      </c>
      <c r="F1024" s="71">
        <v>900003</v>
      </c>
      <c r="G1024" s="71" t="s">
        <v>3513</v>
      </c>
      <c r="H1024" s="71">
        <v>99999</v>
      </c>
      <c r="I1024" s="71" t="s">
        <v>3404</v>
      </c>
      <c r="J1024" s="71">
        <v>1</v>
      </c>
      <c r="K1024" s="71" t="s">
        <v>223</v>
      </c>
      <c r="L1024" s="71" t="s">
        <v>3514</v>
      </c>
      <c r="M1024" s="71" t="s">
        <v>3651</v>
      </c>
      <c r="N1024" s="71">
        <v>3134079917</v>
      </c>
      <c r="Q1024" s="71">
        <v>0</v>
      </c>
      <c r="R1024" s="71" t="s">
        <v>3398</v>
      </c>
      <c r="S1024" s="71" t="s">
        <v>3399</v>
      </c>
      <c r="T1024" s="71" t="s">
        <v>3400</v>
      </c>
    </row>
    <row r="1025" spans="1:20" x14ac:dyDescent="0.3">
      <c r="A1025" s="72">
        <f>IFERROR(VLOOKUP($G1025,Conf!$B:$C,2,0),E1025)</f>
        <v>30</v>
      </c>
      <c r="B1025" s="72" t="str">
        <f ca="1">IF(D1025="Inativo","Inativo",VLOOKUP($S1025,Conf!$K:$M,2,0))</f>
        <v>SOCIO</v>
      </c>
      <c r="C1025" s="72" t="str">
        <f ca="1">IF(D1025="Inativo","Inativo",IFERROR(VLOOKUP($G1025,Conf!$F$19:$G$39,2,0),VLOOKUP($S1025,Conf!$K:$M,3,0)))</f>
        <v>GERENTE</v>
      </c>
      <c r="D1025" s="72" t="str">
        <f ca="1">IFERROR(IF(TODAY()-K1025&gt;365,"Inativo",IF(J1025=2,"Férias",IF(J1025=7,"Demitido","Afastamento"))),VLOOKUP(J1025,Conf!$H:$I,2,0))</f>
        <v>Ativos</v>
      </c>
      <c r="E1025" s="71">
        <v>30</v>
      </c>
      <c r="F1025" s="71">
        <v>900001</v>
      </c>
      <c r="G1025" s="71" t="s">
        <v>3395</v>
      </c>
      <c r="H1025" s="71">
        <v>47</v>
      </c>
      <c r="I1025" s="71" t="s">
        <v>222</v>
      </c>
      <c r="J1025" s="71">
        <v>1</v>
      </c>
      <c r="K1025" s="71" t="s">
        <v>223</v>
      </c>
      <c r="L1025" s="71" t="s">
        <v>3396</v>
      </c>
      <c r="M1025" s="71" t="s">
        <v>3397</v>
      </c>
      <c r="N1025" s="71">
        <v>9355686978</v>
      </c>
      <c r="Q1025" s="71">
        <v>0</v>
      </c>
      <c r="R1025" s="71" t="s">
        <v>3398</v>
      </c>
      <c r="S1025" s="71" t="s">
        <v>3399</v>
      </c>
      <c r="T1025" s="71" t="s">
        <v>3400</v>
      </c>
    </row>
    <row r="1026" spans="1:20" x14ac:dyDescent="0.3">
      <c r="A1026" s="72">
        <f>IFERROR(VLOOKUP($G1026,Conf!$B:$C,2,0),E1026)</f>
        <v>30</v>
      </c>
      <c r="B1026" s="72" t="str">
        <f ca="1">IF(D1026="Inativo","Inativo",VLOOKUP($S1026,Conf!$K:$M,2,0))</f>
        <v>SOCIO</v>
      </c>
      <c r="C1026" s="72" t="str">
        <f ca="1">IF(D1026="Inativo","Inativo",IFERROR(VLOOKUP($G1026,Conf!$F$19:$G$39,2,0),VLOOKUP($S1026,Conf!$K:$M,3,0)))</f>
        <v>GERENTE</v>
      </c>
      <c r="D1026" s="72" t="str">
        <f ca="1">IFERROR(IF(TODAY()-K1026&gt;365,"Inativo",IF(J1026=2,"Férias",IF(J1026=7,"Demitido","Afastamento"))),VLOOKUP(J1026,Conf!$H:$I,2,0))</f>
        <v>Ativos</v>
      </c>
      <c r="E1026" s="71">
        <v>1</v>
      </c>
      <c r="F1026" s="71">
        <v>900002</v>
      </c>
      <c r="G1026" s="71" t="s">
        <v>3515</v>
      </c>
      <c r="H1026" s="71">
        <v>190</v>
      </c>
      <c r="I1026" s="71" t="s">
        <v>2873</v>
      </c>
      <c r="J1026" s="71">
        <v>1</v>
      </c>
      <c r="K1026" s="71" t="s">
        <v>223</v>
      </c>
      <c r="L1026" s="71" t="s">
        <v>3516</v>
      </c>
      <c r="M1026" s="71" t="s">
        <v>1168</v>
      </c>
      <c r="N1026" s="71">
        <v>12153363900</v>
      </c>
      <c r="Q1026" s="71">
        <v>0</v>
      </c>
      <c r="R1026" s="71" t="s">
        <v>3510</v>
      </c>
      <c r="S1026" s="71" t="s">
        <v>3399</v>
      </c>
      <c r="T1026" s="71" t="s">
        <v>3400</v>
      </c>
    </row>
    <row r="1027" spans="1:20" x14ac:dyDescent="0.3">
      <c r="A1027" s="72">
        <f>IFERROR(VLOOKUP($G1027,Conf!$B:$C,2,0),E1027)</f>
        <v>30</v>
      </c>
      <c r="B1027" s="72" t="str">
        <f ca="1">IF(D1027="Inativo","Inativo",VLOOKUP($S1027,Conf!$K:$M,2,0))</f>
        <v>SOCIO</v>
      </c>
      <c r="C1027" s="72" t="str">
        <f ca="1">IF(D1027="Inativo","Inativo",IFERROR(VLOOKUP($G1027,Conf!$F$19:$G$39,2,0),VLOOKUP($S1027,Conf!$K:$M,3,0)))</f>
        <v>GERENTE</v>
      </c>
      <c r="D1027" s="72" t="str">
        <f ca="1">IFERROR(IF(TODAY()-K1027&gt;365,"Inativo",IF(J1027=2,"Férias",IF(J1027=7,"Demitido","Afastamento"))),VLOOKUP(J1027,Conf!$H:$I,2,0))</f>
        <v>Ativos</v>
      </c>
      <c r="E1027" s="71">
        <v>30</v>
      </c>
      <c r="F1027" s="71">
        <v>900002</v>
      </c>
      <c r="G1027" s="71" t="s">
        <v>3401</v>
      </c>
      <c r="H1027" s="71">
        <v>47</v>
      </c>
      <c r="I1027" s="71" t="s">
        <v>222</v>
      </c>
      <c r="J1027" s="71">
        <v>1</v>
      </c>
      <c r="K1027" s="71" t="s">
        <v>223</v>
      </c>
      <c r="L1027" s="71" t="s">
        <v>3402</v>
      </c>
      <c r="M1027" s="71" t="s">
        <v>712</v>
      </c>
      <c r="N1027" s="71">
        <v>10518933997</v>
      </c>
      <c r="Q1027" s="71">
        <v>0</v>
      </c>
      <c r="R1027" s="71" t="s">
        <v>3398</v>
      </c>
      <c r="S1027" s="71" t="s">
        <v>3399</v>
      </c>
      <c r="T1027" s="71" t="s">
        <v>3400</v>
      </c>
    </row>
    <row r="1028" spans="1:20" x14ac:dyDescent="0.3">
      <c r="A1028" s="72">
        <f>IFERROR(VLOOKUP($G1028,Conf!$B:$C,2,0),E1028)</f>
        <v>30</v>
      </c>
      <c r="B1028" s="72" t="str">
        <f ca="1">IF(D1028="Inativo","Inativo",VLOOKUP($S1028,Conf!$K:$M,2,0))</f>
        <v>SOCIO</v>
      </c>
      <c r="C1028" s="72" t="str">
        <f ca="1">IF(D1028="Inativo","Inativo",IFERROR(VLOOKUP($G1028,Conf!$F$19:$G$39,2,0),VLOOKUP($S1028,Conf!$K:$M,3,0)))</f>
        <v>GERENTE</v>
      </c>
      <c r="D1028" s="72" t="str">
        <f ca="1">IFERROR(IF(TODAY()-K1028&gt;365,"Inativo",IF(J1028=2,"Férias",IF(J1028=7,"Demitido","Afastamento"))),VLOOKUP(J1028,Conf!$H:$I,2,0))</f>
        <v>Ativos</v>
      </c>
      <c r="E1028" s="71">
        <v>30</v>
      </c>
      <c r="F1028" s="71">
        <v>900002</v>
      </c>
      <c r="G1028" s="71" t="s">
        <v>3403</v>
      </c>
      <c r="H1028" s="71">
        <v>99999</v>
      </c>
      <c r="I1028" s="71" t="s">
        <v>3404</v>
      </c>
      <c r="J1028" s="71">
        <v>1</v>
      </c>
      <c r="K1028" s="71" t="s">
        <v>223</v>
      </c>
      <c r="L1028" s="71" t="s">
        <v>3405</v>
      </c>
      <c r="M1028" s="71" t="s">
        <v>3406</v>
      </c>
      <c r="N1028" s="71">
        <v>2242627937</v>
      </c>
      <c r="Q1028" s="71">
        <v>0</v>
      </c>
      <c r="R1028" s="71" t="s">
        <v>3398</v>
      </c>
      <c r="S1028" s="71" t="s">
        <v>3399</v>
      </c>
      <c r="T1028" s="71" t="s">
        <v>3400</v>
      </c>
    </row>
    <row r="1029" spans="1:20" x14ac:dyDescent="0.3">
      <c r="A1029" s="72">
        <f>IFERROR(VLOOKUP($G1029,Conf!$B:$C,2,0),E1029)</f>
        <v>30</v>
      </c>
      <c r="B1029" s="72" t="str">
        <f ca="1">IF(D1029="Inativo","Inativo",VLOOKUP($S1029,Conf!$K:$M,2,0))</f>
        <v>SOCIO</v>
      </c>
      <c r="C1029" s="72" t="str">
        <f ca="1">IF(D1029="Inativo","Inativo",IFERROR(VLOOKUP($G1029,Conf!$F$19:$G$39,2,0),VLOOKUP($S1029,Conf!$K:$M,3,0)))</f>
        <v>GERENTE</v>
      </c>
      <c r="D1029" s="72" t="str">
        <f ca="1">IFERROR(IF(TODAY()-K1029&gt;365,"Inativo",IF(J1029=2,"Férias",IF(J1029=7,"Demitido","Afastamento"))),VLOOKUP(J1029,Conf!$H:$I,2,0))</f>
        <v>Ativos</v>
      </c>
      <c r="E1029" s="71">
        <v>30</v>
      </c>
      <c r="F1029" s="71">
        <v>900005</v>
      </c>
      <c r="G1029" s="71" t="s">
        <v>3517</v>
      </c>
      <c r="H1029" s="71">
        <v>190</v>
      </c>
      <c r="I1029" s="71" t="s">
        <v>2873</v>
      </c>
      <c r="J1029" s="71">
        <v>1</v>
      </c>
      <c r="K1029" s="71" t="s">
        <v>223</v>
      </c>
      <c r="L1029" s="71" t="s">
        <v>3518</v>
      </c>
      <c r="M1029" s="71" t="s">
        <v>1717</v>
      </c>
      <c r="N1029" s="71">
        <v>2001771924</v>
      </c>
      <c r="Q1029" s="71">
        <v>0</v>
      </c>
      <c r="R1029" s="71" t="s">
        <v>3398</v>
      </c>
      <c r="S1029" s="71" t="s">
        <v>3399</v>
      </c>
      <c r="T1029" s="71" t="s">
        <v>3400</v>
      </c>
    </row>
    <row r="1030" spans="1:20" x14ac:dyDescent="0.3">
      <c r="A1030" s="72">
        <f>IFERROR(VLOOKUP($G1030,Conf!$B:$C,2,0),E1030)</f>
        <v>30</v>
      </c>
      <c r="B1030" s="72" t="str">
        <f ca="1">IF(D1030="Inativo","Inativo",VLOOKUP($S1030,Conf!$K:$M,2,0))</f>
        <v>SOCIO</v>
      </c>
      <c r="C1030" s="72" t="str">
        <f ca="1">IF(D1030="Inativo","Inativo",IFERROR(VLOOKUP($G1030,Conf!$F$19:$G$39,2,0),VLOOKUP($S1030,Conf!$K:$M,3,0)))</f>
        <v>GERENTE</v>
      </c>
      <c r="D1030" s="72" t="str">
        <f ca="1">IFERROR(IF(TODAY()-K1030&gt;365,"Inativo",IF(J1030=2,"Férias",IF(J1030=7,"Demitido","Afastamento"))),VLOOKUP(J1030,Conf!$H:$I,2,0))</f>
        <v>Ativos</v>
      </c>
      <c r="E1030" s="71">
        <v>30</v>
      </c>
      <c r="F1030" s="71">
        <v>900002</v>
      </c>
      <c r="G1030" s="71" t="s">
        <v>3407</v>
      </c>
      <c r="H1030" s="71">
        <v>47</v>
      </c>
      <c r="I1030" s="71" t="s">
        <v>222</v>
      </c>
      <c r="J1030" s="71">
        <v>1</v>
      </c>
      <c r="K1030" s="71" t="s">
        <v>223</v>
      </c>
      <c r="L1030" s="71" t="s">
        <v>3408</v>
      </c>
      <c r="M1030" s="71" t="s">
        <v>3409</v>
      </c>
      <c r="N1030" s="71">
        <v>12352193990</v>
      </c>
      <c r="Q1030" s="71">
        <v>0</v>
      </c>
      <c r="R1030" s="71" t="s">
        <v>3410</v>
      </c>
      <c r="S1030" s="71" t="s">
        <v>3411</v>
      </c>
      <c r="T1030" s="71" t="s">
        <v>3365</v>
      </c>
    </row>
    <row r="1031" spans="1:20" x14ac:dyDescent="0.3">
      <c r="A1031" s="72">
        <f>IFERROR(VLOOKUP($G1031,Conf!$B:$C,2,0),E1031)</f>
        <v>30</v>
      </c>
      <c r="B1031" s="72" t="str">
        <f ca="1">IF(D1031="Inativo","Inativo",VLOOKUP($S1031,Conf!$K:$M,2,0))</f>
        <v>SOCIO</v>
      </c>
      <c r="C1031" s="72" t="str">
        <f ca="1">IF(D1031="Inativo","Inativo",IFERROR(VLOOKUP($G1031,Conf!$F$19:$G$39,2,0),VLOOKUP($S1031,Conf!$K:$M,3,0)))</f>
        <v>GERENTE</v>
      </c>
      <c r="D1031" s="72" t="str">
        <f ca="1">IFERROR(IF(TODAY()-K1031&gt;365,"Inativo",IF(J1031=2,"Férias",IF(J1031=7,"Demitido","Afastamento"))),VLOOKUP(J1031,Conf!$H:$I,2,0))</f>
        <v>Ativos</v>
      </c>
      <c r="E1031" s="71">
        <v>30</v>
      </c>
      <c r="F1031" s="71">
        <v>900001</v>
      </c>
      <c r="G1031" s="71" t="s">
        <v>3412</v>
      </c>
      <c r="H1031" s="71">
        <v>99999</v>
      </c>
      <c r="I1031" s="71" t="s">
        <v>3404</v>
      </c>
      <c r="J1031" s="71">
        <v>1</v>
      </c>
      <c r="K1031" s="71" t="s">
        <v>223</v>
      </c>
      <c r="L1031" s="71" t="s">
        <v>3413</v>
      </c>
      <c r="M1031" s="71" t="s">
        <v>3414</v>
      </c>
      <c r="N1031" s="71">
        <v>4222761974</v>
      </c>
      <c r="Q1031" s="71">
        <v>0</v>
      </c>
      <c r="R1031" s="71" t="s">
        <v>3398</v>
      </c>
      <c r="S1031" s="71" t="s">
        <v>3399</v>
      </c>
      <c r="T1031" s="71" t="s">
        <v>3400</v>
      </c>
    </row>
    <row r="1032" spans="1:20" x14ac:dyDescent="0.3">
      <c r="A1032" s="72">
        <f>IFERROR(VLOOKUP($G1032,Conf!$B:$C,2,0),E1032)</f>
        <v>30</v>
      </c>
      <c r="B1032" s="72" t="str">
        <f ca="1">IF(D1032="Inativo","Inativo",VLOOKUP($S1032,Conf!$K:$M,2,0))</f>
        <v>SUPERVISOR</v>
      </c>
      <c r="C1032" s="72" t="str">
        <f ca="1">IF(D1032="Inativo","Inativo",IFERROR(VLOOKUP($G1032,Conf!$F$19:$G$39,2,0),VLOOKUP($S1032,Conf!$K:$M,3,0)))</f>
        <v>SUPERVISOR</v>
      </c>
      <c r="D1032" s="72" t="str">
        <f ca="1">IFERROR(IF(TODAY()-K1032&gt;365,"Inativo",IF(J1032=2,"Férias",IF(J1032=7,"Demitido","Afastamento"))),VLOOKUP(J1032,Conf!$H:$I,2,0))</f>
        <v>Ativos</v>
      </c>
      <c r="E1032" s="71">
        <v>8</v>
      </c>
      <c r="F1032" s="71">
        <v>100</v>
      </c>
      <c r="G1032" s="71" t="s">
        <v>3519</v>
      </c>
      <c r="H1032" s="71">
        <v>47</v>
      </c>
      <c r="I1032" s="71" t="s">
        <v>222</v>
      </c>
      <c r="J1032" s="71">
        <v>1</v>
      </c>
      <c r="K1032" s="71" t="s">
        <v>223</v>
      </c>
      <c r="L1032" s="71" t="s">
        <v>3520</v>
      </c>
      <c r="M1032" s="71" t="s">
        <v>3521</v>
      </c>
      <c r="N1032" s="71">
        <v>30265524881</v>
      </c>
      <c r="Q1032" s="71">
        <v>0</v>
      </c>
      <c r="R1032" s="71" t="s">
        <v>3522</v>
      </c>
      <c r="S1032" s="71" t="s">
        <v>3523</v>
      </c>
      <c r="T1032" s="71" t="s">
        <v>3308</v>
      </c>
    </row>
    <row r="1033" spans="1:20" x14ac:dyDescent="0.3">
      <c r="A1033" s="72">
        <f>IFERROR(VLOOKUP($G1033,Conf!$B:$C,2,0),E1033)</f>
        <v>30</v>
      </c>
      <c r="B1033" s="72" t="str">
        <f ca="1">IF(D1033="Inativo","Inativo",VLOOKUP($S1033,Conf!$K:$M,2,0))</f>
        <v>TI</v>
      </c>
      <c r="C1033" s="72" t="str">
        <f ca="1">IF(D1033="Inativo","Inativo",IFERROR(VLOOKUP($G1033,Conf!$F$19:$G$39,2,0),VLOOKUP($S1033,Conf!$K:$M,3,0)))</f>
        <v>ASSISTENTE</v>
      </c>
      <c r="D1033" s="72" t="str">
        <f ca="1">IFERROR(IF(TODAY()-K1033&gt;365,"Inativo",IF(J1033=2,"Férias",IF(J1033=7,"Demitido","Afastamento"))),VLOOKUP(J1033,Conf!$H:$I,2,0))</f>
        <v>Ativos</v>
      </c>
      <c r="E1033" s="71">
        <v>30</v>
      </c>
      <c r="F1033" s="71">
        <v>171</v>
      </c>
      <c r="G1033" s="71" t="s">
        <v>3415</v>
      </c>
      <c r="H1033" s="71">
        <v>92</v>
      </c>
      <c r="I1033" s="71" t="s">
        <v>1553</v>
      </c>
      <c r="J1033" s="71">
        <v>1</v>
      </c>
      <c r="K1033" s="71" t="s">
        <v>223</v>
      </c>
      <c r="L1033" s="71" t="s">
        <v>3416</v>
      </c>
      <c r="M1033" s="71" t="s">
        <v>3055</v>
      </c>
      <c r="N1033" s="71">
        <v>1034321919</v>
      </c>
      <c r="Q1033" s="71">
        <v>0</v>
      </c>
      <c r="R1033" s="71" t="s">
        <v>3417</v>
      </c>
      <c r="S1033" s="71" t="s">
        <v>3418</v>
      </c>
      <c r="T1033" s="71" t="s">
        <v>3419</v>
      </c>
    </row>
    <row r="1034" spans="1:20" x14ac:dyDescent="0.3">
      <c r="A1034" s="72">
        <f>IFERROR(VLOOKUP($G1034,Conf!$B:$C,2,0),E1034)</f>
        <v>30</v>
      </c>
      <c r="B1034" s="72" t="str">
        <f ca="1">IF(D1034="Inativo","Inativo",VLOOKUP($S1034,Conf!$K:$M,2,0))</f>
        <v>TI</v>
      </c>
      <c r="C1034" s="72" t="str">
        <f ca="1">IF(D1034="Inativo","Inativo",IFERROR(VLOOKUP($G1034,Conf!$F$19:$G$39,2,0),VLOOKUP($S1034,Conf!$K:$M,3,0)))</f>
        <v>ASSISTENTE</v>
      </c>
      <c r="D1034" s="72" t="str">
        <f ca="1">IFERROR(IF(TODAY()-K1034&gt;365,"Inativo",IF(J1034=2,"Férias",IF(J1034=7,"Demitido","Afastamento"))),VLOOKUP(J1034,Conf!$H:$I,2,0))</f>
        <v>Ativos</v>
      </c>
      <c r="E1034" s="71">
        <v>30</v>
      </c>
      <c r="F1034" s="71">
        <v>302</v>
      </c>
      <c r="G1034" s="71" t="s">
        <v>3369</v>
      </c>
      <c r="H1034" s="71">
        <v>92</v>
      </c>
      <c r="I1034" s="71" t="s">
        <v>1553</v>
      </c>
      <c r="J1034" s="71">
        <v>1</v>
      </c>
      <c r="K1034" s="71" t="s">
        <v>223</v>
      </c>
      <c r="L1034" s="71" t="s">
        <v>3370</v>
      </c>
      <c r="M1034" s="71" t="s">
        <v>460</v>
      </c>
      <c r="N1034" s="71">
        <v>12115335490</v>
      </c>
      <c r="O1034" s="71" t="s">
        <v>245</v>
      </c>
      <c r="P1034" s="71" t="s">
        <v>246</v>
      </c>
      <c r="Q1034" s="71">
        <v>0</v>
      </c>
      <c r="R1034" s="71" t="s">
        <v>3417</v>
      </c>
      <c r="S1034" s="71" t="s">
        <v>3418</v>
      </c>
      <c r="T1034" s="71" t="s">
        <v>3419</v>
      </c>
    </row>
    <row r="1035" spans="1:20" x14ac:dyDescent="0.3">
      <c r="A1035" s="72">
        <f>IFERROR(VLOOKUP($G1035,Conf!$B:$C,2,0),E1035)</f>
        <v>30</v>
      </c>
      <c r="B1035" s="72" t="str">
        <f ca="1">IF(D1035="Inativo","Inativo",VLOOKUP($S1035,Conf!$K:$M,2,0))</f>
        <v>TI</v>
      </c>
      <c r="C1035" s="72" t="str">
        <f ca="1">IF(D1035="Inativo","Inativo",IFERROR(VLOOKUP($G1035,Conf!$F$19:$G$39,2,0),VLOOKUP($S1035,Conf!$K:$M,3,0)))</f>
        <v>ASSISTENTE</v>
      </c>
      <c r="D1035" s="72" t="str">
        <f ca="1">IFERROR(IF(TODAY()-K1035&gt;365,"Inativo",IF(J1035=2,"Férias",IF(J1035=7,"Demitido","Afastamento"))),VLOOKUP(J1035,Conf!$H:$I,2,0))</f>
        <v>Ativos</v>
      </c>
      <c r="E1035" s="71">
        <v>30</v>
      </c>
      <c r="F1035" s="71">
        <v>276</v>
      </c>
      <c r="G1035" s="71" t="s">
        <v>3420</v>
      </c>
      <c r="H1035" s="71">
        <v>92</v>
      </c>
      <c r="I1035" s="71" t="s">
        <v>1553</v>
      </c>
      <c r="J1035" s="71">
        <v>1</v>
      </c>
      <c r="K1035" s="71" t="s">
        <v>223</v>
      </c>
      <c r="L1035" s="71" t="s">
        <v>3421</v>
      </c>
      <c r="M1035" s="71" t="s">
        <v>3422</v>
      </c>
      <c r="N1035" s="71">
        <v>8139360988</v>
      </c>
      <c r="Q1035" s="71">
        <v>0</v>
      </c>
      <c r="R1035" s="71" t="s">
        <v>3423</v>
      </c>
      <c r="S1035" s="71" t="s">
        <v>3418</v>
      </c>
      <c r="T1035" s="71" t="s">
        <v>3394</v>
      </c>
    </row>
    <row r="1036" spans="1:20" x14ac:dyDescent="0.3">
      <c r="A1036" s="72">
        <f>IFERROR(VLOOKUP($G1036,Conf!$B:$C,2,0),E1036)</f>
        <v>30</v>
      </c>
      <c r="B1036" s="72" t="str">
        <f ca="1">IF(D1036="Inativo","Inativo",VLOOKUP($S1036,Conf!$K:$M,2,0))</f>
        <v>TI</v>
      </c>
      <c r="C1036" s="72" t="str">
        <f ca="1">IF(D1036="Inativo","Inativo",IFERROR(VLOOKUP($G1036,Conf!$F$19:$G$39,2,0),VLOOKUP($S1036,Conf!$K:$M,3,0)))</f>
        <v>TECNICO</v>
      </c>
      <c r="D1036" s="72" t="str">
        <f ca="1">IFERROR(IF(TODAY()-K1036&gt;365,"Inativo",IF(J1036=2,"Férias",IF(J1036=7,"Demitido","Afastamento"))),VLOOKUP(J1036,Conf!$H:$I,2,0))</f>
        <v>Ativos</v>
      </c>
      <c r="E1036" s="71">
        <v>30</v>
      </c>
      <c r="F1036" s="71">
        <v>2</v>
      </c>
      <c r="G1036" s="71" t="s">
        <v>3424</v>
      </c>
      <c r="H1036" s="71">
        <v>92</v>
      </c>
      <c r="I1036" s="71" t="s">
        <v>1553</v>
      </c>
      <c r="J1036" s="71">
        <v>1</v>
      </c>
      <c r="K1036" s="71" t="s">
        <v>223</v>
      </c>
      <c r="L1036" s="71" t="s">
        <v>3425</v>
      </c>
      <c r="M1036" s="71" t="s">
        <v>3426</v>
      </c>
      <c r="N1036" s="71">
        <v>5660329969</v>
      </c>
      <c r="Q1036" s="71">
        <v>0</v>
      </c>
      <c r="R1036" s="71" t="s">
        <v>3427</v>
      </c>
      <c r="S1036" s="71" t="s">
        <v>3428</v>
      </c>
      <c r="T1036" s="71" t="s">
        <v>3429</v>
      </c>
    </row>
    <row r="1037" spans="1:20" x14ac:dyDescent="0.3">
      <c r="A1037" s="72">
        <f>IFERROR(VLOOKUP($G1037,Conf!$B:$C,2,0),E1037)</f>
        <v>30</v>
      </c>
      <c r="B1037" s="72" t="str">
        <f ca="1">IF(D1037="Inativo","Inativo",VLOOKUP($S1037,Conf!$K:$M,2,0))</f>
        <v>VENDAS</v>
      </c>
      <c r="C1037" s="72" t="str">
        <f ca="1">IF(D1037="Inativo","Inativo",IFERROR(VLOOKUP($G1037,Conf!$F$19:$G$39,2,0),VLOOKUP($S1037,Conf!$K:$M,3,0)))</f>
        <v>VENDAS</v>
      </c>
      <c r="D1037" s="72" t="str">
        <f ca="1">IFERROR(IF(TODAY()-K1037&gt;365,"Inativo",IF(J1037=2,"Férias",IF(J1037=7,"Demitido","Afastamento"))),VLOOKUP(J1037,Conf!$H:$I,2,0))</f>
        <v>Ativos</v>
      </c>
      <c r="E1037" s="71">
        <v>30</v>
      </c>
      <c r="F1037" s="71">
        <v>13</v>
      </c>
      <c r="G1037" s="71" t="s">
        <v>3502</v>
      </c>
      <c r="H1037" s="71">
        <v>190</v>
      </c>
      <c r="I1037" s="71" t="s">
        <v>2873</v>
      </c>
      <c r="J1037" s="71">
        <v>1</v>
      </c>
      <c r="K1037" s="71" t="s">
        <v>223</v>
      </c>
      <c r="L1037" s="71" t="s">
        <v>3503</v>
      </c>
      <c r="M1037" s="71" t="s">
        <v>2875</v>
      </c>
      <c r="N1037" s="71">
        <v>1714574989</v>
      </c>
      <c r="Q1037" s="71">
        <v>0</v>
      </c>
      <c r="R1037" s="71" t="s">
        <v>3433</v>
      </c>
      <c r="S1037" s="71" t="s">
        <v>8</v>
      </c>
      <c r="T1037" s="71" t="s">
        <v>3434</v>
      </c>
    </row>
    <row r="1038" spans="1:20" x14ac:dyDescent="0.3">
      <c r="A1038" s="72">
        <f>IFERROR(VLOOKUP($G1038,Conf!$B:$C,2,0),E1038)</f>
        <v>30</v>
      </c>
      <c r="B1038" s="72" t="str">
        <f ca="1">IF(D1038="Inativo","Inativo",VLOOKUP($S1038,Conf!$K:$M,2,0))</f>
        <v>VENDAS</v>
      </c>
      <c r="C1038" s="72" t="str">
        <f ca="1">IF(D1038="Inativo","Inativo",IFERROR(VLOOKUP($G1038,Conf!$F$19:$G$39,2,0),VLOOKUP($S1038,Conf!$K:$M,3,0)))</f>
        <v>VENDAS</v>
      </c>
      <c r="D1038" s="72" t="str">
        <f ca="1">IFERROR(IF(TODAY()-K1038&gt;365,"Inativo",IF(J1038=2,"Férias",IF(J1038=7,"Demitido","Afastamento"))),VLOOKUP(J1038,Conf!$H:$I,2,0))</f>
        <v>Ativos</v>
      </c>
      <c r="E1038" s="71">
        <v>30</v>
      </c>
      <c r="F1038" s="71">
        <v>3</v>
      </c>
      <c r="G1038" s="71" t="s">
        <v>3430</v>
      </c>
      <c r="H1038" s="71">
        <v>101</v>
      </c>
      <c r="I1038" s="71" t="s">
        <v>1553</v>
      </c>
      <c r="J1038" s="71">
        <v>1</v>
      </c>
      <c r="K1038" s="71" t="s">
        <v>223</v>
      </c>
      <c r="L1038" s="71" t="s">
        <v>3431</v>
      </c>
      <c r="M1038" s="71" t="s">
        <v>3432</v>
      </c>
      <c r="N1038" s="71">
        <v>37065114953</v>
      </c>
      <c r="Q1038" s="71">
        <v>0</v>
      </c>
      <c r="R1038" s="71" t="s">
        <v>3433</v>
      </c>
      <c r="S1038" s="71" t="s">
        <v>8</v>
      </c>
      <c r="T1038" s="71" t="s">
        <v>3434</v>
      </c>
    </row>
    <row r="1039" spans="1:20" x14ac:dyDescent="0.3">
      <c r="A1039" s="72">
        <f>IFERROR(VLOOKUP($G1039,Conf!$B:$C,2,0),E1039)</f>
        <v>30</v>
      </c>
      <c r="B1039" s="72" t="str">
        <f ca="1">IF(D1039="Inativo","Inativo",VLOOKUP($S1039,Conf!$K:$M,2,0))</f>
        <v>VENDAS</v>
      </c>
      <c r="C1039" s="72" t="str">
        <f ca="1">IF(D1039="Inativo","Inativo",IFERROR(VLOOKUP($G1039,Conf!$F$19:$G$39,2,0),VLOOKUP($S1039,Conf!$K:$M,3,0)))</f>
        <v>VENDEDOR</v>
      </c>
      <c r="D1039" s="72" t="str">
        <f ca="1">IFERROR(IF(TODAY()-K1039&gt;365,"Inativo",IF(J1039=2,"Férias",IF(J1039=7,"Demitido","Afastamento"))),VLOOKUP(J1039,Conf!$H:$I,2,0))</f>
        <v>Ativos</v>
      </c>
      <c r="E1039" s="71">
        <v>30</v>
      </c>
      <c r="F1039" s="71">
        <v>132</v>
      </c>
      <c r="G1039" s="71" t="s">
        <v>3435</v>
      </c>
      <c r="H1039" s="71">
        <v>92</v>
      </c>
      <c r="I1039" s="71" t="s">
        <v>1553</v>
      </c>
      <c r="J1039" s="71">
        <v>1</v>
      </c>
      <c r="K1039" s="71" t="s">
        <v>223</v>
      </c>
      <c r="L1039" s="71" t="s">
        <v>3436</v>
      </c>
      <c r="M1039" s="71" t="s">
        <v>3437</v>
      </c>
      <c r="N1039" s="71">
        <v>1610568907</v>
      </c>
      <c r="Q1039" s="71">
        <v>0</v>
      </c>
      <c r="R1039" s="71" t="s">
        <v>3438</v>
      </c>
      <c r="S1039" s="71" t="s">
        <v>3439</v>
      </c>
      <c r="T1039" s="71" t="s">
        <v>3440</v>
      </c>
    </row>
    <row r="1040" spans="1:20" x14ac:dyDescent="0.3">
      <c r="A1040" s="72">
        <f>IFERROR(VLOOKUP($G1040,Conf!$B:$C,2,0),E1040)</f>
        <v>30</v>
      </c>
      <c r="B1040" s="72" t="str">
        <f ca="1">IF(D1040="Inativo","Inativo",VLOOKUP($S1040,Conf!$K:$M,2,0))</f>
        <v>VENDAS</v>
      </c>
      <c r="C1040" s="72" t="str">
        <f ca="1">IF(D1040="Inativo","Inativo",IFERROR(VLOOKUP($G1040,Conf!$F$19:$G$39,2,0),VLOOKUP($S1040,Conf!$K:$M,3,0)))</f>
        <v>VENDEDOR</v>
      </c>
      <c r="D1040" s="72" t="str">
        <f ca="1">IFERROR(IF(TODAY()-K1040&gt;365,"Inativo",IF(J1040=2,"Férias",IF(J1040=7,"Demitido","Afastamento"))),VLOOKUP(J1040,Conf!$H:$I,2,0))</f>
        <v>Ativos</v>
      </c>
      <c r="E1040" s="71">
        <v>30</v>
      </c>
      <c r="F1040" s="71">
        <v>200</v>
      </c>
      <c r="G1040" s="71" t="s">
        <v>3441</v>
      </c>
      <c r="H1040" s="71">
        <v>92</v>
      </c>
      <c r="I1040" s="71" t="s">
        <v>1553</v>
      </c>
      <c r="J1040" s="71">
        <v>1</v>
      </c>
      <c r="K1040" s="71" t="s">
        <v>223</v>
      </c>
      <c r="L1040" s="71" t="s">
        <v>3442</v>
      </c>
      <c r="M1040" s="71" t="s">
        <v>986</v>
      </c>
      <c r="N1040" s="71">
        <v>5739378931</v>
      </c>
      <c r="Q1040" s="71">
        <v>0</v>
      </c>
      <c r="R1040" s="71" t="s">
        <v>3443</v>
      </c>
      <c r="S1040" s="71" t="s">
        <v>3444</v>
      </c>
      <c r="T1040" s="71" t="s">
        <v>3445</v>
      </c>
    </row>
    <row r="1041" spans="1:20" x14ac:dyDescent="0.3">
      <c r="A1041" s="72">
        <f>IFERROR(VLOOKUP($G1041,Conf!$B:$C,2,0),E1041)</f>
        <v>30</v>
      </c>
      <c r="B1041" s="72" t="str">
        <f ca="1">IF(D1041="Inativo","Inativo",VLOOKUP($S1041,Conf!$K:$M,2,0))</f>
        <v>VENDAS</v>
      </c>
      <c r="C1041" s="72" t="str">
        <f ca="1">IF(D1041="Inativo","Inativo",IFERROR(VLOOKUP($G1041,Conf!$F$19:$G$39,2,0),VLOOKUP($S1041,Conf!$K:$M,3,0)))</f>
        <v>VENDEDOR</v>
      </c>
      <c r="D1041" s="72" t="str">
        <f ca="1">IFERROR(IF(TODAY()-K1041&gt;365,"Inativo",IF(J1041=2,"Férias",IF(J1041=7,"Demitido","Afastamento"))),VLOOKUP(J1041,Conf!$H:$I,2,0))</f>
        <v>Férias</v>
      </c>
      <c r="E1041" s="71">
        <v>30</v>
      </c>
      <c r="F1041" s="71">
        <v>125</v>
      </c>
      <c r="G1041" s="71" t="s">
        <v>3446</v>
      </c>
      <c r="H1041" s="71">
        <v>211</v>
      </c>
      <c r="I1041" s="71" t="s">
        <v>2861</v>
      </c>
      <c r="J1041" s="71">
        <v>2</v>
      </c>
      <c r="K1041" s="71" t="s">
        <v>3639</v>
      </c>
      <c r="L1041" s="71" t="s">
        <v>3447</v>
      </c>
      <c r="M1041" s="71" t="s">
        <v>477</v>
      </c>
      <c r="N1041" s="71">
        <v>3459584971</v>
      </c>
      <c r="Q1041" s="71">
        <v>0</v>
      </c>
      <c r="R1041" s="71" t="s">
        <v>3443</v>
      </c>
      <c r="S1041" s="71" t="s">
        <v>3444</v>
      </c>
      <c r="T1041" s="71" t="s">
        <v>3445</v>
      </c>
    </row>
    <row r="1042" spans="1:20" x14ac:dyDescent="0.3">
      <c r="A1042" s="72">
        <f>IFERROR(VLOOKUP($G1042,Conf!$B:$C,2,0),E1042)</f>
        <v>30</v>
      </c>
      <c r="B1042" s="72" t="str">
        <f ca="1">IF(D1042="Inativo","Inativo",VLOOKUP($S1042,Conf!$K:$M,2,0))</f>
        <v>VENDAS</v>
      </c>
      <c r="C1042" s="72" t="str">
        <f ca="1">IF(D1042="Inativo","Inativo",IFERROR(VLOOKUP($G1042,Conf!$F$19:$G$39,2,0),VLOOKUP($S1042,Conf!$K:$M,3,0)))</f>
        <v>VENDEDOR</v>
      </c>
      <c r="D1042" s="72" t="str">
        <f ca="1">IFERROR(IF(TODAY()-K1042&gt;365,"Inativo",IF(J1042=2,"Férias",IF(J1042=7,"Demitido","Afastamento"))),VLOOKUP(J1042,Conf!$H:$I,2,0))</f>
        <v>Ativos</v>
      </c>
      <c r="E1042" s="71">
        <v>30</v>
      </c>
      <c r="F1042" s="71">
        <v>299</v>
      </c>
      <c r="G1042" s="71" t="s">
        <v>3448</v>
      </c>
      <c r="H1042" s="71">
        <v>211</v>
      </c>
      <c r="I1042" s="71" t="s">
        <v>2861</v>
      </c>
      <c r="J1042" s="71">
        <v>1</v>
      </c>
      <c r="K1042" s="71" t="s">
        <v>223</v>
      </c>
      <c r="L1042" s="71" t="s">
        <v>3449</v>
      </c>
      <c r="M1042" s="71" t="s">
        <v>1920</v>
      </c>
      <c r="N1042" s="71">
        <v>8690899944</v>
      </c>
      <c r="O1042" s="71" t="s">
        <v>245</v>
      </c>
      <c r="P1042" s="71" t="s">
        <v>246</v>
      </c>
      <c r="Q1042" s="71">
        <v>0</v>
      </c>
      <c r="R1042" s="71" t="s">
        <v>3443</v>
      </c>
      <c r="S1042" s="71" t="s">
        <v>3444</v>
      </c>
      <c r="T1042" s="71" t="s">
        <v>3445</v>
      </c>
    </row>
    <row r="1043" spans="1:20" x14ac:dyDescent="0.3">
      <c r="A1043" s="72">
        <f>IFERROR(VLOOKUP($G1043,Conf!$B:$C,2,0),E1043)</f>
        <v>30</v>
      </c>
      <c r="B1043" s="72" t="str">
        <f ca="1">IF(D1043="Inativo","Inativo",VLOOKUP($S1043,Conf!$K:$M,2,0))</f>
        <v>VENDAS</v>
      </c>
      <c r="C1043" s="72" t="str">
        <f ca="1">IF(D1043="Inativo","Inativo",IFERROR(VLOOKUP($G1043,Conf!$F$19:$G$39,2,0),VLOOKUP($S1043,Conf!$K:$M,3,0)))</f>
        <v>VENDEDOR</v>
      </c>
      <c r="D1043" s="72" t="str">
        <f ca="1">IFERROR(IF(TODAY()-K1043&gt;365,"Inativo",IF(J1043=2,"Férias",IF(J1043=7,"Demitido","Afastamento"))),VLOOKUP(J1043,Conf!$H:$I,2,0))</f>
        <v>Ativos</v>
      </c>
      <c r="E1043" s="71">
        <v>30</v>
      </c>
      <c r="F1043" s="71">
        <v>37</v>
      </c>
      <c r="G1043" s="71" t="s">
        <v>3450</v>
      </c>
      <c r="H1043" s="71">
        <v>211</v>
      </c>
      <c r="I1043" s="71" t="s">
        <v>2861</v>
      </c>
      <c r="J1043" s="71">
        <v>1</v>
      </c>
      <c r="K1043" s="71" t="s">
        <v>223</v>
      </c>
      <c r="L1043" s="71" t="s">
        <v>3451</v>
      </c>
      <c r="M1043" s="71" t="s">
        <v>2374</v>
      </c>
      <c r="N1043" s="71">
        <v>4899188919</v>
      </c>
      <c r="Q1043" s="71">
        <v>0</v>
      </c>
      <c r="R1043" s="71" t="s">
        <v>3443</v>
      </c>
      <c r="S1043" s="71" t="s">
        <v>3444</v>
      </c>
      <c r="T1043" s="71" t="s">
        <v>3445</v>
      </c>
    </row>
    <row r="1044" spans="1:20" x14ac:dyDescent="0.3">
      <c r="A1044" s="72">
        <f>IFERROR(VLOOKUP($G1044,Conf!$B:$C,2,0),E1044)</f>
        <v>50</v>
      </c>
      <c r="B1044" s="72" t="str">
        <f ca="1">IF(D1044="Inativo","Inativo",VLOOKUP($S1044,Conf!$K:$M,2,0))</f>
        <v>ADMINISTRATIVO</v>
      </c>
      <c r="C1044" s="72" t="str">
        <f ca="1">IF(D1044="Inativo","Inativo",IFERROR(VLOOKUP($G1044,Conf!$F$19:$G$39,2,0),VLOOKUP($S1044,Conf!$K:$M,3,0)))</f>
        <v>FATURISTA</v>
      </c>
      <c r="D1044" s="72" t="str">
        <f ca="1">IFERROR(IF(TODAY()-K1044&gt;365,"Inativo",IF(J1044=2,"Férias",IF(J1044=7,"Demitido","Afastamento"))),VLOOKUP(J1044,Conf!$H:$I,2,0))</f>
        <v>Ativos</v>
      </c>
      <c r="E1044" s="71">
        <v>50</v>
      </c>
      <c r="F1044" s="71">
        <v>20</v>
      </c>
      <c r="G1044" s="71" t="s">
        <v>3452</v>
      </c>
      <c r="H1044" s="71">
        <v>216</v>
      </c>
      <c r="I1044" s="71" t="s">
        <v>3026</v>
      </c>
      <c r="J1044" s="71">
        <v>1</v>
      </c>
      <c r="K1044" s="71" t="s">
        <v>223</v>
      </c>
      <c r="L1044" s="71" t="s">
        <v>3453</v>
      </c>
      <c r="M1044" s="71" t="s">
        <v>3454</v>
      </c>
      <c r="N1044" s="71">
        <v>4503413996</v>
      </c>
      <c r="O1044" s="71" t="s">
        <v>245</v>
      </c>
      <c r="P1044" s="71" t="s">
        <v>246</v>
      </c>
      <c r="Q1044" s="71">
        <v>0</v>
      </c>
      <c r="R1044" s="71" t="s">
        <v>3455</v>
      </c>
      <c r="S1044" s="71" t="s">
        <v>3456</v>
      </c>
      <c r="T1044" s="71" t="s">
        <v>994</v>
      </c>
    </row>
    <row r="1045" spans="1:20" x14ac:dyDescent="0.3">
      <c r="A1045" s="72">
        <f>IFERROR(VLOOKUP($G1045,Conf!$B:$C,2,0),E1045)</f>
        <v>50</v>
      </c>
      <c r="B1045" s="72" t="str">
        <f ca="1">IF(D1045="Inativo","Inativo",VLOOKUP($S1045,Conf!$K:$M,2,0))</f>
        <v>ADMINISTRATIVO</v>
      </c>
      <c r="C1045" s="72" t="str">
        <f ca="1">IF(D1045="Inativo","Inativo",IFERROR(VLOOKUP($G1045,Conf!$F$19:$G$39,2,0),VLOOKUP($S1045,Conf!$K:$M,3,0)))</f>
        <v>FATURISTA</v>
      </c>
      <c r="D1045" s="72" t="str">
        <f ca="1">IFERROR(IF(TODAY()-K1045&gt;365,"Inativo",IF(J1045=2,"Férias",IF(J1045=7,"Demitido","Afastamento"))),VLOOKUP(J1045,Conf!$H:$I,2,0))</f>
        <v>Ativos</v>
      </c>
      <c r="E1045" s="71">
        <v>50</v>
      </c>
      <c r="F1045" s="71">
        <v>3</v>
      </c>
      <c r="G1045" s="71" t="s">
        <v>3457</v>
      </c>
      <c r="H1045" s="71">
        <v>216</v>
      </c>
      <c r="I1045" s="71" t="s">
        <v>3026</v>
      </c>
      <c r="J1045" s="71">
        <v>1</v>
      </c>
      <c r="K1045" s="71" t="s">
        <v>223</v>
      </c>
      <c r="L1045" s="71" t="s">
        <v>3458</v>
      </c>
      <c r="M1045" s="71" t="s">
        <v>2945</v>
      </c>
      <c r="N1045" s="71">
        <v>12251000976</v>
      </c>
      <c r="Q1045" s="71">
        <v>0</v>
      </c>
      <c r="R1045" s="71" t="s">
        <v>3455</v>
      </c>
      <c r="S1045" s="71" t="s">
        <v>3456</v>
      </c>
      <c r="T1045" s="71" t="s">
        <v>994</v>
      </c>
    </row>
    <row r="1046" spans="1:20" x14ac:dyDescent="0.3">
      <c r="A1046" s="72">
        <f>IFERROR(VLOOKUP($G1046,Conf!$B:$C,2,0),E1046)</f>
        <v>50</v>
      </c>
      <c r="B1046" s="72" t="str">
        <f ca="1">IF(D1046="Inativo","Inativo",VLOOKUP($S1046,Conf!$K:$M,2,0))</f>
        <v>ADMINISTRATIVO</v>
      </c>
      <c r="C1046" s="72" t="str">
        <f ca="1">IF(D1046="Inativo","Inativo",IFERROR(VLOOKUP($G1046,Conf!$F$19:$G$39,2,0),VLOOKUP($S1046,Conf!$K:$M,3,0)))</f>
        <v>ASSISTENTE</v>
      </c>
      <c r="D1046" s="72" t="str">
        <f ca="1">IFERROR(IF(TODAY()-K1046&gt;365,"Inativo",IF(J1046=2,"Férias",IF(J1046=7,"Demitido","Afastamento"))),VLOOKUP(J1046,Conf!$H:$I,2,0))</f>
        <v>Ativos</v>
      </c>
      <c r="E1046" s="71">
        <v>50</v>
      </c>
      <c r="F1046" s="71">
        <v>5</v>
      </c>
      <c r="G1046" s="71" t="s">
        <v>3459</v>
      </c>
      <c r="H1046" s="71">
        <v>216</v>
      </c>
      <c r="I1046" s="71" t="s">
        <v>3026</v>
      </c>
      <c r="J1046" s="71">
        <v>1</v>
      </c>
      <c r="K1046" s="71" t="s">
        <v>223</v>
      </c>
      <c r="L1046" s="71" t="s">
        <v>3460</v>
      </c>
      <c r="M1046" s="71" t="s">
        <v>3164</v>
      </c>
      <c r="N1046" s="71">
        <v>3646434988</v>
      </c>
      <c r="Q1046" s="71">
        <v>0</v>
      </c>
      <c r="R1046" s="71" t="s">
        <v>3461</v>
      </c>
      <c r="S1046" s="71" t="s">
        <v>3462</v>
      </c>
      <c r="T1046" s="71" t="s">
        <v>3463</v>
      </c>
    </row>
    <row r="1047" spans="1:20" x14ac:dyDescent="0.3">
      <c r="A1047" s="72">
        <f>IFERROR(VLOOKUP($G1047,Conf!$B:$C,2,0),E1047)</f>
        <v>50</v>
      </c>
      <c r="B1047" s="72" t="str">
        <f ca="1">IF(D1047="Inativo","Inativo",VLOOKUP($S1047,Conf!$K:$M,2,0))</f>
        <v>ADMINISTRATIVO</v>
      </c>
      <c r="C1047" s="72" t="str">
        <f ca="1">IF(D1047="Inativo","Inativo",IFERROR(VLOOKUP($G1047,Conf!$F$19:$G$39,2,0),VLOOKUP($S1047,Conf!$K:$M,3,0)))</f>
        <v>FATURISTA</v>
      </c>
      <c r="D1047" s="72" t="str">
        <f ca="1">IFERROR(IF(TODAY()-K1047&gt;365,"Inativo",IF(J1047=2,"Férias",IF(J1047=7,"Demitido","Afastamento"))),VLOOKUP(J1047,Conf!$H:$I,2,0))</f>
        <v>Ativos</v>
      </c>
      <c r="E1047" s="71">
        <v>50</v>
      </c>
      <c r="F1047" s="71">
        <v>22</v>
      </c>
      <c r="G1047" s="71" t="s">
        <v>3464</v>
      </c>
      <c r="H1047" s="71">
        <v>216</v>
      </c>
      <c r="I1047" s="71" t="s">
        <v>3026</v>
      </c>
      <c r="J1047" s="71">
        <v>1</v>
      </c>
      <c r="K1047" s="71" t="s">
        <v>223</v>
      </c>
      <c r="L1047" s="71" t="s">
        <v>3465</v>
      </c>
      <c r="M1047" s="71" t="s">
        <v>3115</v>
      </c>
      <c r="N1047" s="71">
        <v>46772061802</v>
      </c>
      <c r="O1047" s="71" t="s">
        <v>245</v>
      </c>
      <c r="P1047" s="71" t="s">
        <v>246</v>
      </c>
      <c r="Q1047" s="71">
        <v>0</v>
      </c>
      <c r="R1047" s="71" t="s">
        <v>3455</v>
      </c>
      <c r="S1047" s="71" t="s">
        <v>3456</v>
      </c>
      <c r="T1047" s="71" t="s">
        <v>994</v>
      </c>
    </row>
    <row r="1048" spans="1:20" x14ac:dyDescent="0.3">
      <c r="A1048" s="72">
        <f>IFERROR(VLOOKUP($G1048,Conf!$B:$C,2,0),E1048)</f>
        <v>50</v>
      </c>
      <c r="B1048" s="72" t="str">
        <f ca="1">IF(D1048="Inativo","Inativo",VLOOKUP($S1048,Conf!$K:$M,2,0))</f>
        <v>ENTREGA</v>
      </c>
      <c r="C1048" s="72" t="str">
        <f ca="1">IF(D1048="Inativo","Inativo",IFERROR(VLOOKUP($G1048,Conf!$F$19:$G$39,2,0),VLOOKUP($S1048,Conf!$K:$M,3,0)))</f>
        <v>MOTORISTA</v>
      </c>
      <c r="D1048" s="72" t="str">
        <f ca="1">IFERROR(IF(TODAY()-K1048&gt;365,"Inativo",IF(J1048=2,"Férias",IF(J1048=7,"Demitido","Afastamento"))),VLOOKUP(J1048,Conf!$H:$I,2,0))</f>
        <v>Ativos</v>
      </c>
      <c r="E1048" s="71">
        <v>50</v>
      </c>
      <c r="F1048" s="71">
        <v>2</v>
      </c>
      <c r="G1048" s="71" t="s">
        <v>3466</v>
      </c>
      <c r="H1048" s="71">
        <v>16</v>
      </c>
      <c r="I1048" s="71" t="s">
        <v>473</v>
      </c>
      <c r="J1048" s="71">
        <v>1</v>
      </c>
      <c r="K1048" s="71" t="s">
        <v>223</v>
      </c>
      <c r="L1048" s="71" t="s">
        <v>3467</v>
      </c>
      <c r="M1048" s="71" t="s">
        <v>3468</v>
      </c>
      <c r="N1048" s="71">
        <v>5422326938</v>
      </c>
      <c r="Q1048" s="71">
        <v>0</v>
      </c>
      <c r="R1048" s="71" t="s">
        <v>3469</v>
      </c>
      <c r="S1048" s="71" t="s">
        <v>361</v>
      </c>
      <c r="T1048" s="71" t="s">
        <v>3470</v>
      </c>
    </row>
    <row r="1049" spans="1:20" x14ac:dyDescent="0.3">
      <c r="A1049" s="72">
        <f>IFERROR(VLOOKUP($G1049,Conf!$B:$C,2,0),E1049)</f>
        <v>50</v>
      </c>
      <c r="B1049" s="72" t="str">
        <f ca="1">IF(D1049="Inativo","Inativo",VLOOKUP($S1049,Conf!$K:$M,2,0))</f>
        <v>ENTREGA</v>
      </c>
      <c r="C1049" s="72" t="str">
        <f ca="1">IF(D1049="Inativo","Inativo",IFERROR(VLOOKUP($G1049,Conf!$F$19:$G$39,2,0),VLOOKUP($S1049,Conf!$K:$M,3,0)))</f>
        <v>MOTORISTA</v>
      </c>
      <c r="D1049" s="72" t="str">
        <f ca="1">IFERROR(IF(TODAY()-K1049&gt;365,"Inativo",IF(J1049=2,"Férias",IF(J1049=7,"Demitido","Afastamento"))),VLOOKUP(J1049,Conf!$H:$I,2,0))</f>
        <v>Ativos</v>
      </c>
      <c r="E1049" s="71">
        <v>50</v>
      </c>
      <c r="F1049" s="71">
        <v>24</v>
      </c>
      <c r="G1049" s="71" t="s">
        <v>3471</v>
      </c>
      <c r="H1049" s="71">
        <v>216</v>
      </c>
      <c r="I1049" s="71" t="s">
        <v>3026</v>
      </c>
      <c r="J1049" s="71">
        <v>1</v>
      </c>
      <c r="K1049" s="71" t="s">
        <v>223</v>
      </c>
      <c r="L1049" s="71" t="s">
        <v>3472</v>
      </c>
      <c r="M1049" s="71" t="s">
        <v>411</v>
      </c>
      <c r="N1049" s="71">
        <v>16458015860</v>
      </c>
      <c r="O1049" s="71" t="s">
        <v>245</v>
      </c>
      <c r="P1049" s="71" t="s">
        <v>246</v>
      </c>
      <c r="Q1049" s="71">
        <v>0</v>
      </c>
      <c r="R1049" s="71" t="s">
        <v>3469</v>
      </c>
      <c r="S1049" s="71" t="s">
        <v>361</v>
      </c>
      <c r="T1049" s="71" t="s">
        <v>3470</v>
      </c>
    </row>
    <row r="1050" spans="1:20" x14ac:dyDescent="0.3">
      <c r="A1050" s="72">
        <f>IFERROR(VLOOKUP($G1050,Conf!$B:$C,2,0),E1050)</f>
        <v>50</v>
      </c>
      <c r="B1050" s="72" t="str">
        <f ca="1">IF(D1050="Inativo","Inativo",VLOOKUP($S1050,Conf!$K:$M,2,0))</f>
        <v>ENTREGA</v>
      </c>
      <c r="C1050" s="72" t="str">
        <f ca="1">IF(D1050="Inativo","Inativo",IFERROR(VLOOKUP($G1050,Conf!$F$19:$G$39,2,0),VLOOKUP($S1050,Conf!$K:$M,3,0)))</f>
        <v>MOTORISTA</v>
      </c>
      <c r="D1050" s="72" t="str">
        <f ca="1">IFERROR(IF(TODAY()-K1050&gt;365,"Inativo",IF(J1050=2,"Férias",IF(J1050=7,"Demitido","Afastamento"))),VLOOKUP(J1050,Conf!$H:$I,2,0))</f>
        <v>Férias</v>
      </c>
      <c r="E1050" s="71">
        <v>50</v>
      </c>
      <c r="F1050" s="71">
        <v>9</v>
      </c>
      <c r="G1050" s="71" t="s">
        <v>3473</v>
      </c>
      <c r="H1050" s="71">
        <v>16</v>
      </c>
      <c r="I1050" s="71" t="s">
        <v>473</v>
      </c>
      <c r="J1050" s="71">
        <v>2</v>
      </c>
      <c r="K1050" s="71" t="s">
        <v>426</v>
      </c>
      <c r="L1050" s="71" t="s">
        <v>3474</v>
      </c>
      <c r="M1050" s="71" t="s">
        <v>3475</v>
      </c>
      <c r="N1050" s="71">
        <v>67571735904</v>
      </c>
      <c r="Q1050" s="71">
        <v>0</v>
      </c>
      <c r="R1050" s="71" t="s">
        <v>3469</v>
      </c>
      <c r="S1050" s="71" t="s">
        <v>361</v>
      </c>
      <c r="T1050" s="71" t="s">
        <v>3470</v>
      </c>
    </row>
    <row r="1051" spans="1:20" x14ac:dyDescent="0.3">
      <c r="A1051" s="72">
        <f>IFERROR(VLOOKUP($G1051,Conf!$B:$C,2,0),E1051)</f>
        <v>50</v>
      </c>
      <c r="B1051" s="72" t="str">
        <f ca="1">IF(D1051="Inativo","Inativo",VLOOKUP($S1051,Conf!$K:$M,2,0))</f>
        <v>VENDAS</v>
      </c>
      <c r="C1051" s="72" t="str">
        <f ca="1">IF(D1051="Inativo","Inativo",IFERROR(VLOOKUP($G1051,Conf!$F$19:$G$39,2,0),VLOOKUP($S1051,Conf!$K:$M,3,0)))</f>
        <v>VENDEDOR</v>
      </c>
      <c r="D1051" s="72" t="str">
        <f ca="1">IFERROR(IF(TODAY()-K1051&gt;365,"Inativo",IF(J1051=2,"Férias",IF(J1051=7,"Demitido","Afastamento"))),VLOOKUP(J1051,Conf!$H:$I,2,0))</f>
        <v>Ativos</v>
      </c>
      <c r="E1051" s="71">
        <v>50</v>
      </c>
      <c r="F1051" s="71">
        <v>7</v>
      </c>
      <c r="G1051" s="71" t="s">
        <v>3476</v>
      </c>
      <c r="H1051" s="71">
        <v>216</v>
      </c>
      <c r="I1051" s="71" t="s">
        <v>3026</v>
      </c>
      <c r="J1051" s="71">
        <v>1</v>
      </c>
      <c r="K1051" s="71" t="s">
        <v>223</v>
      </c>
      <c r="L1051" s="71" t="s">
        <v>3477</v>
      </c>
      <c r="M1051" s="71" t="s">
        <v>3478</v>
      </c>
      <c r="N1051" s="71">
        <v>565455923</v>
      </c>
      <c r="Q1051" s="71">
        <v>0</v>
      </c>
      <c r="R1051" s="71" t="s">
        <v>3479</v>
      </c>
      <c r="S1051" s="71" t="s">
        <v>3439</v>
      </c>
      <c r="T1051" s="71" t="s">
        <v>3480</v>
      </c>
    </row>
    <row r="1052" spans="1:20" x14ac:dyDescent="0.3">
      <c r="A1052" s="72">
        <f>IFERROR(VLOOKUP($G1052,Conf!$B:$C,2,0),E1052)</f>
        <v>50</v>
      </c>
      <c r="B1052" s="72" t="str">
        <f ca="1">IF(D1052="Inativo","Inativo",VLOOKUP($S1052,Conf!$K:$M,2,0))</f>
        <v>VENDAS</v>
      </c>
      <c r="C1052" s="72" t="str">
        <f ca="1">IF(D1052="Inativo","Inativo",IFERROR(VLOOKUP($G1052,Conf!$F$19:$G$39,2,0),VLOOKUP($S1052,Conf!$K:$M,3,0)))</f>
        <v>VENDEDOR</v>
      </c>
      <c r="D1052" s="72" t="str">
        <f ca="1">IFERROR(IF(TODAY()-K1052&gt;365,"Inativo",IF(J1052=2,"Férias",IF(J1052=7,"Demitido","Afastamento"))),VLOOKUP(J1052,Conf!$H:$I,2,0))</f>
        <v>Ativos</v>
      </c>
      <c r="E1052" s="71">
        <v>50</v>
      </c>
      <c r="F1052" s="71">
        <v>13</v>
      </c>
      <c r="G1052" s="71" t="s">
        <v>3481</v>
      </c>
      <c r="H1052" s="71">
        <v>216</v>
      </c>
      <c r="I1052" s="71" t="s">
        <v>3026</v>
      </c>
      <c r="J1052" s="71">
        <v>1</v>
      </c>
      <c r="K1052" s="71" t="s">
        <v>223</v>
      </c>
      <c r="L1052" s="71" t="s">
        <v>3482</v>
      </c>
      <c r="M1052" s="71" t="s">
        <v>3483</v>
      </c>
      <c r="N1052" s="71">
        <v>33736206860</v>
      </c>
      <c r="Q1052" s="71">
        <v>0</v>
      </c>
      <c r="R1052" s="71" t="s">
        <v>3479</v>
      </c>
      <c r="S1052" s="71" t="s">
        <v>3439</v>
      </c>
      <c r="T1052" s="71" t="s">
        <v>3480</v>
      </c>
    </row>
    <row r="1053" spans="1:20" x14ac:dyDescent="0.3">
      <c r="A1053" s="72">
        <f>IFERROR(VLOOKUP($G1053,Conf!$B:$C,2,0),E1053)</f>
        <v>50</v>
      </c>
      <c r="B1053" s="72" t="str">
        <f ca="1">IF(D1053="Inativo","Inativo",VLOOKUP($S1053,Conf!$K:$M,2,0))</f>
        <v>VENDAS</v>
      </c>
      <c r="C1053" s="72" t="str">
        <f ca="1">IF(D1053="Inativo","Inativo",IFERROR(VLOOKUP($G1053,Conf!$F$19:$G$39,2,0),VLOOKUP($S1053,Conf!$K:$M,3,0)))</f>
        <v>VENDEDOR</v>
      </c>
      <c r="D1053" s="72" t="str">
        <f ca="1">IFERROR(IF(TODAY()-K1053&gt;365,"Inativo",IF(J1053=2,"Férias",IF(J1053=7,"Demitido","Afastamento"))),VLOOKUP(J1053,Conf!$H:$I,2,0))</f>
        <v>Ativos</v>
      </c>
      <c r="E1053" s="71">
        <v>50</v>
      </c>
      <c r="F1053" s="71">
        <v>14</v>
      </c>
      <c r="G1053" s="71" t="s">
        <v>3484</v>
      </c>
      <c r="H1053" s="71">
        <v>216</v>
      </c>
      <c r="I1053" s="71" t="s">
        <v>3026</v>
      </c>
      <c r="J1053" s="71">
        <v>1</v>
      </c>
      <c r="K1053" s="71" t="s">
        <v>223</v>
      </c>
      <c r="L1053" s="71" t="s">
        <v>3485</v>
      </c>
      <c r="M1053" s="71" t="s">
        <v>1507</v>
      </c>
      <c r="N1053" s="71">
        <v>9419771962</v>
      </c>
      <c r="Q1053" s="71">
        <v>0</v>
      </c>
      <c r="R1053" s="71" t="s">
        <v>3486</v>
      </c>
      <c r="S1053" s="71" t="s">
        <v>3487</v>
      </c>
      <c r="T1053" s="71" t="s">
        <v>3488</v>
      </c>
    </row>
    <row r="1054" spans="1:20" x14ac:dyDescent="0.3">
      <c r="A1054" s="72">
        <f>IFERROR(VLOOKUP($G1054,Conf!$B:$C,2,0),E1054)</f>
        <v>50</v>
      </c>
      <c r="B1054" s="72" t="str">
        <f ca="1">IF(D1054="Inativo","Inativo",VLOOKUP($S1054,Conf!$K:$M,2,0))</f>
        <v>VENDAS</v>
      </c>
      <c r="C1054" s="72" t="str">
        <f ca="1">IF(D1054="Inativo","Inativo",IFERROR(VLOOKUP($G1054,Conf!$F$19:$G$39,2,0),VLOOKUP($S1054,Conf!$K:$M,3,0)))</f>
        <v>VENDEDOR</v>
      </c>
      <c r="D1054" s="72" t="str">
        <f ca="1">IFERROR(IF(TODAY()-K1054&gt;365,"Inativo",IF(J1054=2,"Férias",IF(J1054=7,"Demitido","Afastamento"))),VLOOKUP(J1054,Conf!$H:$I,2,0))</f>
        <v>Ativos</v>
      </c>
      <c r="E1054" s="71">
        <v>50</v>
      </c>
      <c r="F1054" s="71">
        <v>16</v>
      </c>
      <c r="G1054" s="71" t="s">
        <v>3489</v>
      </c>
      <c r="H1054" s="71">
        <v>216</v>
      </c>
      <c r="I1054" s="71" t="s">
        <v>3026</v>
      </c>
      <c r="J1054" s="71">
        <v>1</v>
      </c>
      <c r="K1054" s="71" t="s">
        <v>223</v>
      </c>
      <c r="L1054" s="71" t="s">
        <v>3490</v>
      </c>
      <c r="M1054" s="71" t="s">
        <v>3491</v>
      </c>
      <c r="N1054" s="71">
        <v>8359569975</v>
      </c>
      <c r="Q1054" s="71">
        <v>0</v>
      </c>
      <c r="R1054" s="71" t="s">
        <v>3492</v>
      </c>
      <c r="S1054" s="71" t="s">
        <v>3493</v>
      </c>
      <c r="T1054" s="71" t="s">
        <v>3494</v>
      </c>
    </row>
    <row r="1055" spans="1:20" x14ac:dyDescent="0.3">
      <c r="A1055" s="72">
        <f>IFERROR(VLOOKUP($G1055,Conf!$B:$C,2,0),E1055)</f>
        <v>50</v>
      </c>
      <c r="B1055" s="72" t="str">
        <f ca="1">IF(D1055="Inativo","Inativo",VLOOKUP($S1055,Conf!$K:$M,2,0))</f>
        <v>VENDAS</v>
      </c>
      <c r="C1055" s="72" t="str">
        <f ca="1">IF(D1055="Inativo","Inativo",IFERROR(VLOOKUP($G1055,Conf!$F$19:$G$39,2,0),VLOOKUP($S1055,Conf!$K:$M,3,0)))</f>
        <v>VENDEDOR</v>
      </c>
      <c r="D1055" s="72" t="str">
        <f ca="1">IFERROR(IF(TODAY()-K1055&gt;365,"Inativo",IF(J1055=2,"Férias",IF(J1055=7,"Demitido","Afastamento"))),VLOOKUP(J1055,Conf!$H:$I,2,0))</f>
        <v>Ativos</v>
      </c>
      <c r="E1055" s="71">
        <v>50</v>
      </c>
      <c r="F1055" s="71">
        <v>15</v>
      </c>
      <c r="G1055" s="71" t="s">
        <v>3495</v>
      </c>
      <c r="H1055" s="71">
        <v>216</v>
      </c>
      <c r="I1055" s="71" t="s">
        <v>3026</v>
      </c>
      <c r="J1055" s="71">
        <v>1</v>
      </c>
      <c r="K1055" s="71" t="s">
        <v>223</v>
      </c>
      <c r="L1055" s="71" t="s">
        <v>3496</v>
      </c>
      <c r="M1055" s="71" t="s">
        <v>3036</v>
      </c>
      <c r="N1055" s="71">
        <v>91643651900</v>
      </c>
      <c r="Q1055" s="71">
        <v>0</v>
      </c>
      <c r="R1055" s="71" t="s">
        <v>3497</v>
      </c>
      <c r="S1055" s="71" t="s">
        <v>3487</v>
      </c>
      <c r="T1055" s="71" t="s">
        <v>3498</v>
      </c>
    </row>
    <row r="1056" spans="1:20" x14ac:dyDescent="0.3">
      <c r="A1056" s="72">
        <f>IFERROR(VLOOKUP($G1056,Conf!$B:$C,2,0),E1056)</f>
        <v>50</v>
      </c>
      <c r="B1056" s="72" t="str">
        <f ca="1">IF(D1056="Inativo","Inativo",VLOOKUP($S1056,Conf!$K:$M,2,0))</f>
        <v>VENDAS</v>
      </c>
      <c r="C1056" s="72" t="str">
        <f ca="1">IF(D1056="Inativo","Inativo",IFERROR(VLOOKUP($G1056,Conf!$F$19:$G$39,2,0),VLOOKUP($S1056,Conf!$K:$M,3,0)))</f>
        <v>VENDEDOR</v>
      </c>
      <c r="D1056" s="72" t="str">
        <f ca="1">IFERROR(IF(TODAY()-K1056&gt;365,"Inativo",IF(J1056=2,"Férias",IF(J1056=7,"Demitido","Afastamento"))),VLOOKUP(J1056,Conf!$H:$I,2,0))</f>
        <v>Ativos</v>
      </c>
      <c r="E1056" s="71">
        <v>50</v>
      </c>
      <c r="F1056" s="71">
        <v>10</v>
      </c>
      <c r="G1056" s="71" t="s">
        <v>3499</v>
      </c>
      <c r="H1056" s="71">
        <v>216</v>
      </c>
      <c r="I1056" s="71" t="s">
        <v>3026</v>
      </c>
      <c r="J1056" s="71">
        <v>1</v>
      </c>
      <c r="K1056" s="71" t="s">
        <v>223</v>
      </c>
      <c r="L1056" s="71" t="s">
        <v>3500</v>
      </c>
      <c r="M1056" s="71" t="s">
        <v>3501</v>
      </c>
      <c r="N1056" s="71">
        <v>11269285939</v>
      </c>
      <c r="Q1056" s="71">
        <v>0</v>
      </c>
      <c r="R1056" s="71" t="s">
        <v>3479</v>
      </c>
      <c r="S1056" s="71" t="s">
        <v>3439</v>
      </c>
      <c r="T1056" s="71" t="s">
        <v>3480</v>
      </c>
    </row>
  </sheetData>
  <autoFilter ref="A1:T1056" xr:uid="{336CDEDD-795F-4E3F-8995-BA51D7326249}"/>
  <sortState xmlns:xlrd2="http://schemas.microsoft.com/office/spreadsheetml/2017/richdata2" ref="A2:T1056">
    <sortCondition ref="A2:A1056"/>
    <sortCondition ref="B2:B1056"/>
    <sortCondition ref="C2:C1056"/>
    <sortCondition ref="G2:G1056"/>
  </sortState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0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3534</v>
      </c>
      <c r="D2" s="80" t="s">
        <v>3535</v>
      </c>
      <c r="H2" s="73" t="s">
        <v>3536</v>
      </c>
      <c r="I2" s="76" t="s">
        <v>3537</v>
      </c>
      <c r="K2" s="87" t="s">
        <v>3538</v>
      </c>
      <c r="L2" s="88" t="s">
        <v>203</v>
      </c>
      <c r="M2" s="89" t="s">
        <v>204</v>
      </c>
    </row>
    <row r="3" spans="2:13" x14ac:dyDescent="0.3">
      <c r="B3" s="9" t="s">
        <v>3539</v>
      </c>
      <c r="D3" s="9" t="s">
        <v>3540</v>
      </c>
      <c r="H3" s="74">
        <v>1</v>
      </c>
      <c r="I3" s="77" t="s">
        <v>1</v>
      </c>
      <c r="K3" s="90" t="s">
        <v>784</v>
      </c>
      <c r="L3" s="91" t="s">
        <v>53</v>
      </c>
      <c r="M3" s="92" t="s">
        <v>18</v>
      </c>
    </row>
    <row r="4" spans="2:13" x14ac:dyDescent="0.3">
      <c r="B4" s="9" t="s">
        <v>3541</v>
      </c>
      <c r="E4" s="9" t="s">
        <v>3542</v>
      </c>
      <c r="H4" s="74">
        <v>2</v>
      </c>
      <c r="I4" s="77" t="s">
        <v>3532</v>
      </c>
      <c r="K4" s="90" t="s">
        <v>235</v>
      </c>
      <c r="L4" s="91" t="s">
        <v>53</v>
      </c>
      <c r="M4" s="92" t="s">
        <v>18</v>
      </c>
    </row>
    <row r="5" spans="2:13" x14ac:dyDescent="0.3">
      <c r="B5" s="9" t="s">
        <v>3543</v>
      </c>
      <c r="H5" s="74">
        <v>3</v>
      </c>
      <c r="I5" s="77" t="s">
        <v>3544</v>
      </c>
      <c r="K5" s="90" t="s">
        <v>227</v>
      </c>
      <c r="L5" s="91" t="s">
        <v>53</v>
      </c>
      <c r="M5" s="92" t="s">
        <v>18</v>
      </c>
    </row>
    <row r="6" spans="2:13" x14ac:dyDescent="0.3">
      <c r="B6" s="9" t="s">
        <v>3526</v>
      </c>
      <c r="D6" s="80" t="s">
        <v>3524</v>
      </c>
      <c r="H6" s="74">
        <v>4</v>
      </c>
      <c r="I6" s="77" t="s">
        <v>3545</v>
      </c>
      <c r="K6" s="90" t="s">
        <v>780</v>
      </c>
      <c r="L6" s="91" t="s">
        <v>53</v>
      </c>
      <c r="M6" s="92" t="s">
        <v>18</v>
      </c>
    </row>
    <row r="7" spans="2:13" x14ac:dyDescent="0.3">
      <c r="B7" s="9" t="s">
        <v>3546</v>
      </c>
      <c r="D7" t="s">
        <v>3547</v>
      </c>
      <c r="H7" s="74">
        <v>5</v>
      </c>
      <c r="I7" s="77" t="s">
        <v>3548</v>
      </c>
      <c r="K7" s="90" t="s">
        <v>1343</v>
      </c>
      <c r="L7" s="91" t="s">
        <v>53</v>
      </c>
      <c r="M7" s="92" t="s">
        <v>18</v>
      </c>
    </row>
    <row r="8" spans="2:13" x14ac:dyDescent="0.3">
      <c r="B8" s="9"/>
      <c r="D8" t="s">
        <v>3549</v>
      </c>
      <c r="H8" s="74">
        <v>6</v>
      </c>
      <c r="I8" s="77" t="s">
        <v>3550</v>
      </c>
      <c r="K8" s="90" t="s">
        <v>2163</v>
      </c>
      <c r="L8" s="91" t="s">
        <v>53</v>
      </c>
      <c r="M8" s="92" t="s">
        <v>18</v>
      </c>
    </row>
    <row r="9" spans="2:13" x14ac:dyDescent="0.3">
      <c r="B9" s="9"/>
      <c r="D9" t="s">
        <v>3525</v>
      </c>
      <c r="H9" s="74">
        <v>7</v>
      </c>
      <c r="I9" s="77" t="s">
        <v>3533</v>
      </c>
      <c r="K9" s="90" t="s">
        <v>2516</v>
      </c>
      <c r="L9" s="91" t="s">
        <v>53</v>
      </c>
      <c r="M9" s="92" t="s">
        <v>18</v>
      </c>
    </row>
    <row r="10" spans="2:13" x14ac:dyDescent="0.3">
      <c r="B10" s="9"/>
      <c r="H10" s="74">
        <v>14</v>
      </c>
      <c r="I10" s="77" t="s">
        <v>3551</v>
      </c>
      <c r="K10" s="90" t="s">
        <v>269</v>
      </c>
      <c r="L10" s="91" t="s">
        <v>53</v>
      </c>
      <c r="M10" s="92" t="s">
        <v>3552</v>
      </c>
    </row>
    <row r="11" spans="2:13" x14ac:dyDescent="0.3">
      <c r="B11" s="9"/>
      <c r="H11" s="74">
        <v>22</v>
      </c>
      <c r="I11" s="77" t="s">
        <v>3553</v>
      </c>
      <c r="K11" s="90" t="s">
        <v>264</v>
      </c>
      <c r="L11" s="91" t="s">
        <v>53</v>
      </c>
      <c r="M11" s="92" t="s">
        <v>3552</v>
      </c>
    </row>
    <row r="12" spans="2:13" x14ac:dyDescent="0.3">
      <c r="H12" s="74">
        <v>109</v>
      </c>
      <c r="I12" s="77" t="s">
        <v>3554</v>
      </c>
      <c r="K12" s="90" t="s">
        <v>802</v>
      </c>
      <c r="L12" s="91" t="s">
        <v>53</v>
      </c>
      <c r="M12" s="92" t="s">
        <v>3552</v>
      </c>
    </row>
    <row r="13" spans="2:13" x14ac:dyDescent="0.3">
      <c r="H13" s="75">
        <v>318</v>
      </c>
      <c r="I13" s="78" t="s">
        <v>3555</v>
      </c>
      <c r="K13" s="90" t="s">
        <v>1118</v>
      </c>
      <c r="L13" s="91" t="s">
        <v>53</v>
      </c>
      <c r="M13" s="92" t="s">
        <v>3552</v>
      </c>
    </row>
    <row r="14" spans="2:13" x14ac:dyDescent="0.3">
      <c r="K14" s="90" t="s">
        <v>1356</v>
      </c>
      <c r="L14" s="91" t="s">
        <v>53</v>
      </c>
      <c r="M14" s="92" t="s">
        <v>3552</v>
      </c>
    </row>
    <row r="15" spans="2:13" x14ac:dyDescent="0.3">
      <c r="K15" s="90" t="s">
        <v>2189</v>
      </c>
      <c r="L15" s="91" t="s">
        <v>53</v>
      </c>
      <c r="M15" s="92" t="s">
        <v>3552</v>
      </c>
    </row>
    <row r="16" spans="2:13" x14ac:dyDescent="0.3">
      <c r="K16" s="90" t="s">
        <v>1112</v>
      </c>
      <c r="L16" s="91" t="s">
        <v>53</v>
      </c>
      <c r="M16" s="92" t="s">
        <v>3552</v>
      </c>
    </row>
    <row r="17" spans="1:13" x14ac:dyDescent="0.3">
      <c r="B17" s="10" t="s">
        <v>3556</v>
      </c>
      <c r="K17" s="90" t="s">
        <v>2825</v>
      </c>
      <c r="L17" s="91" t="s">
        <v>21</v>
      </c>
      <c r="M17" s="92" t="s">
        <v>3958</v>
      </c>
    </row>
    <row r="18" spans="1:13" x14ac:dyDescent="0.3">
      <c r="B18" s="145" t="s">
        <v>208</v>
      </c>
      <c r="C18" s="146" t="s">
        <v>202</v>
      </c>
      <c r="F18" s="145" t="s">
        <v>208</v>
      </c>
      <c r="G18" s="146" t="s">
        <v>204</v>
      </c>
      <c r="K18" s="90" t="s">
        <v>2820</v>
      </c>
      <c r="L18" s="91" t="s">
        <v>21</v>
      </c>
      <c r="M18" s="92" t="s">
        <v>3958</v>
      </c>
    </row>
    <row r="19" spans="1:13" x14ac:dyDescent="0.3">
      <c r="B19" s="147" t="s">
        <v>687</v>
      </c>
      <c r="C19" s="148">
        <v>1</v>
      </c>
      <c r="F19" t="s">
        <v>694</v>
      </c>
      <c r="G19" s="9" t="s">
        <v>14</v>
      </c>
      <c r="K19" s="90" t="s">
        <v>1085</v>
      </c>
      <c r="L19" s="91" t="s">
        <v>21</v>
      </c>
      <c r="M19" s="92" t="s">
        <v>3958</v>
      </c>
    </row>
    <row r="20" spans="1:13" x14ac:dyDescent="0.3">
      <c r="B20" s="147" t="s">
        <v>2473</v>
      </c>
      <c r="C20" s="148">
        <v>7</v>
      </c>
      <c r="F20" t="s">
        <v>1017</v>
      </c>
      <c r="G20" s="9" t="s">
        <v>14</v>
      </c>
      <c r="K20" s="181" t="s">
        <v>3557</v>
      </c>
      <c r="L20" s="91" t="s">
        <v>21</v>
      </c>
      <c r="M20" s="92" t="s">
        <v>3958</v>
      </c>
    </row>
    <row r="21" spans="1:13" x14ac:dyDescent="0.3">
      <c r="B21" s="147" t="s">
        <v>2043</v>
      </c>
      <c r="C21" s="148">
        <v>3</v>
      </c>
      <c r="F21" t="s">
        <v>1307</v>
      </c>
      <c r="G21" s="9" t="s">
        <v>14</v>
      </c>
      <c r="K21" s="90" t="s">
        <v>3558</v>
      </c>
      <c r="L21" s="91" t="s">
        <v>21</v>
      </c>
      <c r="M21" s="92" t="s">
        <v>3958</v>
      </c>
    </row>
    <row r="22" spans="1:13" x14ac:dyDescent="0.3">
      <c r="B22" s="147" t="s">
        <v>1017</v>
      </c>
      <c r="C22" s="148">
        <v>2</v>
      </c>
      <c r="F22" t="s">
        <v>687</v>
      </c>
      <c r="G22" s="9" t="s">
        <v>14</v>
      </c>
      <c r="K22" s="186" t="s">
        <v>3387</v>
      </c>
      <c r="L22" s="91" t="s">
        <v>3559</v>
      </c>
      <c r="M22" s="92" t="s">
        <v>3381</v>
      </c>
    </row>
    <row r="23" spans="1:13" x14ac:dyDescent="0.3">
      <c r="A23" s="71"/>
      <c r="B23" s="149" t="s">
        <v>1481</v>
      </c>
      <c r="C23" s="148">
        <v>4</v>
      </c>
      <c r="F23" t="s">
        <v>3560</v>
      </c>
      <c r="G23" s="9" t="s">
        <v>14</v>
      </c>
      <c r="K23" s="186" t="s">
        <v>2858</v>
      </c>
      <c r="L23" s="91" t="s">
        <v>3561</v>
      </c>
      <c r="M23" s="92" t="s">
        <v>3562</v>
      </c>
    </row>
    <row r="24" spans="1:13" x14ac:dyDescent="0.3">
      <c r="B24" s="149" t="s">
        <v>990</v>
      </c>
      <c r="C24" s="148">
        <v>2</v>
      </c>
      <c r="F24" t="s">
        <v>1481</v>
      </c>
      <c r="G24" s="9" t="s">
        <v>14</v>
      </c>
      <c r="K24" s="90" t="s">
        <v>2549</v>
      </c>
      <c r="L24" s="91" t="s">
        <v>3561</v>
      </c>
      <c r="M24" s="92" t="s">
        <v>3630</v>
      </c>
    </row>
    <row r="25" spans="1:13" x14ac:dyDescent="0.3">
      <c r="B25" s="149" t="s">
        <v>1285</v>
      </c>
      <c r="C25" s="148">
        <v>3</v>
      </c>
      <c r="F25" t="s">
        <v>1760</v>
      </c>
      <c r="G25" s="9" t="s">
        <v>14</v>
      </c>
      <c r="K25" s="90" t="s">
        <v>22</v>
      </c>
      <c r="L25" s="91" t="s">
        <v>52</v>
      </c>
      <c r="M25" s="92" t="s">
        <v>22</v>
      </c>
    </row>
    <row r="26" spans="1:13" x14ac:dyDescent="0.3">
      <c r="B26" s="149" t="s">
        <v>3515</v>
      </c>
      <c r="C26" s="148">
        <v>30</v>
      </c>
      <c r="F26" t="s">
        <v>2081</v>
      </c>
      <c r="G26" s="9" t="s">
        <v>14</v>
      </c>
      <c r="K26" s="181" t="s">
        <v>3280</v>
      </c>
      <c r="L26" s="91" t="s">
        <v>3563</v>
      </c>
      <c r="M26" s="92" t="s">
        <v>22</v>
      </c>
    </row>
    <row r="27" spans="1:13" x14ac:dyDescent="0.3">
      <c r="B27" s="149" t="s">
        <v>3508</v>
      </c>
      <c r="C27" s="148">
        <v>30</v>
      </c>
      <c r="F27" t="s">
        <v>2473</v>
      </c>
      <c r="G27" s="9" t="s">
        <v>14</v>
      </c>
      <c r="K27" s="90" t="s">
        <v>606</v>
      </c>
      <c r="L27" s="91" t="s">
        <v>52</v>
      </c>
      <c r="M27" s="92" t="s">
        <v>22</v>
      </c>
    </row>
    <row r="28" spans="1:13" x14ac:dyDescent="0.3">
      <c r="B28" s="149" t="s">
        <v>3502</v>
      </c>
      <c r="C28" s="148">
        <v>30</v>
      </c>
      <c r="F28" t="s">
        <v>2767</v>
      </c>
      <c r="G28" s="9" t="s">
        <v>14</v>
      </c>
      <c r="K28" s="90" t="s">
        <v>611</v>
      </c>
      <c r="L28" s="91" t="s">
        <v>52</v>
      </c>
      <c r="M28" s="92" t="s">
        <v>22</v>
      </c>
    </row>
    <row r="29" spans="1:13" x14ac:dyDescent="0.3">
      <c r="B29" s="149" t="s">
        <v>3504</v>
      </c>
      <c r="C29" s="148">
        <v>30</v>
      </c>
      <c r="F29" t="s">
        <v>3519</v>
      </c>
      <c r="G29" s="9" t="s">
        <v>3564</v>
      </c>
      <c r="K29" s="90" t="s">
        <v>973</v>
      </c>
      <c r="L29" s="91" t="s">
        <v>52</v>
      </c>
      <c r="M29" s="92" t="s">
        <v>22</v>
      </c>
    </row>
    <row r="30" spans="1:13" x14ac:dyDescent="0.3">
      <c r="B30" s="149" t="s">
        <v>3506</v>
      </c>
      <c r="C30" s="148">
        <v>30</v>
      </c>
      <c r="K30" s="90" t="s">
        <v>1267</v>
      </c>
      <c r="L30" s="91" t="s">
        <v>52</v>
      </c>
      <c r="M30" s="92" t="s">
        <v>22</v>
      </c>
    </row>
    <row r="31" spans="1:13" x14ac:dyDescent="0.3">
      <c r="B31" s="149" t="s">
        <v>3511</v>
      </c>
      <c r="C31" s="148">
        <v>30</v>
      </c>
      <c r="K31" s="90" t="s">
        <v>1453</v>
      </c>
      <c r="L31" s="91" t="s">
        <v>52</v>
      </c>
      <c r="M31" s="92" t="s">
        <v>22</v>
      </c>
    </row>
    <row r="32" spans="1:13" x14ac:dyDescent="0.3">
      <c r="B32" s="149" t="s">
        <v>3513</v>
      </c>
      <c r="C32" s="148">
        <v>30</v>
      </c>
      <c r="K32" s="186" t="s">
        <v>3462</v>
      </c>
      <c r="L32" s="91" t="s">
        <v>3561</v>
      </c>
      <c r="M32" s="92" t="s">
        <v>3565</v>
      </c>
    </row>
    <row r="33" spans="2:13" x14ac:dyDescent="0.3">
      <c r="B33" s="149" t="s">
        <v>3517</v>
      </c>
      <c r="C33" s="148">
        <v>30</v>
      </c>
      <c r="K33" s="186" t="s">
        <v>2904</v>
      </c>
      <c r="L33" s="91" t="s">
        <v>3561</v>
      </c>
      <c r="M33" s="92" t="s">
        <v>3565</v>
      </c>
    </row>
    <row r="34" spans="2:13" x14ac:dyDescent="0.3">
      <c r="B34" s="149" t="s">
        <v>3519</v>
      </c>
      <c r="C34" s="148">
        <v>30</v>
      </c>
      <c r="K34" s="181" t="s">
        <v>2882</v>
      </c>
      <c r="L34" s="91" t="s">
        <v>3561</v>
      </c>
      <c r="M34" s="92" t="s">
        <v>3565</v>
      </c>
    </row>
    <row r="35" spans="2:13" x14ac:dyDescent="0.3">
      <c r="C35"/>
      <c r="K35" s="186" t="s">
        <v>2893</v>
      </c>
      <c r="L35" s="91" t="s">
        <v>3561</v>
      </c>
      <c r="M35" s="92" t="s">
        <v>3565</v>
      </c>
    </row>
    <row r="36" spans="2:13" x14ac:dyDescent="0.3">
      <c r="C36"/>
      <c r="K36" s="186" t="s">
        <v>2890</v>
      </c>
      <c r="L36" s="91" t="s">
        <v>3561</v>
      </c>
      <c r="M36" s="92" t="s">
        <v>3565</v>
      </c>
    </row>
    <row r="37" spans="2:13" x14ac:dyDescent="0.3">
      <c r="C37"/>
      <c r="D37" s="10" t="s">
        <v>3566</v>
      </c>
      <c r="K37" s="186" t="s">
        <v>2898</v>
      </c>
      <c r="L37" s="91" t="s">
        <v>3561</v>
      </c>
      <c r="M37" s="92" t="s">
        <v>3565</v>
      </c>
    </row>
    <row r="38" spans="2:13" x14ac:dyDescent="0.3">
      <c r="C38"/>
      <c r="D38" t="s">
        <v>3528</v>
      </c>
      <c r="K38" s="186" t="s">
        <v>3950</v>
      </c>
      <c r="L38" s="91" t="s">
        <v>3561</v>
      </c>
      <c r="M38" s="92" t="s">
        <v>3565</v>
      </c>
    </row>
    <row r="39" spans="2:13" x14ac:dyDescent="0.3">
      <c r="C39"/>
      <c r="D39" t="s">
        <v>3567</v>
      </c>
      <c r="K39" s="186" t="s">
        <v>2932</v>
      </c>
      <c r="L39" s="91" t="s">
        <v>3561</v>
      </c>
      <c r="M39" s="92" t="s">
        <v>3565</v>
      </c>
    </row>
    <row r="40" spans="2:13" x14ac:dyDescent="0.3">
      <c r="C40"/>
      <c r="D40" t="s">
        <v>3568</v>
      </c>
      <c r="K40" s="186" t="s">
        <v>2941</v>
      </c>
      <c r="L40" s="91" t="s">
        <v>3561</v>
      </c>
      <c r="M40" s="92" t="s">
        <v>3565</v>
      </c>
    </row>
    <row r="41" spans="2:13" x14ac:dyDescent="0.3">
      <c r="C41"/>
      <c r="D41" t="s">
        <v>3529</v>
      </c>
      <c r="K41" s="186" t="s">
        <v>3685</v>
      </c>
      <c r="L41" s="91" t="s">
        <v>3561</v>
      </c>
      <c r="M41" s="92" t="s">
        <v>3565</v>
      </c>
    </row>
    <row r="42" spans="2:13" x14ac:dyDescent="0.3">
      <c r="C42"/>
      <c r="D42" t="s">
        <v>3570</v>
      </c>
      <c r="K42" s="186" t="s">
        <v>2870</v>
      </c>
      <c r="L42" s="91" t="s">
        <v>3561</v>
      </c>
      <c r="M42" s="92" t="s">
        <v>3565</v>
      </c>
    </row>
    <row r="43" spans="2:13" x14ac:dyDescent="0.3">
      <c r="C43"/>
      <c r="D43" t="s">
        <v>3531</v>
      </c>
      <c r="K43" s="181" t="s">
        <v>3418</v>
      </c>
      <c r="L43" s="91" t="s">
        <v>3569</v>
      </c>
      <c r="M43" s="92" t="s">
        <v>3565</v>
      </c>
    </row>
    <row r="44" spans="2:13" x14ac:dyDescent="0.3">
      <c r="D44" t="s">
        <v>3530</v>
      </c>
      <c r="K44" s="90" t="s">
        <v>2481</v>
      </c>
      <c r="L44" s="91" t="s">
        <v>56</v>
      </c>
      <c r="M44" s="92" t="s">
        <v>151</v>
      </c>
    </row>
    <row r="45" spans="2:13" x14ac:dyDescent="0.3">
      <c r="D45" t="s">
        <v>3527</v>
      </c>
      <c r="K45" s="90" t="s">
        <v>1030</v>
      </c>
      <c r="L45" s="91" t="s">
        <v>56</v>
      </c>
      <c r="M45" s="92" t="s">
        <v>151</v>
      </c>
    </row>
    <row r="46" spans="2:13" x14ac:dyDescent="0.3">
      <c r="D46" t="s">
        <v>3571</v>
      </c>
      <c r="K46" s="181" t="s">
        <v>2955</v>
      </c>
      <c r="L46" s="91" t="s">
        <v>3561</v>
      </c>
      <c r="M46" s="92" t="s">
        <v>151</v>
      </c>
    </row>
    <row r="47" spans="2:13" x14ac:dyDescent="0.3">
      <c r="D47" t="s">
        <v>3572</v>
      </c>
      <c r="K47" s="186" t="s">
        <v>2947</v>
      </c>
      <c r="L47" s="91" t="s">
        <v>3561</v>
      </c>
      <c r="M47" s="92" t="s">
        <v>151</v>
      </c>
    </row>
    <row r="48" spans="2:13" x14ac:dyDescent="0.3">
      <c r="D48" t="s">
        <v>3573</v>
      </c>
      <c r="K48" s="90" t="s">
        <v>1024</v>
      </c>
      <c r="L48" s="91" t="s">
        <v>57</v>
      </c>
      <c r="M48" s="92" t="s">
        <v>151</v>
      </c>
    </row>
    <row r="49" spans="4:13" x14ac:dyDescent="0.3">
      <c r="D49" t="s">
        <v>3574</v>
      </c>
      <c r="K49" s="90" t="s">
        <v>2120</v>
      </c>
      <c r="L49" s="91" t="s">
        <v>58</v>
      </c>
      <c r="M49" s="92" t="s">
        <v>151</v>
      </c>
    </row>
    <row r="50" spans="4:13" x14ac:dyDescent="0.3">
      <c r="D50" t="s">
        <v>3575</v>
      </c>
      <c r="K50" s="90" t="s">
        <v>1036</v>
      </c>
      <c r="L50" s="91" t="s">
        <v>58</v>
      </c>
      <c r="M50" s="92" t="s">
        <v>151</v>
      </c>
    </row>
    <row r="51" spans="4:13" x14ac:dyDescent="0.3">
      <c r="K51" s="90" t="s">
        <v>317</v>
      </c>
      <c r="L51" s="91" t="s">
        <v>3563</v>
      </c>
      <c r="M51" s="92" t="s">
        <v>151</v>
      </c>
    </row>
    <row r="52" spans="4:13" x14ac:dyDescent="0.3">
      <c r="K52" s="181" t="s">
        <v>3049</v>
      </c>
      <c r="L52" s="91" t="s">
        <v>3563</v>
      </c>
      <c r="M52" s="92" t="s">
        <v>151</v>
      </c>
    </row>
    <row r="53" spans="4:13" x14ac:dyDescent="0.3">
      <c r="K53" s="181" t="s">
        <v>3021</v>
      </c>
      <c r="L53" s="91" t="s">
        <v>3563</v>
      </c>
      <c r="M53" s="92" t="s">
        <v>151</v>
      </c>
    </row>
    <row r="54" spans="4:13" x14ac:dyDescent="0.3">
      <c r="K54" s="181" t="s">
        <v>3032</v>
      </c>
      <c r="L54" s="91" t="s">
        <v>3563</v>
      </c>
      <c r="M54" s="92" t="s">
        <v>151</v>
      </c>
    </row>
    <row r="55" spans="4:13" x14ac:dyDescent="0.3">
      <c r="K55" s="90" t="s">
        <v>2216</v>
      </c>
      <c r="L55" s="91" t="s">
        <v>3563</v>
      </c>
      <c r="M55" s="92" t="s">
        <v>151</v>
      </c>
    </row>
    <row r="56" spans="4:13" x14ac:dyDescent="0.3">
      <c r="K56" s="186" t="s">
        <v>3357</v>
      </c>
      <c r="L56" s="91" t="s">
        <v>3559</v>
      </c>
      <c r="M56" s="92" t="s">
        <v>3344</v>
      </c>
    </row>
    <row r="57" spans="4:13" x14ac:dyDescent="0.3">
      <c r="K57" s="181" t="s">
        <v>2985</v>
      </c>
      <c r="L57" s="91" t="s">
        <v>3561</v>
      </c>
      <c r="M57" s="92" t="s">
        <v>151</v>
      </c>
    </row>
    <row r="58" spans="4:13" x14ac:dyDescent="0.3">
      <c r="K58" s="90" t="s">
        <v>574</v>
      </c>
      <c r="L58" s="91" t="s">
        <v>56</v>
      </c>
      <c r="M58" s="92" t="s">
        <v>151</v>
      </c>
    </row>
    <row r="59" spans="4:13" x14ac:dyDescent="0.3">
      <c r="K59" s="90" t="s">
        <v>1041</v>
      </c>
      <c r="L59" s="91" t="s">
        <v>56</v>
      </c>
      <c r="M59" s="92" t="s">
        <v>151</v>
      </c>
    </row>
    <row r="60" spans="4:13" x14ac:dyDescent="0.3">
      <c r="K60" s="90" t="s">
        <v>2781</v>
      </c>
      <c r="L60" s="91" t="s">
        <v>56</v>
      </c>
      <c r="M60" s="92" t="s">
        <v>151</v>
      </c>
    </row>
    <row r="61" spans="4:13" x14ac:dyDescent="0.3">
      <c r="K61" s="90" t="s">
        <v>700</v>
      </c>
      <c r="L61" s="91" t="s">
        <v>56</v>
      </c>
      <c r="M61" s="92" t="s">
        <v>151</v>
      </c>
    </row>
    <row r="62" spans="4:13" x14ac:dyDescent="0.3">
      <c r="K62" s="90" t="s">
        <v>1045</v>
      </c>
      <c r="L62" s="91" t="s">
        <v>56</v>
      </c>
      <c r="M62" s="92" t="s">
        <v>151</v>
      </c>
    </row>
    <row r="63" spans="4:13" x14ac:dyDescent="0.3">
      <c r="K63" s="90" t="s">
        <v>3576</v>
      </c>
      <c r="L63" s="91" t="s">
        <v>56</v>
      </c>
      <c r="M63" s="92" t="s">
        <v>151</v>
      </c>
    </row>
    <row r="64" spans="4:13" x14ac:dyDescent="0.3">
      <c r="K64" s="90" t="s">
        <v>2098</v>
      </c>
      <c r="L64" s="91" t="s">
        <v>56</v>
      </c>
      <c r="M64" s="92" t="s">
        <v>151</v>
      </c>
    </row>
    <row r="65" spans="11:13" x14ac:dyDescent="0.3">
      <c r="K65" s="186" t="s">
        <v>3029</v>
      </c>
      <c r="L65" s="91" t="s">
        <v>3563</v>
      </c>
      <c r="M65" s="92" t="s">
        <v>151</v>
      </c>
    </row>
    <row r="66" spans="11:13" x14ac:dyDescent="0.3">
      <c r="K66" s="181" t="s">
        <v>3153</v>
      </c>
      <c r="L66" s="91" t="s">
        <v>3563</v>
      </c>
      <c r="M66" s="92" t="s">
        <v>151</v>
      </c>
    </row>
    <row r="67" spans="11:13" x14ac:dyDescent="0.3">
      <c r="K67" s="90" t="s">
        <v>368</v>
      </c>
      <c r="L67" s="91" t="s">
        <v>3577</v>
      </c>
      <c r="M67" s="92" t="s">
        <v>151</v>
      </c>
    </row>
    <row r="68" spans="11:13" x14ac:dyDescent="0.3">
      <c r="K68" s="90" t="s">
        <v>2570</v>
      </c>
      <c r="L68" s="91" t="s">
        <v>3577</v>
      </c>
      <c r="M68" s="92" t="s">
        <v>151</v>
      </c>
    </row>
    <row r="69" spans="11:13" x14ac:dyDescent="0.3">
      <c r="K69" s="90" t="s">
        <v>2258</v>
      </c>
      <c r="L69" s="91" t="s">
        <v>3577</v>
      </c>
      <c r="M69" s="92" t="s">
        <v>151</v>
      </c>
    </row>
    <row r="70" spans="11:13" x14ac:dyDescent="0.3">
      <c r="K70" s="90" t="s">
        <v>380</v>
      </c>
      <c r="L70" s="91" t="s">
        <v>3577</v>
      </c>
      <c r="M70" s="92" t="s">
        <v>151</v>
      </c>
    </row>
    <row r="71" spans="11:13" x14ac:dyDescent="0.3">
      <c r="K71" s="90" t="s">
        <v>389</v>
      </c>
      <c r="L71" s="91" t="s">
        <v>3577</v>
      </c>
      <c r="M71" s="92" t="s">
        <v>151</v>
      </c>
    </row>
    <row r="72" spans="11:13" x14ac:dyDescent="0.3">
      <c r="K72" s="90" t="s">
        <v>1489</v>
      </c>
      <c r="L72" s="91" t="s">
        <v>56</v>
      </c>
      <c r="M72" s="92" t="s">
        <v>151</v>
      </c>
    </row>
    <row r="73" spans="11:13" x14ac:dyDescent="0.3">
      <c r="K73" s="90" t="s">
        <v>625</v>
      </c>
      <c r="L73" s="91" t="s">
        <v>52</v>
      </c>
      <c r="M73" s="92" t="s">
        <v>151</v>
      </c>
    </row>
    <row r="74" spans="11:13" x14ac:dyDescent="0.3">
      <c r="K74" s="90" t="s">
        <v>505</v>
      </c>
      <c r="L74" s="91" t="s">
        <v>55</v>
      </c>
      <c r="M74" s="92" t="s">
        <v>3580</v>
      </c>
    </row>
    <row r="75" spans="11:13" x14ac:dyDescent="0.3">
      <c r="K75" s="90" t="s">
        <v>2646</v>
      </c>
      <c r="L75" s="91" t="s">
        <v>55</v>
      </c>
      <c r="M75" s="92" t="s">
        <v>3580</v>
      </c>
    </row>
    <row r="76" spans="11:13" x14ac:dyDescent="0.3">
      <c r="K76" s="90" t="s">
        <v>500</v>
      </c>
      <c r="L76" s="91" t="s">
        <v>55</v>
      </c>
      <c r="M76" s="92" t="s">
        <v>3580</v>
      </c>
    </row>
    <row r="77" spans="11:13" x14ac:dyDescent="0.3">
      <c r="K77" s="90" t="s">
        <v>910</v>
      </c>
      <c r="L77" s="91" t="s">
        <v>55</v>
      </c>
      <c r="M77" s="92" t="s">
        <v>3580</v>
      </c>
    </row>
    <row r="78" spans="11:13" x14ac:dyDescent="0.3">
      <c r="K78" s="90" t="s">
        <v>3579</v>
      </c>
      <c r="L78" s="91" t="s">
        <v>55</v>
      </c>
      <c r="M78" s="92" t="s">
        <v>3580</v>
      </c>
    </row>
    <row r="79" spans="11:13" x14ac:dyDescent="0.3">
      <c r="K79" s="90" t="s">
        <v>1503</v>
      </c>
      <c r="L79" s="91" t="s">
        <v>56</v>
      </c>
      <c r="M79" s="92" t="s">
        <v>3580</v>
      </c>
    </row>
    <row r="80" spans="11:13" x14ac:dyDescent="0.3">
      <c r="K80" s="90" t="s">
        <v>2399</v>
      </c>
      <c r="L80" s="91" t="s">
        <v>56</v>
      </c>
      <c r="M80" s="92" t="s">
        <v>3580</v>
      </c>
    </row>
    <row r="81" spans="2:13" x14ac:dyDescent="0.3">
      <c r="K81" s="186" t="s">
        <v>721</v>
      </c>
      <c r="L81" s="91" t="s">
        <v>56</v>
      </c>
      <c r="M81" s="92" t="s">
        <v>3580</v>
      </c>
    </row>
    <row r="82" spans="2:13" x14ac:dyDescent="0.3">
      <c r="K82" s="90" t="s">
        <v>1049</v>
      </c>
      <c r="L82" s="91" t="s">
        <v>56</v>
      </c>
      <c r="M82" s="92" t="s">
        <v>3580</v>
      </c>
    </row>
    <row r="83" spans="2:13" x14ac:dyDescent="0.3">
      <c r="B83" s="71"/>
      <c r="K83" s="90" t="s">
        <v>1315</v>
      </c>
      <c r="L83" s="91" t="s">
        <v>56</v>
      </c>
      <c r="M83" s="92" t="s">
        <v>3580</v>
      </c>
    </row>
    <row r="84" spans="2:13" x14ac:dyDescent="0.3">
      <c r="B84" s="71"/>
      <c r="K84" s="90" t="s">
        <v>1496</v>
      </c>
      <c r="L84" s="91" t="s">
        <v>56</v>
      </c>
      <c r="M84" s="92" t="s">
        <v>3580</v>
      </c>
    </row>
    <row r="85" spans="2:13" x14ac:dyDescent="0.3">
      <c r="B85" s="71"/>
      <c r="K85" s="181" t="s">
        <v>2111</v>
      </c>
      <c r="L85" s="91" t="s">
        <v>56</v>
      </c>
      <c r="M85" s="92" t="s">
        <v>3580</v>
      </c>
    </row>
    <row r="86" spans="2:13" x14ac:dyDescent="0.3">
      <c r="B86" s="71"/>
      <c r="C86"/>
      <c r="K86" s="90" t="s">
        <v>2776</v>
      </c>
      <c r="L86" s="91" t="s">
        <v>56</v>
      </c>
      <c r="M86" s="92" t="s">
        <v>3580</v>
      </c>
    </row>
    <row r="87" spans="2:13" x14ac:dyDescent="0.3">
      <c r="B87" s="71"/>
      <c r="C87"/>
      <c r="K87" s="90" t="s">
        <v>581</v>
      </c>
      <c r="L87" s="91" t="s">
        <v>53</v>
      </c>
      <c r="M87" s="92" t="s">
        <v>3580</v>
      </c>
    </row>
    <row r="88" spans="2:13" x14ac:dyDescent="0.3">
      <c r="B88" s="71"/>
      <c r="C88"/>
      <c r="K88" s="90" t="s">
        <v>3581</v>
      </c>
      <c r="L88" s="91" t="s">
        <v>53</v>
      </c>
      <c r="M88" s="92" t="s">
        <v>3580</v>
      </c>
    </row>
    <row r="89" spans="2:13" x14ac:dyDescent="0.3">
      <c r="B89" s="71"/>
      <c r="C89"/>
      <c r="K89" s="90" t="s">
        <v>793</v>
      </c>
      <c r="L89" s="91" t="s">
        <v>53</v>
      </c>
      <c r="M89" s="92" t="s">
        <v>3580</v>
      </c>
    </row>
    <row r="90" spans="2:13" x14ac:dyDescent="0.3">
      <c r="B90" s="71"/>
      <c r="C90"/>
      <c r="K90" s="90" t="s">
        <v>1099</v>
      </c>
      <c r="L90" s="91" t="s">
        <v>53</v>
      </c>
      <c r="M90" s="92" t="s">
        <v>3580</v>
      </c>
    </row>
    <row r="91" spans="2:13" x14ac:dyDescent="0.3">
      <c r="B91" s="71"/>
      <c r="C91"/>
      <c r="K91" s="90" t="s">
        <v>3582</v>
      </c>
      <c r="L91" s="91" t="s">
        <v>53</v>
      </c>
      <c r="M91" s="92" t="s">
        <v>3580</v>
      </c>
    </row>
    <row r="92" spans="2:13" x14ac:dyDescent="0.3">
      <c r="B92" s="71"/>
      <c r="C92"/>
      <c r="K92" s="90" t="s">
        <v>2181</v>
      </c>
      <c r="L92" s="91" t="s">
        <v>53</v>
      </c>
      <c r="M92" s="92" t="s">
        <v>3580</v>
      </c>
    </row>
    <row r="93" spans="2:13" x14ac:dyDescent="0.3">
      <c r="B93" s="71"/>
      <c r="C93"/>
      <c r="K93" s="90" t="s">
        <v>2031</v>
      </c>
      <c r="L93" s="91" t="s">
        <v>52</v>
      </c>
      <c r="M93" s="92" t="s">
        <v>2031</v>
      </c>
    </row>
    <row r="94" spans="2:13" x14ac:dyDescent="0.3">
      <c r="B94" s="71"/>
      <c r="C94"/>
      <c r="K94" s="90" t="s">
        <v>630</v>
      </c>
      <c r="L94" s="91" t="s">
        <v>52</v>
      </c>
      <c r="M94" s="92" t="s">
        <v>2031</v>
      </c>
    </row>
    <row r="95" spans="2:13" x14ac:dyDescent="0.3">
      <c r="B95" s="71"/>
      <c r="C95"/>
      <c r="K95" s="90" t="s">
        <v>2722</v>
      </c>
      <c r="L95" s="91" t="s">
        <v>52</v>
      </c>
      <c r="M95" s="92" t="s">
        <v>2031</v>
      </c>
    </row>
    <row r="96" spans="2:13" x14ac:dyDescent="0.3">
      <c r="B96" s="71"/>
      <c r="C96"/>
      <c r="K96" s="90" t="s">
        <v>1462</v>
      </c>
      <c r="L96" s="91" t="s">
        <v>52</v>
      </c>
      <c r="M96" s="92" t="s">
        <v>2031</v>
      </c>
    </row>
    <row r="97" spans="2:13" x14ac:dyDescent="0.3">
      <c r="B97" s="71"/>
      <c r="C97"/>
      <c r="K97" s="186" t="s">
        <v>3583</v>
      </c>
      <c r="L97" s="91" t="s">
        <v>3583</v>
      </c>
      <c r="M97" s="92" t="s">
        <v>3583</v>
      </c>
    </row>
    <row r="98" spans="2:13" x14ac:dyDescent="0.3">
      <c r="B98" s="71"/>
      <c r="C98"/>
      <c r="K98" s="186" t="s">
        <v>3010</v>
      </c>
      <c r="L98" s="91" t="s">
        <v>3583</v>
      </c>
      <c r="M98" s="92" t="s">
        <v>3583</v>
      </c>
    </row>
    <row r="99" spans="2:13" x14ac:dyDescent="0.3">
      <c r="B99" s="71"/>
      <c r="C99"/>
      <c r="K99" s="181" t="s">
        <v>2996</v>
      </c>
      <c r="L99" s="91" t="s">
        <v>3583</v>
      </c>
      <c r="M99" s="92" t="s">
        <v>3583</v>
      </c>
    </row>
    <row r="100" spans="2:13" x14ac:dyDescent="0.3">
      <c r="B100" s="71"/>
      <c r="C100"/>
      <c r="K100" s="186" t="s">
        <v>3016</v>
      </c>
      <c r="L100" s="91" t="s">
        <v>3583</v>
      </c>
      <c r="M100" s="92" t="s">
        <v>3583</v>
      </c>
    </row>
    <row r="101" spans="2:13" x14ac:dyDescent="0.3">
      <c r="B101" s="71"/>
      <c r="C101"/>
      <c r="K101" s="186" t="s">
        <v>303</v>
      </c>
      <c r="L101" s="91" t="s">
        <v>57</v>
      </c>
      <c r="M101" s="92" t="s">
        <v>3959</v>
      </c>
    </row>
    <row r="102" spans="2:13" x14ac:dyDescent="0.3">
      <c r="B102" s="71"/>
      <c r="C102"/>
      <c r="K102" s="90" t="s">
        <v>3584</v>
      </c>
      <c r="L102" s="91" t="s">
        <v>57</v>
      </c>
      <c r="M102" s="92" t="s">
        <v>3959</v>
      </c>
    </row>
    <row r="103" spans="2:13" x14ac:dyDescent="0.3">
      <c r="B103" s="71"/>
      <c r="C103"/>
      <c r="K103" s="90" t="s">
        <v>1364</v>
      </c>
      <c r="L103" s="91" t="s">
        <v>57</v>
      </c>
      <c r="M103" s="92" t="s">
        <v>3959</v>
      </c>
    </row>
    <row r="104" spans="2:13" x14ac:dyDescent="0.3">
      <c r="B104" s="71"/>
      <c r="C104"/>
      <c r="K104" s="186" t="s">
        <v>1853</v>
      </c>
      <c r="L104" s="91" t="s">
        <v>57</v>
      </c>
      <c r="M104" s="92" t="s">
        <v>3959</v>
      </c>
    </row>
    <row r="105" spans="2:13" x14ac:dyDescent="0.3">
      <c r="B105" s="71"/>
      <c r="C105"/>
      <c r="K105" s="90" t="s">
        <v>2554</v>
      </c>
      <c r="L105" s="91" t="s">
        <v>57</v>
      </c>
      <c r="M105" s="92" t="s">
        <v>3959</v>
      </c>
    </row>
    <row r="106" spans="2:13" x14ac:dyDescent="0.3">
      <c r="B106" s="71"/>
      <c r="C106"/>
      <c r="K106" s="90" t="s">
        <v>310</v>
      </c>
      <c r="L106" s="91" t="s">
        <v>57</v>
      </c>
      <c r="M106" s="92" t="s">
        <v>3959</v>
      </c>
    </row>
    <row r="107" spans="2:13" x14ac:dyDescent="0.3">
      <c r="B107" s="71"/>
      <c r="C107"/>
      <c r="K107" s="90" t="s">
        <v>2207</v>
      </c>
      <c r="L107" s="91" t="s">
        <v>57</v>
      </c>
      <c r="M107" s="92" t="s">
        <v>3959</v>
      </c>
    </row>
    <row r="108" spans="2:13" x14ac:dyDescent="0.3">
      <c r="B108" s="71"/>
      <c r="C108"/>
      <c r="K108" s="186" t="s">
        <v>120</v>
      </c>
      <c r="L108" s="91" t="s">
        <v>3563</v>
      </c>
      <c r="M108" s="92" t="s">
        <v>120</v>
      </c>
    </row>
    <row r="109" spans="2:13" x14ac:dyDescent="0.3">
      <c r="B109" s="71"/>
      <c r="C109"/>
      <c r="K109" s="90" t="s">
        <v>330</v>
      </c>
      <c r="L109" s="91" t="s">
        <v>3563</v>
      </c>
      <c r="M109" s="92" t="s">
        <v>120</v>
      </c>
    </row>
    <row r="110" spans="2:13" x14ac:dyDescent="0.3">
      <c r="B110" s="71"/>
      <c r="C110"/>
      <c r="K110" s="90" t="s">
        <v>2565</v>
      </c>
      <c r="L110" s="91" t="s">
        <v>3563</v>
      </c>
      <c r="M110" s="92" t="s">
        <v>120</v>
      </c>
    </row>
    <row r="111" spans="2:13" x14ac:dyDescent="0.3">
      <c r="B111" s="71"/>
      <c r="C111"/>
      <c r="K111" s="181" t="s">
        <v>3176</v>
      </c>
      <c r="L111" s="91" t="s">
        <v>3563</v>
      </c>
      <c r="M111" s="92" t="s">
        <v>120</v>
      </c>
    </row>
    <row r="112" spans="2:13" x14ac:dyDescent="0.3">
      <c r="B112" s="71"/>
      <c r="C112"/>
      <c r="K112" s="181" t="s">
        <v>3188</v>
      </c>
      <c r="L112" s="91" t="s">
        <v>3563</v>
      </c>
      <c r="M112" s="92" t="s">
        <v>120</v>
      </c>
    </row>
    <row r="113" spans="2:13" x14ac:dyDescent="0.3">
      <c r="B113" s="71"/>
      <c r="C113"/>
      <c r="K113" s="181" t="s">
        <v>3214</v>
      </c>
      <c r="L113" s="91" t="s">
        <v>3563</v>
      </c>
      <c r="M113" s="92" t="s">
        <v>120</v>
      </c>
    </row>
    <row r="114" spans="2:13" x14ac:dyDescent="0.3">
      <c r="B114" s="71"/>
      <c r="C114"/>
      <c r="K114" s="90" t="s">
        <v>344</v>
      </c>
      <c r="L114" s="91" t="s">
        <v>3563</v>
      </c>
      <c r="M114" s="92" t="s">
        <v>20</v>
      </c>
    </row>
    <row r="115" spans="2:13" x14ac:dyDescent="0.3">
      <c r="B115" s="71"/>
      <c r="C115"/>
      <c r="K115" s="186" t="s">
        <v>3002</v>
      </c>
      <c r="L115" s="91" t="s">
        <v>3583</v>
      </c>
      <c r="M115" s="92" t="s">
        <v>3583</v>
      </c>
    </row>
    <row r="116" spans="2:13" x14ac:dyDescent="0.3">
      <c r="B116" s="71"/>
      <c r="C116"/>
      <c r="K116" s="90" t="s">
        <v>769</v>
      </c>
      <c r="L116" s="91" t="s">
        <v>58</v>
      </c>
      <c r="M116" s="92" t="s">
        <v>19</v>
      </c>
    </row>
    <row r="117" spans="2:13" x14ac:dyDescent="0.3">
      <c r="B117" s="71"/>
      <c r="C117"/>
      <c r="K117" s="90" t="s">
        <v>2843</v>
      </c>
      <c r="L117" s="91" t="s">
        <v>58</v>
      </c>
      <c r="M117" s="92" t="s">
        <v>19</v>
      </c>
    </row>
    <row r="118" spans="2:13" x14ac:dyDescent="0.3">
      <c r="B118" s="71"/>
      <c r="C118"/>
      <c r="K118" s="90" t="s">
        <v>776</v>
      </c>
      <c r="L118" s="91" t="s">
        <v>58</v>
      </c>
      <c r="M118" s="92" t="s">
        <v>19</v>
      </c>
    </row>
    <row r="119" spans="2:13" x14ac:dyDescent="0.3">
      <c r="B119" s="71"/>
      <c r="C119"/>
      <c r="K119" s="90" t="s">
        <v>2410</v>
      </c>
      <c r="L119" s="91" t="s">
        <v>58</v>
      </c>
      <c r="M119" s="92" t="s">
        <v>19</v>
      </c>
    </row>
    <row r="120" spans="2:13" x14ac:dyDescent="0.3">
      <c r="B120" s="71"/>
      <c r="C120"/>
      <c r="K120" s="186" t="s">
        <v>3344</v>
      </c>
      <c r="L120" s="91" t="s">
        <v>3559</v>
      </c>
      <c r="M120" s="92" t="s">
        <v>3344</v>
      </c>
    </row>
    <row r="121" spans="2:13" x14ac:dyDescent="0.3">
      <c r="B121" s="71"/>
      <c r="C121"/>
      <c r="K121" s="186" t="s">
        <v>3364</v>
      </c>
      <c r="L121" s="91" t="s">
        <v>3559</v>
      </c>
      <c r="M121" s="92" t="s">
        <v>3344</v>
      </c>
    </row>
    <row r="122" spans="2:13" x14ac:dyDescent="0.3">
      <c r="B122" s="71"/>
      <c r="C122"/>
      <c r="K122" s="90" t="s">
        <v>949</v>
      </c>
      <c r="L122" s="91" t="s">
        <v>3577</v>
      </c>
      <c r="M122" s="92" t="s">
        <v>3578</v>
      </c>
    </row>
    <row r="123" spans="2:13" x14ac:dyDescent="0.3">
      <c r="B123" s="71"/>
      <c r="C123"/>
      <c r="K123" s="90" t="s">
        <v>2268</v>
      </c>
      <c r="L123" s="91" t="s">
        <v>3577</v>
      </c>
      <c r="M123" s="92" t="s">
        <v>3578</v>
      </c>
    </row>
    <row r="124" spans="2:13" x14ac:dyDescent="0.3">
      <c r="B124" s="71"/>
      <c r="C124"/>
      <c r="K124" s="90" t="s">
        <v>847</v>
      </c>
      <c r="L124" s="91" t="s">
        <v>3577</v>
      </c>
      <c r="M124" s="92" t="s">
        <v>3578</v>
      </c>
    </row>
    <row r="125" spans="2:13" x14ac:dyDescent="0.3">
      <c r="B125" s="71"/>
      <c r="C125"/>
      <c r="K125" s="186" t="s">
        <v>1065</v>
      </c>
      <c r="L125" s="91" t="s">
        <v>56</v>
      </c>
      <c r="M125" s="92" t="s">
        <v>117</v>
      </c>
    </row>
    <row r="126" spans="2:13" x14ac:dyDescent="0.3">
      <c r="B126" s="71"/>
      <c r="C126"/>
      <c r="K126" s="90" t="s">
        <v>956</v>
      </c>
      <c r="L126" s="91" t="s">
        <v>53</v>
      </c>
      <c r="M126" s="92" t="s">
        <v>117</v>
      </c>
    </row>
    <row r="127" spans="2:13" x14ac:dyDescent="0.3">
      <c r="B127" s="71"/>
      <c r="C127"/>
      <c r="K127" s="90" t="s">
        <v>1126</v>
      </c>
      <c r="L127" s="91" t="s">
        <v>53</v>
      </c>
      <c r="M127" s="92" t="s">
        <v>117</v>
      </c>
    </row>
    <row r="128" spans="2:13" x14ac:dyDescent="0.3">
      <c r="B128" s="71"/>
      <c r="C128"/>
      <c r="K128" s="186" t="s">
        <v>1359</v>
      </c>
      <c r="L128" s="91" t="s">
        <v>53</v>
      </c>
      <c r="M128" s="92" t="s">
        <v>117</v>
      </c>
    </row>
    <row r="129" spans="2:13" x14ac:dyDescent="0.3">
      <c r="B129" s="71"/>
      <c r="C129"/>
      <c r="K129" s="90" t="s">
        <v>1133</v>
      </c>
      <c r="L129" s="91" t="s">
        <v>57</v>
      </c>
      <c r="M129" s="92" t="s">
        <v>117</v>
      </c>
    </row>
    <row r="130" spans="2:13" x14ac:dyDescent="0.3">
      <c r="B130" s="71"/>
      <c r="C130"/>
      <c r="K130" s="186" t="s">
        <v>3252</v>
      </c>
      <c r="L130" s="91" t="s">
        <v>3563</v>
      </c>
      <c r="M130" s="92" t="s">
        <v>117</v>
      </c>
    </row>
    <row r="131" spans="2:13" x14ac:dyDescent="0.3">
      <c r="B131" s="71"/>
      <c r="C131"/>
      <c r="K131" s="90" t="s">
        <v>354</v>
      </c>
      <c r="L131" s="91" t="s">
        <v>3563</v>
      </c>
      <c r="M131" s="92" t="s">
        <v>117</v>
      </c>
    </row>
    <row r="132" spans="2:13" x14ac:dyDescent="0.3">
      <c r="B132" s="71"/>
      <c r="C132"/>
      <c r="K132" s="186" t="s">
        <v>3257</v>
      </c>
      <c r="L132" s="91" t="s">
        <v>3563</v>
      </c>
      <c r="M132" s="92" t="s">
        <v>117</v>
      </c>
    </row>
    <row r="133" spans="2:13" x14ac:dyDescent="0.3">
      <c r="B133" s="71"/>
      <c r="C133"/>
      <c r="K133" s="181" t="s">
        <v>3268</v>
      </c>
      <c r="L133" s="91" t="s">
        <v>3563</v>
      </c>
      <c r="M133" s="92" t="s">
        <v>117</v>
      </c>
    </row>
    <row r="134" spans="2:13" x14ac:dyDescent="0.3">
      <c r="B134" s="71"/>
      <c r="C134"/>
      <c r="K134" s="90" t="s">
        <v>1657</v>
      </c>
      <c r="L134" s="91" t="s">
        <v>55</v>
      </c>
      <c r="M134" s="92" t="s">
        <v>117</v>
      </c>
    </row>
    <row r="135" spans="2:13" x14ac:dyDescent="0.3">
      <c r="B135" s="71"/>
      <c r="C135"/>
      <c r="K135" s="186" t="s">
        <v>1223</v>
      </c>
      <c r="L135" s="91" t="s">
        <v>55</v>
      </c>
      <c r="M135" s="92" t="s">
        <v>117</v>
      </c>
    </row>
    <row r="136" spans="2:13" x14ac:dyDescent="0.3">
      <c r="B136" s="71"/>
      <c r="C136"/>
      <c r="K136" s="90" t="s">
        <v>924</v>
      </c>
      <c r="L136" s="91" t="s">
        <v>3585</v>
      </c>
      <c r="M136" s="92" t="s">
        <v>117</v>
      </c>
    </row>
    <row r="137" spans="2:13" x14ac:dyDescent="0.3">
      <c r="B137" s="71"/>
      <c r="C137"/>
      <c r="K137" s="90" t="s">
        <v>636</v>
      </c>
      <c r="L137" s="91" t="s">
        <v>52</v>
      </c>
      <c r="M137" s="92" t="s">
        <v>117</v>
      </c>
    </row>
    <row r="138" spans="2:13" x14ac:dyDescent="0.3">
      <c r="B138" s="71"/>
      <c r="C138"/>
      <c r="K138" s="90" t="s">
        <v>2129</v>
      </c>
      <c r="L138" s="91" t="s">
        <v>56</v>
      </c>
      <c r="M138" s="92" t="s">
        <v>117</v>
      </c>
    </row>
    <row r="139" spans="2:13" x14ac:dyDescent="0.3">
      <c r="B139" s="71"/>
      <c r="C139"/>
      <c r="K139" s="186" t="s">
        <v>2979</v>
      </c>
      <c r="L139" s="91" t="s">
        <v>3561</v>
      </c>
      <c r="M139" s="92" t="s">
        <v>117</v>
      </c>
    </row>
    <row r="140" spans="2:13" x14ac:dyDescent="0.3">
      <c r="B140" s="71"/>
      <c r="C140"/>
      <c r="K140" s="186" t="s">
        <v>3654</v>
      </c>
      <c r="L140" s="91" t="s">
        <v>3563</v>
      </c>
      <c r="M140" s="92" t="s">
        <v>117</v>
      </c>
    </row>
    <row r="141" spans="2:13" x14ac:dyDescent="0.3">
      <c r="B141" s="71"/>
      <c r="C141"/>
      <c r="K141" s="181" t="s">
        <v>2963</v>
      </c>
      <c r="L141" s="91" t="s">
        <v>3561</v>
      </c>
      <c r="M141" s="92" t="s">
        <v>117</v>
      </c>
    </row>
    <row r="142" spans="2:13" x14ac:dyDescent="0.3">
      <c r="B142" s="71"/>
      <c r="C142"/>
      <c r="K142" s="90" t="s">
        <v>2041</v>
      </c>
      <c r="L142" s="91" t="s">
        <v>52</v>
      </c>
      <c r="M142" s="92" t="s">
        <v>117</v>
      </c>
    </row>
    <row r="143" spans="2:13" x14ac:dyDescent="0.3">
      <c r="B143" s="71"/>
      <c r="C143"/>
      <c r="K143" s="90" t="s">
        <v>394</v>
      </c>
      <c r="L143" s="91" t="s">
        <v>3577</v>
      </c>
      <c r="M143" s="92" t="s">
        <v>117</v>
      </c>
    </row>
    <row r="144" spans="2:13" x14ac:dyDescent="0.3">
      <c r="B144" s="71"/>
      <c r="C144"/>
      <c r="K144" s="90" t="s">
        <v>2201</v>
      </c>
      <c r="L144" s="91" t="s">
        <v>53</v>
      </c>
      <c r="M144" s="92" t="s">
        <v>117</v>
      </c>
    </row>
    <row r="145" spans="2:13" x14ac:dyDescent="0.3">
      <c r="B145" s="71"/>
      <c r="C145"/>
      <c r="K145" s="186" t="s">
        <v>2974</v>
      </c>
      <c r="L145" s="91" t="s">
        <v>3561</v>
      </c>
      <c r="M145" s="92" t="s">
        <v>117</v>
      </c>
    </row>
    <row r="146" spans="2:13" x14ac:dyDescent="0.3">
      <c r="B146" s="71"/>
      <c r="C146"/>
      <c r="K146" s="186" t="s">
        <v>3693</v>
      </c>
      <c r="L146" s="91" t="s">
        <v>3563</v>
      </c>
      <c r="M146" s="92" t="s">
        <v>3960</v>
      </c>
    </row>
    <row r="147" spans="2:13" x14ac:dyDescent="0.3">
      <c r="B147" s="71"/>
      <c r="C147"/>
      <c r="K147" s="181" t="s">
        <v>324</v>
      </c>
      <c r="L147" s="91" t="s">
        <v>3563</v>
      </c>
      <c r="M147" s="92" t="s">
        <v>3960</v>
      </c>
    </row>
    <row r="148" spans="2:13" x14ac:dyDescent="0.3">
      <c r="B148" s="71"/>
      <c r="C148"/>
      <c r="K148" s="90" t="s">
        <v>1372</v>
      </c>
      <c r="L148" s="91" t="s">
        <v>3563</v>
      </c>
      <c r="M148" s="92" t="s">
        <v>3960</v>
      </c>
    </row>
    <row r="149" spans="2:13" x14ac:dyDescent="0.3">
      <c r="B149" s="71"/>
      <c r="C149"/>
      <c r="K149" s="90" t="s">
        <v>2668</v>
      </c>
      <c r="L149" s="91" t="s">
        <v>55</v>
      </c>
      <c r="M149" s="92" t="s">
        <v>3960</v>
      </c>
    </row>
    <row r="150" spans="2:13" x14ac:dyDescent="0.3">
      <c r="B150" s="71"/>
      <c r="C150"/>
      <c r="K150" s="186" t="s">
        <v>3456</v>
      </c>
      <c r="L150" s="91" t="s">
        <v>3561</v>
      </c>
      <c r="M150" s="92" t="s">
        <v>3961</v>
      </c>
    </row>
    <row r="151" spans="2:13" x14ac:dyDescent="0.3">
      <c r="B151" s="71"/>
      <c r="C151"/>
      <c r="K151" s="186" t="s">
        <v>2865</v>
      </c>
      <c r="L151" s="91" t="s">
        <v>3561</v>
      </c>
      <c r="M151" s="92" t="s">
        <v>3961</v>
      </c>
    </row>
    <row r="152" spans="2:13" x14ac:dyDescent="0.3">
      <c r="B152" s="71"/>
      <c r="C152"/>
      <c r="K152" s="186" t="s">
        <v>2877</v>
      </c>
      <c r="L152" s="91" t="s">
        <v>3561</v>
      </c>
      <c r="M152" s="92" t="s">
        <v>3565</v>
      </c>
    </row>
    <row r="153" spans="2:13" x14ac:dyDescent="0.3">
      <c r="B153" s="71"/>
      <c r="C153"/>
      <c r="K153" s="90" t="s">
        <v>404</v>
      </c>
      <c r="L153" s="91" t="s">
        <v>3577</v>
      </c>
      <c r="M153" s="92" t="s">
        <v>3587</v>
      </c>
    </row>
    <row r="154" spans="2:13" x14ac:dyDescent="0.3">
      <c r="B154" s="71"/>
      <c r="C154"/>
      <c r="K154" s="90" t="s">
        <v>1334</v>
      </c>
      <c r="L154" s="91" t="s">
        <v>56</v>
      </c>
      <c r="M154" s="92" t="s">
        <v>23</v>
      </c>
    </row>
    <row r="155" spans="2:13" x14ac:dyDescent="0.3">
      <c r="B155" s="71"/>
      <c r="C155"/>
      <c r="K155" s="186" t="s">
        <v>8</v>
      </c>
      <c r="L155" s="91" t="s">
        <v>3487</v>
      </c>
      <c r="M155" s="92" t="s">
        <v>3487</v>
      </c>
    </row>
    <row r="156" spans="2:13" x14ac:dyDescent="0.3">
      <c r="B156" s="71"/>
      <c r="C156"/>
      <c r="K156" s="181" t="s">
        <v>3273</v>
      </c>
      <c r="L156" s="91" t="s">
        <v>3563</v>
      </c>
      <c r="M156" s="92" t="s">
        <v>8</v>
      </c>
    </row>
    <row r="157" spans="2:13" x14ac:dyDescent="0.3">
      <c r="B157" s="71"/>
      <c r="C157"/>
      <c r="K157" s="90" t="s">
        <v>854</v>
      </c>
      <c r="L157" s="91" t="s">
        <v>3577</v>
      </c>
      <c r="M157" s="92" t="s">
        <v>8</v>
      </c>
    </row>
    <row r="158" spans="2:13" x14ac:dyDescent="0.3">
      <c r="B158" s="71"/>
      <c r="C158"/>
      <c r="K158" s="90" t="s">
        <v>2362</v>
      </c>
      <c r="L158" s="91" t="s">
        <v>55</v>
      </c>
      <c r="M158" s="92" t="s">
        <v>8</v>
      </c>
    </row>
    <row r="159" spans="2:13" x14ac:dyDescent="0.3">
      <c r="B159" s="71"/>
      <c r="C159"/>
      <c r="K159" s="90" t="s">
        <v>2656</v>
      </c>
      <c r="L159" s="91" t="s">
        <v>55</v>
      </c>
      <c r="M159" s="92" t="s">
        <v>8</v>
      </c>
    </row>
    <row r="160" spans="2:13" x14ac:dyDescent="0.3">
      <c r="B160" s="71"/>
      <c r="C160"/>
      <c r="K160" s="90" t="s">
        <v>515</v>
      </c>
      <c r="L160" s="91" t="s">
        <v>55</v>
      </c>
      <c r="M160" s="92" t="s">
        <v>8</v>
      </c>
    </row>
    <row r="161" spans="2:13" x14ac:dyDescent="0.3">
      <c r="B161" s="71"/>
      <c r="C161"/>
      <c r="K161" s="90" t="s">
        <v>913</v>
      </c>
      <c r="L161" s="91" t="s">
        <v>55</v>
      </c>
      <c r="M161" s="92" t="s">
        <v>8</v>
      </c>
    </row>
    <row r="162" spans="2:13" x14ac:dyDescent="0.3">
      <c r="B162" s="71"/>
      <c r="C162"/>
      <c r="K162" s="90" t="s">
        <v>2378</v>
      </c>
      <c r="L162" s="91" t="s">
        <v>3585</v>
      </c>
      <c r="M162" s="92" t="s">
        <v>8</v>
      </c>
    </row>
    <row r="163" spans="2:13" x14ac:dyDescent="0.3">
      <c r="B163" s="71"/>
      <c r="C163"/>
      <c r="K163" s="90" t="s">
        <v>2675</v>
      </c>
      <c r="L163" s="91" t="s">
        <v>3585</v>
      </c>
      <c r="M163" s="92" t="s">
        <v>8</v>
      </c>
    </row>
    <row r="164" spans="2:13" x14ac:dyDescent="0.3">
      <c r="B164" s="71"/>
      <c r="C164"/>
      <c r="K164" s="90" t="s">
        <v>534</v>
      </c>
      <c r="L164" s="91" t="s">
        <v>3585</v>
      </c>
      <c r="M164" s="92" t="s">
        <v>8</v>
      </c>
    </row>
    <row r="165" spans="2:13" x14ac:dyDescent="0.3">
      <c r="B165" s="71"/>
      <c r="C165"/>
      <c r="K165" s="90" t="s">
        <v>1235</v>
      </c>
      <c r="L165" s="91" t="s">
        <v>3585</v>
      </c>
      <c r="M165" s="92" t="s">
        <v>8</v>
      </c>
    </row>
    <row r="166" spans="2:13" x14ac:dyDescent="0.3">
      <c r="B166" s="71"/>
      <c r="C166"/>
      <c r="K166" s="90" t="s">
        <v>1427</v>
      </c>
      <c r="L166" s="91" t="s">
        <v>3585</v>
      </c>
      <c r="M166" s="92" t="s">
        <v>8</v>
      </c>
    </row>
    <row r="167" spans="2:13" x14ac:dyDescent="0.3">
      <c r="B167" s="71"/>
      <c r="C167"/>
      <c r="K167" s="90" t="s">
        <v>2442</v>
      </c>
      <c r="L167" s="91" t="s">
        <v>3561</v>
      </c>
      <c r="M167" s="92" t="s">
        <v>8</v>
      </c>
    </row>
    <row r="168" spans="2:13" x14ac:dyDescent="0.3">
      <c r="B168" s="71"/>
      <c r="C168"/>
      <c r="K168" s="90" t="s">
        <v>643</v>
      </c>
      <c r="L168" s="91" t="s">
        <v>3561</v>
      </c>
      <c r="M168" s="92" t="s">
        <v>8</v>
      </c>
    </row>
    <row r="169" spans="2:13" x14ac:dyDescent="0.3">
      <c r="B169" s="71"/>
      <c r="C169"/>
      <c r="K169" s="90" t="s">
        <v>1545</v>
      </c>
      <c r="L169" s="91" t="s">
        <v>53</v>
      </c>
      <c r="M169" s="92" t="s">
        <v>8</v>
      </c>
    </row>
    <row r="170" spans="2:13" x14ac:dyDescent="0.3">
      <c r="B170" s="71"/>
      <c r="C170"/>
      <c r="K170" s="90" t="s">
        <v>2195</v>
      </c>
      <c r="L170" s="91" t="s">
        <v>53</v>
      </c>
      <c r="M170" s="92" t="s">
        <v>8</v>
      </c>
    </row>
    <row r="171" spans="2:13" x14ac:dyDescent="0.3">
      <c r="B171" s="71"/>
      <c r="C171"/>
      <c r="K171" s="90" t="s">
        <v>2544</v>
      </c>
      <c r="L171" s="91" t="s">
        <v>53</v>
      </c>
      <c r="M171" s="92" t="s">
        <v>8</v>
      </c>
    </row>
    <row r="172" spans="2:13" x14ac:dyDescent="0.3">
      <c r="B172" s="71"/>
      <c r="C172"/>
      <c r="K172" s="90" t="s">
        <v>291</v>
      </c>
      <c r="L172" s="91" t="s">
        <v>53</v>
      </c>
      <c r="M172" s="92" t="s">
        <v>8</v>
      </c>
    </row>
    <row r="173" spans="2:13" x14ac:dyDescent="0.3">
      <c r="B173" s="71"/>
      <c r="C173"/>
      <c r="K173" s="90" t="s">
        <v>812</v>
      </c>
      <c r="L173" s="91" t="s">
        <v>53</v>
      </c>
      <c r="M173" s="92" t="s">
        <v>8</v>
      </c>
    </row>
    <row r="174" spans="2:13" x14ac:dyDescent="0.3">
      <c r="B174" s="71"/>
      <c r="C174"/>
      <c r="K174" s="90" t="s">
        <v>3588</v>
      </c>
      <c r="L174" s="91" t="s">
        <v>53</v>
      </c>
      <c r="M174" s="92" t="s">
        <v>8</v>
      </c>
    </row>
    <row r="175" spans="2:13" x14ac:dyDescent="0.3">
      <c r="B175" s="71"/>
      <c r="C175"/>
      <c r="K175" s="186" t="s">
        <v>2968</v>
      </c>
      <c r="L175" s="91" t="s">
        <v>3561</v>
      </c>
      <c r="M175" s="92" t="s">
        <v>8</v>
      </c>
    </row>
    <row r="176" spans="2:13" x14ac:dyDescent="0.3">
      <c r="B176" s="71"/>
      <c r="C176"/>
      <c r="K176" s="90" t="s">
        <v>1796</v>
      </c>
      <c r="L176" s="91" t="s">
        <v>56</v>
      </c>
      <c r="M176" s="92" t="s">
        <v>8</v>
      </c>
    </row>
    <row r="177" spans="2:13" x14ac:dyDescent="0.3">
      <c r="B177" s="71"/>
      <c r="C177"/>
      <c r="K177" s="90" t="s">
        <v>2696</v>
      </c>
      <c r="L177" s="91" t="s">
        <v>56</v>
      </c>
      <c r="M177" s="92" t="s">
        <v>8</v>
      </c>
    </row>
    <row r="178" spans="2:13" x14ac:dyDescent="0.3">
      <c r="B178" s="71"/>
      <c r="C178"/>
      <c r="K178" s="90" t="s">
        <v>748</v>
      </c>
      <c r="L178" s="91" t="s">
        <v>56</v>
      </c>
      <c r="M178" s="92" t="s">
        <v>8</v>
      </c>
    </row>
    <row r="179" spans="2:13" x14ac:dyDescent="0.3">
      <c r="B179" s="71"/>
      <c r="C179"/>
      <c r="K179" s="90" t="s">
        <v>3589</v>
      </c>
      <c r="L179" s="91" t="s">
        <v>56</v>
      </c>
      <c r="M179" s="92" t="s">
        <v>8</v>
      </c>
    </row>
    <row r="180" spans="2:13" x14ac:dyDescent="0.3">
      <c r="B180" s="71"/>
      <c r="C180"/>
      <c r="K180" s="90" t="s">
        <v>1328</v>
      </c>
      <c r="L180" s="91" t="s">
        <v>56</v>
      </c>
      <c r="M180" s="92" t="s">
        <v>8</v>
      </c>
    </row>
    <row r="181" spans="2:13" x14ac:dyDescent="0.3">
      <c r="B181" s="71"/>
      <c r="C181"/>
      <c r="K181" s="90" t="s">
        <v>1508</v>
      </c>
      <c r="L181" s="91" t="s">
        <v>56</v>
      </c>
      <c r="M181" s="92" t="s">
        <v>8</v>
      </c>
    </row>
    <row r="182" spans="2:13" x14ac:dyDescent="0.3">
      <c r="B182" s="71"/>
      <c r="C182"/>
      <c r="K182" s="186" t="s">
        <v>3262</v>
      </c>
      <c r="L182" s="91" t="s">
        <v>3563</v>
      </c>
      <c r="M182" s="92" t="s">
        <v>8</v>
      </c>
    </row>
    <row r="183" spans="2:13" x14ac:dyDescent="0.3">
      <c r="B183" s="71"/>
      <c r="C183"/>
      <c r="K183" s="90" t="s">
        <v>2235</v>
      </c>
      <c r="L183" s="91" t="s">
        <v>3563</v>
      </c>
      <c r="M183" s="92" t="s">
        <v>8</v>
      </c>
    </row>
    <row r="184" spans="2:13" x14ac:dyDescent="0.3">
      <c r="B184" s="71"/>
      <c r="C184"/>
      <c r="K184" s="90" t="s">
        <v>830</v>
      </c>
      <c r="L184" s="91" t="s">
        <v>3563</v>
      </c>
      <c r="M184" s="92" t="s">
        <v>8</v>
      </c>
    </row>
    <row r="185" spans="2:13" x14ac:dyDescent="0.3">
      <c r="B185" s="71"/>
      <c r="C185"/>
      <c r="K185" s="90" t="s">
        <v>1152</v>
      </c>
      <c r="L185" s="91" t="s">
        <v>3563</v>
      </c>
      <c r="M185" s="92" t="s">
        <v>8</v>
      </c>
    </row>
    <row r="186" spans="2:13" x14ac:dyDescent="0.3">
      <c r="B186" s="71"/>
      <c r="C186"/>
      <c r="K186" s="90" t="s">
        <v>2438</v>
      </c>
      <c r="L186" s="91" t="s">
        <v>52</v>
      </c>
      <c r="M186" s="92" t="s">
        <v>8</v>
      </c>
    </row>
    <row r="187" spans="2:13" x14ac:dyDescent="0.3">
      <c r="B187" s="71"/>
      <c r="C187"/>
      <c r="K187" s="90" t="s">
        <v>2726</v>
      </c>
      <c r="L187" s="91" t="s">
        <v>52</v>
      </c>
      <c r="M187" s="92" t="s">
        <v>8</v>
      </c>
    </row>
    <row r="188" spans="2:13" x14ac:dyDescent="0.3">
      <c r="B188" s="71"/>
      <c r="C188"/>
      <c r="K188" s="90" t="s">
        <v>988</v>
      </c>
      <c r="L188" s="91" t="s">
        <v>52</v>
      </c>
      <c r="M188" s="92" t="s">
        <v>8</v>
      </c>
    </row>
    <row r="189" spans="2:13" x14ac:dyDescent="0.3">
      <c r="B189" s="71"/>
      <c r="C189"/>
      <c r="K189" s="186" t="s">
        <v>3927</v>
      </c>
      <c r="L189" s="91" t="s">
        <v>52</v>
      </c>
      <c r="M189" s="92" t="s">
        <v>8</v>
      </c>
    </row>
    <row r="190" spans="2:13" x14ac:dyDescent="0.3">
      <c r="B190" s="71"/>
      <c r="C190"/>
      <c r="K190" s="90" t="s">
        <v>1763</v>
      </c>
      <c r="L190" s="91" t="s">
        <v>3561</v>
      </c>
      <c r="M190" s="92" t="s">
        <v>8</v>
      </c>
    </row>
    <row r="191" spans="2:13" x14ac:dyDescent="0.3">
      <c r="B191" s="71"/>
      <c r="C191"/>
      <c r="K191" s="90" t="s">
        <v>2771</v>
      </c>
      <c r="L191" s="91" t="s">
        <v>3561</v>
      </c>
      <c r="M191" s="92" t="s">
        <v>8</v>
      </c>
    </row>
    <row r="192" spans="2:13" x14ac:dyDescent="0.3">
      <c r="C192"/>
      <c r="K192" s="90" t="s">
        <v>692</v>
      </c>
      <c r="L192" s="91" t="s">
        <v>3561</v>
      </c>
      <c r="M192" s="92" t="s">
        <v>8</v>
      </c>
    </row>
    <row r="193" spans="3:13" x14ac:dyDescent="0.3">
      <c r="C193"/>
      <c r="K193" s="182" t="s">
        <v>1484</v>
      </c>
      <c r="L193" s="158" t="s">
        <v>3561</v>
      </c>
      <c r="M193" s="158" t="s">
        <v>8</v>
      </c>
    </row>
    <row r="194" spans="3:13" x14ac:dyDescent="0.3">
      <c r="C194"/>
      <c r="K194" s="182" t="s">
        <v>1310</v>
      </c>
      <c r="L194" t="s">
        <v>3561</v>
      </c>
      <c r="M194" t="s">
        <v>8</v>
      </c>
    </row>
    <row r="195" spans="3:13" x14ac:dyDescent="0.3">
      <c r="C195"/>
      <c r="K195" s="182" t="s">
        <v>3590</v>
      </c>
      <c r="L195" t="s">
        <v>3561</v>
      </c>
      <c r="M195" t="s">
        <v>8</v>
      </c>
    </row>
    <row r="196" spans="3:13" x14ac:dyDescent="0.3">
      <c r="C196"/>
      <c r="K196" s="182" t="s">
        <v>297</v>
      </c>
      <c r="L196" t="s">
        <v>3561</v>
      </c>
      <c r="M196" t="s">
        <v>3630</v>
      </c>
    </row>
    <row r="197" spans="3:13" x14ac:dyDescent="0.3">
      <c r="C197"/>
      <c r="K197" s="182" t="s">
        <v>1059</v>
      </c>
      <c r="L197" t="s">
        <v>56</v>
      </c>
      <c r="M197" t="s">
        <v>117</v>
      </c>
    </row>
    <row r="198" spans="3:13" x14ac:dyDescent="0.3">
      <c r="C198"/>
      <c r="K198" s="71" t="s">
        <v>3290</v>
      </c>
      <c r="L198" t="s">
        <v>3591</v>
      </c>
      <c r="M198" t="s">
        <v>3962</v>
      </c>
    </row>
    <row r="199" spans="3:13" x14ac:dyDescent="0.3">
      <c r="C199"/>
      <c r="K199" s="182" t="s">
        <v>361</v>
      </c>
      <c r="L199" t="s">
        <v>3591</v>
      </c>
      <c r="M199" t="s">
        <v>3962</v>
      </c>
    </row>
    <row r="200" spans="3:13" x14ac:dyDescent="0.3">
      <c r="C200"/>
      <c r="K200" s="182" t="s">
        <v>836</v>
      </c>
      <c r="L200" t="s">
        <v>3591</v>
      </c>
      <c r="M200" t="s">
        <v>3962</v>
      </c>
    </row>
    <row r="201" spans="3:13" x14ac:dyDescent="0.3">
      <c r="C201"/>
      <c r="K201" s="71" t="s">
        <v>3161</v>
      </c>
      <c r="L201" t="s">
        <v>3563</v>
      </c>
      <c r="M201" t="s">
        <v>196</v>
      </c>
    </row>
    <row r="202" spans="3:13" x14ac:dyDescent="0.3">
      <c r="C202"/>
      <c r="K202" s="71" t="s">
        <v>1662</v>
      </c>
      <c r="L202" t="s">
        <v>55</v>
      </c>
      <c r="M202" t="s">
        <v>3586</v>
      </c>
    </row>
    <row r="203" spans="3:13" x14ac:dyDescent="0.3">
      <c r="C203"/>
      <c r="K203" s="182" t="s">
        <v>428</v>
      </c>
      <c r="L203" t="s">
        <v>3577</v>
      </c>
      <c r="M203" t="s">
        <v>3592</v>
      </c>
    </row>
    <row r="204" spans="3:13" x14ac:dyDescent="0.3">
      <c r="C204"/>
      <c r="K204" s="182" t="s">
        <v>3593</v>
      </c>
      <c r="L204" t="s">
        <v>55</v>
      </c>
      <c r="M204" t="s">
        <v>3586</v>
      </c>
    </row>
    <row r="205" spans="3:13" x14ac:dyDescent="0.3">
      <c r="C205"/>
      <c r="K205" t="s">
        <v>3226</v>
      </c>
      <c r="L205" t="s">
        <v>3563</v>
      </c>
      <c r="M205" t="s">
        <v>138</v>
      </c>
    </row>
    <row r="206" spans="3:13" x14ac:dyDescent="0.3">
      <c r="C206"/>
      <c r="K206" s="71" t="s">
        <v>3231</v>
      </c>
      <c r="L206" t="s">
        <v>3563</v>
      </c>
      <c r="M206" t="s">
        <v>138</v>
      </c>
    </row>
    <row r="207" spans="3:13" x14ac:dyDescent="0.3">
      <c r="C207"/>
      <c r="K207" s="182" t="s">
        <v>413</v>
      </c>
      <c r="L207" t="s">
        <v>3577</v>
      </c>
      <c r="M207" t="s">
        <v>3592</v>
      </c>
    </row>
    <row r="208" spans="3:13" x14ac:dyDescent="0.3">
      <c r="C208"/>
      <c r="K208" s="182" t="s">
        <v>2037</v>
      </c>
      <c r="L208" t="s">
        <v>3487</v>
      </c>
      <c r="M208" t="s">
        <v>17</v>
      </c>
    </row>
    <row r="209" spans="3:13" x14ac:dyDescent="0.3">
      <c r="C209"/>
      <c r="K209" s="182" t="s">
        <v>1280</v>
      </c>
      <c r="L209" t="s">
        <v>3487</v>
      </c>
      <c r="M209" t="s">
        <v>17</v>
      </c>
    </row>
    <row r="210" spans="3:13" x14ac:dyDescent="0.3">
      <c r="C210"/>
      <c r="K210" s="182" t="s">
        <v>982</v>
      </c>
      <c r="L210" t="s">
        <v>3487</v>
      </c>
      <c r="M210" t="s">
        <v>17</v>
      </c>
    </row>
    <row r="211" spans="3:13" x14ac:dyDescent="0.3">
      <c r="C211"/>
      <c r="K211" s="182" t="s">
        <v>760</v>
      </c>
      <c r="L211" t="s">
        <v>56</v>
      </c>
      <c r="M211" t="s">
        <v>3963</v>
      </c>
    </row>
    <row r="212" spans="3:13" x14ac:dyDescent="0.3">
      <c r="K212" s="182" t="s">
        <v>1075</v>
      </c>
      <c r="L212" t="s">
        <v>56</v>
      </c>
      <c r="M212" t="s">
        <v>3963</v>
      </c>
    </row>
    <row r="213" spans="3:13" x14ac:dyDescent="0.3">
      <c r="K213" s="182" t="s">
        <v>2807</v>
      </c>
      <c r="L213" t="s">
        <v>56</v>
      </c>
      <c r="M213" t="s">
        <v>3963</v>
      </c>
    </row>
    <row r="214" spans="3:13" x14ac:dyDescent="0.3">
      <c r="K214" s="182" t="s">
        <v>752</v>
      </c>
      <c r="L214" t="s">
        <v>56</v>
      </c>
      <c r="M214" t="s">
        <v>3963</v>
      </c>
    </row>
    <row r="215" spans="3:13" x14ac:dyDescent="0.3">
      <c r="K215" s="182" t="s">
        <v>2508</v>
      </c>
      <c r="L215" t="s">
        <v>56</v>
      </c>
      <c r="M215" t="s">
        <v>3963</v>
      </c>
    </row>
    <row r="216" spans="3:13" x14ac:dyDescent="0.3">
      <c r="K216" t="s">
        <v>3373</v>
      </c>
      <c r="L216" t="s">
        <v>3559</v>
      </c>
      <c r="M216" t="s">
        <v>3373</v>
      </c>
    </row>
    <row r="217" spans="3:13" x14ac:dyDescent="0.3">
      <c r="K217" t="s">
        <v>3381</v>
      </c>
      <c r="L217" t="s">
        <v>3559</v>
      </c>
      <c r="M217" t="s">
        <v>3381</v>
      </c>
    </row>
    <row r="218" spans="3:13" x14ac:dyDescent="0.3">
      <c r="K218" s="182" t="s">
        <v>765</v>
      </c>
      <c r="L218" t="s">
        <v>3594</v>
      </c>
      <c r="M218" t="s">
        <v>3595</v>
      </c>
    </row>
    <row r="219" spans="3:13" x14ac:dyDescent="0.3">
      <c r="K219" s="182" t="s">
        <v>1816</v>
      </c>
      <c r="L219" t="s">
        <v>3594</v>
      </c>
      <c r="M219" t="s">
        <v>3595</v>
      </c>
    </row>
    <row r="220" spans="3:13" x14ac:dyDescent="0.3">
      <c r="K220" s="182" t="s">
        <v>1081</v>
      </c>
      <c r="L220" t="s">
        <v>3594</v>
      </c>
      <c r="M220" t="s">
        <v>3595</v>
      </c>
    </row>
    <row r="221" spans="3:13" x14ac:dyDescent="0.3">
      <c r="K221" t="s">
        <v>2149</v>
      </c>
      <c r="L221" t="s">
        <v>3594</v>
      </c>
      <c r="M221" t="s">
        <v>3595</v>
      </c>
    </row>
    <row r="222" spans="3:13" x14ac:dyDescent="0.3">
      <c r="K222" s="182" t="s">
        <v>1140</v>
      </c>
      <c r="L222" t="s">
        <v>3563</v>
      </c>
      <c r="M222" t="s">
        <v>3964</v>
      </c>
    </row>
    <row r="223" spans="3:13" x14ac:dyDescent="0.3">
      <c r="K223" s="182" t="s">
        <v>2453</v>
      </c>
      <c r="L223" t="s">
        <v>52</v>
      </c>
      <c r="M223" t="s">
        <v>3964</v>
      </c>
    </row>
    <row r="224" spans="3:13" x14ac:dyDescent="0.3">
      <c r="K224" t="s">
        <v>2749</v>
      </c>
      <c r="L224" t="s">
        <v>55</v>
      </c>
      <c r="M224" t="s">
        <v>3586</v>
      </c>
    </row>
    <row r="225" spans="11:13" x14ac:dyDescent="0.3">
      <c r="K225" s="182" t="s">
        <v>554</v>
      </c>
      <c r="L225" t="s">
        <v>3585</v>
      </c>
      <c r="M225" t="s">
        <v>3586</v>
      </c>
    </row>
    <row r="226" spans="11:13" x14ac:dyDescent="0.3">
      <c r="K226" s="182" t="s">
        <v>2382</v>
      </c>
      <c r="L226" t="s">
        <v>3585</v>
      </c>
      <c r="M226" t="s">
        <v>3586</v>
      </c>
    </row>
    <row r="227" spans="11:13" x14ac:dyDescent="0.3">
      <c r="K227" s="182" t="s">
        <v>2679</v>
      </c>
      <c r="L227" t="s">
        <v>3585</v>
      </c>
      <c r="M227" t="s">
        <v>3586</v>
      </c>
    </row>
    <row r="228" spans="11:13" x14ac:dyDescent="0.3">
      <c r="K228" s="182" t="s">
        <v>540</v>
      </c>
      <c r="L228" t="s">
        <v>3585</v>
      </c>
      <c r="M228" t="s">
        <v>3586</v>
      </c>
    </row>
    <row r="229" spans="11:13" x14ac:dyDescent="0.3">
      <c r="K229" s="182" t="s">
        <v>928</v>
      </c>
      <c r="L229" t="s">
        <v>3585</v>
      </c>
      <c r="M229" t="s">
        <v>3586</v>
      </c>
    </row>
    <row r="230" spans="11:13" x14ac:dyDescent="0.3">
      <c r="K230" s="182" t="s">
        <v>1241</v>
      </c>
      <c r="L230" t="s">
        <v>3585</v>
      </c>
      <c r="M230" t="s">
        <v>3586</v>
      </c>
    </row>
    <row r="231" spans="11:13" x14ac:dyDescent="0.3">
      <c r="K231" s="182" t="s">
        <v>1430</v>
      </c>
      <c r="L231" t="s">
        <v>3585</v>
      </c>
      <c r="M231" t="s">
        <v>3586</v>
      </c>
    </row>
    <row r="232" spans="11:13" x14ac:dyDescent="0.3">
      <c r="K232" s="182" t="s">
        <v>1987</v>
      </c>
      <c r="L232" t="s">
        <v>3585</v>
      </c>
      <c r="M232" t="s">
        <v>3586</v>
      </c>
    </row>
    <row r="233" spans="11:13" x14ac:dyDescent="0.3">
      <c r="K233" s="182" t="s">
        <v>661</v>
      </c>
      <c r="L233" t="s">
        <v>52</v>
      </c>
      <c r="M233" t="s">
        <v>3586</v>
      </c>
    </row>
    <row r="234" spans="11:13" x14ac:dyDescent="0.3">
      <c r="K234" s="182" t="s">
        <v>2445</v>
      </c>
      <c r="L234" t="s">
        <v>52</v>
      </c>
      <c r="M234" t="s">
        <v>3586</v>
      </c>
    </row>
    <row r="235" spans="11:13" x14ac:dyDescent="0.3">
      <c r="K235" s="182" t="s">
        <v>918</v>
      </c>
      <c r="L235" t="s">
        <v>55</v>
      </c>
      <c r="M235" t="s">
        <v>3586</v>
      </c>
    </row>
    <row r="236" spans="11:13" x14ac:dyDescent="0.3">
      <c r="K236" s="182" t="s">
        <v>1229</v>
      </c>
      <c r="L236" t="s">
        <v>55</v>
      </c>
      <c r="M236" t="s">
        <v>3586</v>
      </c>
    </row>
    <row r="237" spans="11:13" x14ac:dyDescent="0.3">
      <c r="K237" s="182" t="s">
        <v>2370</v>
      </c>
      <c r="L237" t="s">
        <v>55</v>
      </c>
      <c r="M237" t="s">
        <v>3586</v>
      </c>
    </row>
    <row r="238" spans="11:13" x14ac:dyDescent="0.3">
      <c r="K238" s="182" t="s">
        <v>2662</v>
      </c>
      <c r="L238" t="s">
        <v>55</v>
      </c>
      <c r="M238" t="s">
        <v>3586</v>
      </c>
    </row>
    <row r="239" spans="11:13" x14ac:dyDescent="0.3">
      <c r="K239" s="182" t="s">
        <v>519</v>
      </c>
      <c r="L239" t="s">
        <v>55</v>
      </c>
      <c r="M239" t="s">
        <v>3586</v>
      </c>
    </row>
    <row r="240" spans="11:13" x14ac:dyDescent="0.3">
      <c r="K240" t="s">
        <v>3937</v>
      </c>
      <c r="L240" t="s">
        <v>55</v>
      </c>
      <c r="M240" t="s">
        <v>3586</v>
      </c>
    </row>
    <row r="241" spans="11:13" x14ac:dyDescent="0.3">
      <c r="K241" s="182" t="s">
        <v>3596</v>
      </c>
      <c r="L241" t="s">
        <v>55</v>
      </c>
      <c r="M241" t="s">
        <v>3586</v>
      </c>
    </row>
    <row r="242" spans="11:13" x14ac:dyDescent="0.3">
      <c r="K242" t="s">
        <v>1962</v>
      </c>
      <c r="L242" t="s">
        <v>55</v>
      </c>
      <c r="M242" t="s">
        <v>3586</v>
      </c>
    </row>
    <row r="243" spans="11:13" x14ac:dyDescent="0.3">
      <c r="K243" s="182" t="s">
        <v>1301</v>
      </c>
      <c r="L243" t="s">
        <v>52</v>
      </c>
      <c r="M243" t="s">
        <v>3586</v>
      </c>
    </row>
    <row r="244" spans="11:13" x14ac:dyDescent="0.3">
      <c r="K244" s="182" t="s">
        <v>2737</v>
      </c>
      <c r="L244" t="s">
        <v>52</v>
      </c>
      <c r="M244" t="s">
        <v>3586</v>
      </c>
    </row>
    <row r="245" spans="11:13" x14ac:dyDescent="0.3">
      <c r="K245" s="182" t="s">
        <v>649</v>
      </c>
      <c r="L245" t="s">
        <v>52</v>
      </c>
      <c r="M245" t="s">
        <v>3586</v>
      </c>
    </row>
    <row r="246" spans="11:13" x14ac:dyDescent="0.3">
      <c r="K246" s="182" t="s">
        <v>997</v>
      </c>
      <c r="L246" t="s">
        <v>52</v>
      </c>
      <c r="M246" t="s">
        <v>3586</v>
      </c>
    </row>
    <row r="247" spans="11:13" x14ac:dyDescent="0.3">
      <c r="K247" s="182" t="s">
        <v>1291</v>
      </c>
      <c r="L247" t="s">
        <v>52</v>
      </c>
      <c r="M247" t="s">
        <v>3586</v>
      </c>
    </row>
    <row r="248" spans="11:13" x14ac:dyDescent="0.3">
      <c r="K248" s="182" t="s">
        <v>1473</v>
      </c>
      <c r="L248" t="s">
        <v>52</v>
      </c>
      <c r="M248" t="s">
        <v>3586</v>
      </c>
    </row>
    <row r="249" spans="11:13" x14ac:dyDescent="0.3">
      <c r="K249" s="182" t="s">
        <v>2053</v>
      </c>
      <c r="L249" t="s">
        <v>52</v>
      </c>
      <c r="M249" t="s">
        <v>3586</v>
      </c>
    </row>
    <row r="250" spans="11:13" x14ac:dyDescent="0.3">
      <c r="K250" s="182" t="s">
        <v>2469</v>
      </c>
      <c r="L250" t="s">
        <v>52</v>
      </c>
      <c r="M250" t="s">
        <v>3586</v>
      </c>
    </row>
    <row r="251" spans="11:13" x14ac:dyDescent="0.3">
      <c r="K251" s="182" t="s">
        <v>2741</v>
      </c>
      <c r="L251" t="s">
        <v>52</v>
      </c>
      <c r="M251" t="s">
        <v>3586</v>
      </c>
    </row>
    <row r="252" spans="11:13" x14ac:dyDescent="0.3">
      <c r="K252" s="182" t="s">
        <v>1477</v>
      </c>
      <c r="L252" t="s">
        <v>52</v>
      </c>
      <c r="M252" t="s">
        <v>3586</v>
      </c>
    </row>
    <row r="253" spans="11:13" x14ac:dyDescent="0.3">
      <c r="K253" s="182" t="s">
        <v>674</v>
      </c>
      <c r="L253" t="s">
        <v>52</v>
      </c>
      <c r="M253" t="s">
        <v>3586</v>
      </c>
    </row>
    <row r="254" spans="11:13" x14ac:dyDescent="0.3">
      <c r="K254" s="182" t="s">
        <v>1297</v>
      </c>
      <c r="L254" t="s">
        <v>52</v>
      </c>
      <c r="M254" t="s">
        <v>3586</v>
      </c>
    </row>
    <row r="255" spans="11:13" x14ac:dyDescent="0.3">
      <c r="K255" s="71" t="s">
        <v>1480</v>
      </c>
      <c r="L255" t="s">
        <v>52</v>
      </c>
      <c r="M255" t="s">
        <v>3586</v>
      </c>
    </row>
    <row r="256" spans="11:13" x14ac:dyDescent="0.3">
      <c r="K256" s="182" t="s">
        <v>2047</v>
      </c>
      <c r="L256" t="s">
        <v>52</v>
      </c>
      <c r="M256" t="s">
        <v>3586</v>
      </c>
    </row>
    <row r="257" spans="11:13" x14ac:dyDescent="0.3">
      <c r="K257" s="182" t="s">
        <v>2812</v>
      </c>
      <c r="L257" t="s">
        <v>56</v>
      </c>
      <c r="M257" t="s">
        <v>3965</v>
      </c>
    </row>
    <row r="258" spans="11:13" x14ac:dyDescent="0.3">
      <c r="K258" s="182" t="s">
        <v>1071</v>
      </c>
      <c r="L258" t="s">
        <v>56</v>
      </c>
      <c r="M258" t="s">
        <v>3965</v>
      </c>
    </row>
    <row r="259" spans="11:13" x14ac:dyDescent="0.3">
      <c r="K259" s="71" t="s">
        <v>3399</v>
      </c>
      <c r="L259" t="s">
        <v>3597</v>
      </c>
      <c r="M259" t="s">
        <v>8</v>
      </c>
    </row>
    <row r="260" spans="11:13" x14ac:dyDescent="0.3">
      <c r="K260" t="s">
        <v>3411</v>
      </c>
      <c r="L260" t="s">
        <v>3597</v>
      </c>
      <c r="M260" t="s">
        <v>8</v>
      </c>
    </row>
    <row r="261" spans="11:13" x14ac:dyDescent="0.3">
      <c r="K261" t="s">
        <v>3523</v>
      </c>
      <c r="L261" t="s">
        <v>3564</v>
      </c>
      <c r="M261" t="s">
        <v>3564</v>
      </c>
    </row>
    <row r="262" spans="11:13" x14ac:dyDescent="0.3">
      <c r="K262" t="s">
        <v>2852</v>
      </c>
      <c r="L262" t="s">
        <v>3561</v>
      </c>
      <c r="M262" t="s">
        <v>3564</v>
      </c>
    </row>
    <row r="263" spans="11:13" x14ac:dyDescent="0.3">
      <c r="K263" t="s">
        <v>2990</v>
      </c>
      <c r="L263" t="s">
        <v>3561</v>
      </c>
      <c r="M263" t="s">
        <v>3564</v>
      </c>
    </row>
    <row r="264" spans="11:13" x14ac:dyDescent="0.3">
      <c r="K264" t="s">
        <v>3393</v>
      </c>
      <c r="L264" t="s">
        <v>3561</v>
      </c>
      <c r="M264" t="s">
        <v>3564</v>
      </c>
    </row>
    <row r="265" spans="11:13" x14ac:dyDescent="0.3">
      <c r="K265" t="s">
        <v>2920</v>
      </c>
      <c r="L265" t="s">
        <v>3561</v>
      </c>
      <c r="M265" t="s">
        <v>3565</v>
      </c>
    </row>
    <row r="266" spans="11:13" x14ac:dyDescent="0.3">
      <c r="K266" s="71" t="s">
        <v>3428</v>
      </c>
      <c r="L266" t="s">
        <v>3569</v>
      </c>
      <c r="M266" t="s">
        <v>3598</v>
      </c>
    </row>
    <row r="267" spans="11:13" x14ac:dyDescent="0.3">
      <c r="K267" t="s">
        <v>3487</v>
      </c>
      <c r="L267" t="s">
        <v>3487</v>
      </c>
      <c r="M267" t="s">
        <v>3599</v>
      </c>
    </row>
    <row r="268" spans="11:13" x14ac:dyDescent="0.3">
      <c r="K268" t="s">
        <v>3493</v>
      </c>
      <c r="L268" t="s">
        <v>3487</v>
      </c>
      <c r="M268" t="s">
        <v>3599</v>
      </c>
    </row>
    <row r="269" spans="11:13" x14ac:dyDescent="0.3">
      <c r="K269" t="s">
        <v>3444</v>
      </c>
      <c r="L269" t="s">
        <v>3487</v>
      </c>
      <c r="M269" t="s">
        <v>3599</v>
      </c>
    </row>
    <row r="270" spans="11:13" x14ac:dyDescent="0.3">
      <c r="K270" s="71" t="s">
        <v>3439</v>
      </c>
      <c r="L270" t="s">
        <v>3487</v>
      </c>
      <c r="M270" t="s">
        <v>3599</v>
      </c>
    </row>
    <row r="271" spans="11:13" x14ac:dyDescent="0.3">
      <c r="K271" t="s">
        <v>3326</v>
      </c>
      <c r="L271" t="s">
        <v>16</v>
      </c>
      <c r="M271" t="s">
        <v>3966</v>
      </c>
    </row>
    <row r="272" spans="11:13" x14ac:dyDescent="0.3">
      <c r="K272" s="182" t="s">
        <v>588</v>
      </c>
      <c r="L272" t="s">
        <v>16</v>
      </c>
      <c r="M272" t="s">
        <v>3966</v>
      </c>
    </row>
    <row r="273" spans="11:13" x14ac:dyDescent="0.3">
      <c r="K273" s="182" t="s">
        <v>2701</v>
      </c>
      <c r="L273" t="s">
        <v>16</v>
      </c>
      <c r="M273" t="s">
        <v>3966</v>
      </c>
    </row>
    <row r="274" spans="11:13" x14ac:dyDescent="0.3">
      <c r="K274" t="s">
        <v>3333</v>
      </c>
      <c r="L274" t="s">
        <v>16</v>
      </c>
      <c r="M274" t="s">
        <v>3966</v>
      </c>
    </row>
    <row r="275" spans="11:13" x14ac:dyDescent="0.3">
      <c r="K275" s="182" t="s">
        <v>2415</v>
      </c>
      <c r="L275" t="s">
        <v>16</v>
      </c>
      <c r="M275" t="s">
        <v>3966</v>
      </c>
    </row>
    <row r="276" spans="11:13" x14ac:dyDescent="0.3">
      <c r="K276" s="71" t="s">
        <v>3600</v>
      </c>
      <c r="L276" t="s">
        <v>16</v>
      </c>
      <c r="M276" t="s">
        <v>3966</v>
      </c>
    </row>
    <row r="277" spans="11:13" x14ac:dyDescent="0.3">
      <c r="K277" t="s">
        <v>3931</v>
      </c>
      <c r="L277" t="s">
        <v>16</v>
      </c>
      <c r="M277" t="s">
        <v>3966</v>
      </c>
    </row>
    <row r="278" spans="11:13" x14ac:dyDescent="0.3">
      <c r="K278" s="182" t="s">
        <v>594</v>
      </c>
      <c r="L278" t="s">
        <v>16</v>
      </c>
      <c r="M278" t="s">
        <v>3966</v>
      </c>
    </row>
    <row r="279" spans="11:13" x14ac:dyDescent="0.3">
      <c r="K279" s="182" t="s">
        <v>1259</v>
      </c>
      <c r="L279" t="s">
        <v>16</v>
      </c>
      <c r="M279" t="s">
        <v>3966</v>
      </c>
    </row>
    <row r="280" spans="11:13" x14ac:dyDescent="0.3">
      <c r="K280" s="182" t="s">
        <v>1444</v>
      </c>
      <c r="L280" t="s">
        <v>16</v>
      </c>
      <c r="M280" t="s">
        <v>3966</v>
      </c>
    </row>
  </sheetData>
  <sortState xmlns:xlrd2="http://schemas.microsoft.com/office/spreadsheetml/2017/richdata2" ref="K3:M283">
    <sortCondition ref="K3:K283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3601</v>
      </c>
      <c r="B1" s="47" t="s">
        <v>3602</v>
      </c>
      <c r="C1" s="47" t="s">
        <v>3603</v>
      </c>
      <c r="D1" s="47" t="s">
        <v>3604</v>
      </c>
      <c r="E1" s="47" t="s">
        <v>3605</v>
      </c>
      <c r="F1" s="47" t="s">
        <v>3606</v>
      </c>
      <c r="G1" s="47" t="s">
        <v>3607</v>
      </c>
      <c r="H1" s="47" t="s">
        <v>3608</v>
      </c>
      <c r="I1" s="47" t="s">
        <v>3609</v>
      </c>
      <c r="J1" s="47" t="s">
        <v>3610</v>
      </c>
      <c r="K1" s="47" t="s">
        <v>3611</v>
      </c>
      <c r="L1" s="47" t="s">
        <v>3612</v>
      </c>
      <c r="M1" s="47" t="s">
        <v>3613</v>
      </c>
      <c r="N1" s="47" t="s">
        <v>3614</v>
      </c>
      <c r="P1" s="150" t="s">
        <v>3615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3616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3617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3618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3619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3620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3621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3622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3623</v>
      </c>
    </row>
    <row r="11" spans="1:16" x14ac:dyDescent="0.3">
      <c r="A11" s="54" t="s">
        <v>3624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3625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3625</v>
      </c>
    </row>
    <row r="13" spans="1:16" x14ac:dyDescent="0.3">
      <c r="A13" s="60" t="s">
        <v>3626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3623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3627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3628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3629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3623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3601</v>
      </c>
      <c r="B1" s="47" t="s">
        <v>3602</v>
      </c>
      <c r="C1" s="47" t="s">
        <v>3603</v>
      </c>
      <c r="D1" s="47" t="s">
        <v>3604</v>
      </c>
      <c r="E1" s="47" t="s">
        <v>3605</v>
      </c>
      <c r="F1" s="47" t="s">
        <v>3606</v>
      </c>
      <c r="G1" s="47" t="s">
        <v>3607</v>
      </c>
      <c r="H1" s="47" t="s">
        <v>3608</v>
      </c>
      <c r="I1" s="47" t="s">
        <v>3609</v>
      </c>
      <c r="J1" s="47" t="s">
        <v>3610</v>
      </c>
      <c r="K1" s="47" t="s">
        <v>3611</v>
      </c>
      <c r="L1" s="47" t="s">
        <v>3612</v>
      </c>
      <c r="M1" s="47" t="s">
        <v>3613</v>
      </c>
      <c r="N1" s="47" t="s">
        <v>3614</v>
      </c>
      <c r="P1" s="150" t="s">
        <v>3615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3616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3617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3618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3619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3620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3621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3622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3623</v>
      </c>
    </row>
    <row r="11" spans="1:16" x14ac:dyDescent="0.3">
      <c r="A11" s="54" t="s">
        <v>3624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3625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3625</v>
      </c>
    </row>
    <row r="13" spans="1:16" x14ac:dyDescent="0.3">
      <c r="A13" s="60" t="s">
        <v>3626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3623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3627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3628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3629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3623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3601</v>
      </c>
      <c r="B1" s="47" t="s">
        <v>3602</v>
      </c>
      <c r="C1" s="47" t="s">
        <v>3603</v>
      </c>
      <c r="D1" s="47" t="s">
        <v>3604</v>
      </c>
      <c r="E1" s="47" t="s">
        <v>3605</v>
      </c>
      <c r="F1" s="47" t="s">
        <v>3606</v>
      </c>
      <c r="G1" s="47" t="s">
        <v>3607</v>
      </c>
      <c r="H1" s="47" t="s">
        <v>3608</v>
      </c>
      <c r="I1" s="47" t="s">
        <v>3609</v>
      </c>
      <c r="J1" s="47" t="s">
        <v>3610</v>
      </c>
      <c r="K1" s="47" t="s">
        <v>3611</v>
      </c>
      <c r="L1" s="47" t="s">
        <v>3612</v>
      </c>
      <c r="M1" s="47" t="s">
        <v>3613</v>
      </c>
      <c r="N1" s="47" t="s">
        <v>3614</v>
      </c>
      <c r="P1" s="150" t="s">
        <v>3615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3616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3617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3618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3619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3620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3621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3622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3623</v>
      </c>
    </row>
    <row r="11" spans="1:16" x14ac:dyDescent="0.3">
      <c r="A11" s="54" t="s">
        <v>3624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3625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3625</v>
      </c>
    </row>
    <row r="13" spans="1:16" x14ac:dyDescent="0.3">
      <c r="A13" s="60" t="s">
        <v>3626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3623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3627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3628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3629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3623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3601</v>
      </c>
      <c r="B1" s="47" t="s">
        <v>3602</v>
      </c>
      <c r="C1" s="47" t="s">
        <v>3603</v>
      </c>
      <c r="D1" s="47" t="s">
        <v>3604</v>
      </c>
      <c r="E1" s="47" t="s">
        <v>3605</v>
      </c>
      <c r="F1" s="47" t="s">
        <v>3606</v>
      </c>
      <c r="G1" s="47" t="s">
        <v>3607</v>
      </c>
      <c r="H1" s="47" t="s">
        <v>3608</v>
      </c>
      <c r="I1" s="47" t="s">
        <v>3609</v>
      </c>
      <c r="J1" s="47" t="s">
        <v>3610</v>
      </c>
      <c r="K1" s="47" t="s">
        <v>3611</v>
      </c>
      <c r="L1" s="47" t="s">
        <v>3612</v>
      </c>
      <c r="M1" s="47" t="s">
        <v>3613</v>
      </c>
      <c r="N1" s="47" t="s">
        <v>3614</v>
      </c>
      <c r="P1" s="150" t="s">
        <v>3615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3616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3617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3618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3619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3620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3621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3622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3623</v>
      </c>
    </row>
    <row r="11" spans="1:16" x14ac:dyDescent="0.3">
      <c r="A11" s="54" t="s">
        <v>3624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3625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3625</v>
      </c>
    </row>
    <row r="13" spans="1:16" x14ac:dyDescent="0.3">
      <c r="A13" s="60" t="s">
        <v>3626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3623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3627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3628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3629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3623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3601</v>
      </c>
      <c r="B1" s="47" t="s">
        <v>3602</v>
      </c>
      <c r="C1" s="47" t="s">
        <v>3603</v>
      </c>
      <c r="D1" s="47" t="s">
        <v>3604</v>
      </c>
      <c r="E1" s="47" t="s">
        <v>3605</v>
      </c>
      <c r="F1" s="47" t="s">
        <v>3606</v>
      </c>
      <c r="G1" s="47" t="s">
        <v>3607</v>
      </c>
      <c r="H1" s="47" t="s">
        <v>3608</v>
      </c>
      <c r="I1" s="47" t="s">
        <v>3609</v>
      </c>
      <c r="J1" s="47" t="s">
        <v>3610</v>
      </c>
      <c r="K1" s="47" t="s">
        <v>3611</v>
      </c>
      <c r="L1" s="47" t="s">
        <v>3612</v>
      </c>
      <c r="M1" s="47" t="s">
        <v>3613</v>
      </c>
      <c r="N1" s="47" t="s">
        <v>3614</v>
      </c>
      <c r="P1" s="150" t="s">
        <v>3615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3616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3617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3618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3619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3620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3621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3622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3623</v>
      </c>
    </row>
    <row r="11" spans="1:16" x14ac:dyDescent="0.3">
      <c r="A11" s="54" t="s">
        <v>3624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3625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3625</v>
      </c>
    </row>
    <row r="13" spans="1:16" x14ac:dyDescent="0.3">
      <c r="A13" s="60" t="s">
        <v>3626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3623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3627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3628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3629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3623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3601</v>
      </c>
      <c r="B1" s="47" t="s">
        <v>3602</v>
      </c>
      <c r="C1" s="47" t="s">
        <v>3603</v>
      </c>
      <c r="D1" s="47" t="s">
        <v>3604</v>
      </c>
      <c r="E1" s="47" t="s">
        <v>3605</v>
      </c>
      <c r="F1" s="47" t="s">
        <v>3606</v>
      </c>
      <c r="G1" s="47" t="s">
        <v>3607</v>
      </c>
      <c r="H1" s="47" t="s">
        <v>3608</v>
      </c>
      <c r="I1" s="47" t="s">
        <v>3609</v>
      </c>
      <c r="J1" s="47" t="s">
        <v>3610</v>
      </c>
      <c r="K1" s="47" t="s">
        <v>3611</v>
      </c>
      <c r="L1" s="47" t="s">
        <v>3612</v>
      </c>
      <c r="M1" s="47" t="s">
        <v>3613</v>
      </c>
      <c r="N1" s="47" t="s">
        <v>3614</v>
      </c>
      <c r="P1" s="150" t="s">
        <v>3615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3616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3617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3618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3619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3620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3621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3622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3623</v>
      </c>
    </row>
    <row r="11" spans="1:16" x14ac:dyDescent="0.3">
      <c r="A11" s="54" t="s">
        <v>3624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3625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3625</v>
      </c>
    </row>
    <row r="13" spans="1:16" x14ac:dyDescent="0.3">
      <c r="A13" s="60" t="s">
        <v>3626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3623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3627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3628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3629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3623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3601</v>
      </c>
      <c r="B1" s="47" t="s">
        <v>3602</v>
      </c>
      <c r="C1" s="47" t="s">
        <v>3603</v>
      </c>
      <c r="D1" s="47" t="s">
        <v>3604</v>
      </c>
      <c r="E1" s="47" t="s">
        <v>3605</v>
      </c>
      <c r="F1" s="47" t="s">
        <v>3606</v>
      </c>
      <c r="G1" s="47" t="s">
        <v>3607</v>
      </c>
      <c r="H1" s="47" t="s">
        <v>3608</v>
      </c>
      <c r="I1" s="47" t="s">
        <v>3609</v>
      </c>
      <c r="J1" s="47" t="s">
        <v>3610</v>
      </c>
      <c r="K1" s="47" t="s">
        <v>3611</v>
      </c>
      <c r="L1" s="47" t="s">
        <v>3612</v>
      </c>
      <c r="M1" s="47" t="s">
        <v>3613</v>
      </c>
      <c r="N1" s="47" t="s">
        <v>3614</v>
      </c>
      <c r="P1" s="150" t="s">
        <v>3615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3616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3617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3618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3619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3620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3621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3622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3623</v>
      </c>
    </row>
    <row r="11" spans="1:16" x14ac:dyDescent="0.3">
      <c r="A11" s="54" t="s">
        <v>3624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3625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3625</v>
      </c>
    </row>
    <row r="13" spans="1:16" x14ac:dyDescent="0.3">
      <c r="A13" s="60" t="s">
        <v>3626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3623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3627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3628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3629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3623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3601</v>
      </c>
      <c r="B1" s="47" t="s">
        <v>3602</v>
      </c>
      <c r="C1" s="47" t="s">
        <v>3603</v>
      </c>
      <c r="D1" s="47" t="s">
        <v>3604</v>
      </c>
      <c r="E1" s="47" t="s">
        <v>3605</v>
      </c>
      <c r="F1" s="47" t="s">
        <v>3606</v>
      </c>
      <c r="G1" s="47" t="s">
        <v>3607</v>
      </c>
      <c r="H1" s="47" t="s">
        <v>3608</v>
      </c>
      <c r="I1" s="47" t="s">
        <v>3609</v>
      </c>
      <c r="J1" s="47" t="s">
        <v>3610</v>
      </c>
      <c r="K1" s="47" t="s">
        <v>3611</v>
      </c>
      <c r="L1" s="47" t="s">
        <v>3612</v>
      </c>
      <c r="M1" s="47" t="s">
        <v>3613</v>
      </c>
      <c r="N1" s="47" t="s">
        <v>3614</v>
      </c>
      <c r="P1" s="150" t="s">
        <v>3615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3616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3617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3618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3619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3620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3621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3622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3623</v>
      </c>
    </row>
    <row r="11" spans="1:16" x14ac:dyDescent="0.3">
      <c r="A11" s="54" t="s">
        <v>3624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3625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3625</v>
      </c>
    </row>
    <row r="13" spans="1:16" x14ac:dyDescent="0.3">
      <c r="A13" s="60" t="s">
        <v>3626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3623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3627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3628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3629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3623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3601</v>
      </c>
      <c r="B1" s="47" t="s">
        <v>3602</v>
      </c>
      <c r="C1" s="47" t="s">
        <v>3603</v>
      </c>
      <c r="D1" s="47" t="s">
        <v>3604</v>
      </c>
      <c r="E1" s="47" t="s">
        <v>3605</v>
      </c>
      <c r="F1" s="47" t="s">
        <v>3606</v>
      </c>
      <c r="G1" s="47" t="s">
        <v>3607</v>
      </c>
      <c r="H1" s="47" t="s">
        <v>3608</v>
      </c>
      <c r="I1" s="47" t="s">
        <v>3609</v>
      </c>
      <c r="J1" s="47" t="s">
        <v>3610</v>
      </c>
      <c r="K1" s="47" t="s">
        <v>3611</v>
      </c>
      <c r="L1" s="47" t="s">
        <v>3612</v>
      </c>
      <c r="M1" s="47" t="s">
        <v>3613</v>
      </c>
      <c r="N1" s="47" t="s">
        <v>3614</v>
      </c>
      <c r="P1" s="150" t="s">
        <v>3615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3616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3617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3618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3619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3620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3621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3622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3623</v>
      </c>
    </row>
    <row r="11" spans="1:16" x14ac:dyDescent="0.3">
      <c r="A11" s="54" t="s">
        <v>3624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3625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3625</v>
      </c>
    </row>
    <row r="13" spans="1:16" x14ac:dyDescent="0.3">
      <c r="A13" s="60" t="s">
        <v>3626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3623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3627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3628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3629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3623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2026-06-19T17:01:57Z</dcterms:modified>
  <cp:category/>
  <cp:contentStatus/>
</cp:coreProperties>
</file>