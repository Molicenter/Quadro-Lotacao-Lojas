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590" documentId="13_ncr:1_{FDD8E105-D285-4AC0-A7F9-3D0E71625B16}" xr6:coauthVersionLast="47" xr6:coauthVersionMax="47" xr10:uidLastSave="{CDEF6928-3B38-41A4-B423-3C2A1133AC4A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Banco!$A$1:$T$940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3" i="44" l="1"/>
  <c r="C493" i="44" s="1"/>
  <c r="A493" i="44"/>
  <c r="D791" i="44"/>
  <c r="C791" i="44" s="1"/>
  <c r="A791" i="44"/>
  <c r="D885" i="44"/>
  <c r="C885" i="44" s="1"/>
  <c r="A885" i="44"/>
  <c r="D781" i="44"/>
  <c r="C781" i="44" s="1"/>
  <c r="A781" i="44"/>
  <c r="D794" i="44"/>
  <c r="C794" i="44" s="1"/>
  <c r="A794" i="44"/>
  <c r="D157" i="44"/>
  <c r="C157" i="44" s="1"/>
  <c r="A157" i="44"/>
  <c r="D818" i="44"/>
  <c r="C818" i="44" s="1"/>
  <c r="A818" i="44"/>
  <c r="D636" i="44"/>
  <c r="C636" i="44" s="1"/>
  <c r="A636" i="44"/>
  <c r="D856" i="44"/>
  <c r="C856" i="44" s="1"/>
  <c r="A856" i="44"/>
  <c r="D805" i="44"/>
  <c r="C805" i="44" s="1"/>
  <c r="A805" i="44"/>
  <c r="D686" i="44"/>
  <c r="C686" i="44" s="1"/>
  <c r="A686" i="44"/>
  <c r="D460" i="44"/>
  <c r="C460" i="44" s="1"/>
  <c r="A460" i="44"/>
  <c r="D934" i="44"/>
  <c r="C934" i="44" s="1"/>
  <c r="A934" i="44"/>
  <c r="D772" i="44"/>
  <c r="C772" i="44" s="1"/>
  <c r="A772" i="44"/>
  <c r="D782" i="44"/>
  <c r="C782" i="44" s="1"/>
  <c r="A782" i="44"/>
  <c r="D933" i="44"/>
  <c r="C933" i="44" s="1"/>
  <c r="A933" i="44"/>
  <c r="D871" i="44"/>
  <c r="C871" i="44" s="1"/>
  <c r="A871" i="44"/>
  <c r="D780" i="44"/>
  <c r="C780" i="44" s="1"/>
  <c r="A780" i="44"/>
  <c r="D845" i="44"/>
  <c r="C845" i="44" s="1"/>
  <c r="A845" i="44"/>
  <c r="D923" i="44"/>
  <c r="C923" i="44" s="1"/>
  <c r="A923" i="44"/>
  <c r="D170" i="44"/>
  <c r="B170" i="44" s="1"/>
  <c r="A170" i="44"/>
  <c r="D629" i="44"/>
  <c r="B629" i="44" s="1"/>
  <c r="A629" i="44"/>
  <c r="D762" i="44"/>
  <c r="B762" i="44" s="1"/>
  <c r="A762" i="44"/>
  <c r="D751" i="44"/>
  <c r="C751" i="44" s="1"/>
  <c r="A751" i="44"/>
  <c r="D901" i="44"/>
  <c r="B901" i="44" s="1"/>
  <c r="A901" i="44"/>
  <c r="D410" i="44"/>
  <c r="B410" i="44" s="1"/>
  <c r="A410" i="44"/>
  <c r="D533" i="44"/>
  <c r="B533" i="44" s="1"/>
  <c r="A533" i="44"/>
  <c r="D926" i="44"/>
  <c r="B926" i="44" s="1"/>
  <c r="A926" i="44"/>
  <c r="D921" i="44"/>
  <c r="B921" i="44" s="1"/>
  <c r="A921" i="44"/>
  <c r="D223" i="44"/>
  <c r="A223" i="44"/>
  <c r="B791" i="44" l="1"/>
  <c r="B781" i="44"/>
  <c r="B794" i="44"/>
  <c r="B885" i="44"/>
  <c r="B493" i="44"/>
  <c r="B818" i="44"/>
  <c r="B157" i="44"/>
  <c r="B686" i="44"/>
  <c r="B805" i="44"/>
  <c r="B856" i="44"/>
  <c r="B636" i="44"/>
  <c r="B782" i="44"/>
  <c r="B934" i="44"/>
  <c r="B772" i="44"/>
  <c r="B460" i="44"/>
  <c r="B845" i="44"/>
  <c r="B871" i="44"/>
  <c r="B923" i="44"/>
  <c r="B780" i="44"/>
  <c r="B933" i="44"/>
  <c r="C762" i="44"/>
  <c r="C629" i="44"/>
  <c r="C170" i="44"/>
  <c r="C926" i="44"/>
  <c r="C901" i="44"/>
  <c r="C410" i="44"/>
  <c r="C533" i="44"/>
  <c r="B751" i="44"/>
  <c r="C921" i="44"/>
  <c r="C223" i="44"/>
  <c r="B223" i="44"/>
  <c r="D505" i="44"/>
  <c r="A505" i="44"/>
  <c r="D889" i="44"/>
  <c r="A889" i="44"/>
  <c r="D940" i="44"/>
  <c r="A940" i="44"/>
  <c r="D721" i="44"/>
  <c r="A721" i="44"/>
  <c r="D914" i="44"/>
  <c r="A914" i="44"/>
  <c r="D924" i="44"/>
  <c r="A924" i="44"/>
  <c r="D847" i="44"/>
  <c r="A847" i="44"/>
  <c r="D607" i="44"/>
  <c r="A607" i="44"/>
  <c r="D852" i="44"/>
  <c r="A852" i="44"/>
  <c r="D731" i="44"/>
  <c r="A731" i="44"/>
  <c r="D792" i="44"/>
  <c r="A792" i="44"/>
  <c r="D430" i="44"/>
  <c r="A430" i="44"/>
  <c r="D600" i="44"/>
  <c r="A600" i="44"/>
  <c r="D842" i="44"/>
  <c r="A842" i="44"/>
  <c r="D397" i="44"/>
  <c r="A397" i="44"/>
  <c r="D875" i="44"/>
  <c r="A875" i="44"/>
  <c r="D699" i="44"/>
  <c r="A699" i="44"/>
  <c r="D825" i="44"/>
  <c r="A825" i="44"/>
  <c r="D468" i="44"/>
  <c r="A468" i="44"/>
  <c r="D513" i="44"/>
  <c r="A513" i="44"/>
  <c r="D830" i="44"/>
  <c r="A830" i="44"/>
  <c r="D758" i="44"/>
  <c r="A758" i="44"/>
  <c r="D457" i="44"/>
  <c r="A457" i="44"/>
  <c r="A771" i="44"/>
  <c r="D599" i="44"/>
  <c r="A599" i="44"/>
  <c r="D764" i="44"/>
  <c r="A764" i="44"/>
  <c r="D712" i="44"/>
  <c r="A712" i="44"/>
  <c r="D756" i="44"/>
  <c r="A756" i="44"/>
  <c r="D220" i="44"/>
  <c r="A220" i="44"/>
  <c r="D259" i="44"/>
  <c r="A259" i="44"/>
  <c r="D210" i="44"/>
  <c r="A210" i="44"/>
  <c r="D484" i="44"/>
  <c r="A484" i="44"/>
  <c r="D234" i="44"/>
  <c r="A234" i="44"/>
  <c r="D329" i="44"/>
  <c r="A329" i="44"/>
  <c r="D305" i="44"/>
  <c r="A305" i="44"/>
  <c r="D231" i="44"/>
  <c r="A231" i="44"/>
  <c r="D302" i="44"/>
  <c r="A302" i="44"/>
  <c r="D242" i="44"/>
  <c r="A242" i="44"/>
  <c r="D81" i="44"/>
  <c r="A81" i="44"/>
  <c r="D507" i="44"/>
  <c r="A507" i="44"/>
  <c r="D16" i="44"/>
  <c r="A16" i="44"/>
  <c r="D254" i="44"/>
  <c r="A254" i="44"/>
  <c r="D247" i="44"/>
  <c r="A247" i="44"/>
  <c r="D301" i="44"/>
  <c r="A301" i="44"/>
  <c r="D434" i="44"/>
  <c r="A434" i="44"/>
  <c r="D356" i="44"/>
  <c r="A356" i="44"/>
  <c r="D437" i="44"/>
  <c r="A437" i="44"/>
  <c r="D854" i="44"/>
  <c r="A854" i="44"/>
  <c r="D582" i="44"/>
  <c r="A582" i="44"/>
  <c r="D289" i="44"/>
  <c r="A289" i="44"/>
  <c r="D372" i="44"/>
  <c r="A372" i="44"/>
  <c r="D509" i="44"/>
  <c r="A509" i="44"/>
  <c r="D566" i="44"/>
  <c r="A566" i="44"/>
  <c r="D776" i="44"/>
  <c r="A776" i="44"/>
  <c r="D595" i="44"/>
  <c r="A595" i="44"/>
  <c r="D580" i="44"/>
  <c r="A580" i="44"/>
  <c r="D667" i="44"/>
  <c r="A667" i="44"/>
  <c r="D549" i="44"/>
  <c r="A549" i="44"/>
  <c r="D702" i="44"/>
  <c r="A702" i="44"/>
  <c r="D883" i="44"/>
  <c r="A883" i="44"/>
  <c r="D851" i="44"/>
  <c r="A851" i="44"/>
  <c r="D798" i="44"/>
  <c r="A798" i="44"/>
  <c r="D774" i="44"/>
  <c r="A774" i="44"/>
  <c r="D815" i="44"/>
  <c r="A815" i="44"/>
  <c r="D491" i="44"/>
  <c r="A491" i="44"/>
  <c r="D816" i="44"/>
  <c r="A816" i="44"/>
  <c r="D280" i="44"/>
  <c r="A280" i="44"/>
  <c r="D252" i="44"/>
  <c r="A252" i="44"/>
  <c r="D316" i="44"/>
  <c r="A316" i="44"/>
  <c r="D338" i="44"/>
  <c r="A338" i="44"/>
  <c r="D672" i="44"/>
  <c r="A672" i="44"/>
  <c r="D399" i="44"/>
  <c r="A399" i="44"/>
  <c r="D813" i="44"/>
  <c r="A813" i="44"/>
  <c r="D637" i="44"/>
  <c r="A637" i="44"/>
  <c r="D860" i="44"/>
  <c r="A860" i="44"/>
  <c r="D804" i="44"/>
  <c r="A804" i="44"/>
  <c r="D627" i="44"/>
  <c r="A627" i="44"/>
  <c r="D843" i="44"/>
  <c r="A843" i="44"/>
  <c r="D850" i="44"/>
  <c r="A850" i="44"/>
  <c r="D823" i="44"/>
  <c r="A823" i="44"/>
  <c r="D853" i="44"/>
  <c r="A853" i="44"/>
  <c r="D838" i="44"/>
  <c r="A838" i="44"/>
  <c r="D868" i="44"/>
  <c r="A868" i="44"/>
  <c r="D379" i="44"/>
  <c r="A379" i="44"/>
  <c r="C758" i="44" l="1"/>
  <c r="B758" i="44"/>
  <c r="C853" i="44"/>
  <c r="B853" i="44"/>
  <c r="B627" i="44"/>
  <c r="C627" i="44"/>
  <c r="C637" i="44"/>
  <c r="B637" i="44"/>
  <c r="C338" i="44"/>
  <c r="B338" i="44"/>
  <c r="C816" i="44"/>
  <c r="B816" i="44"/>
  <c r="C774" i="44"/>
  <c r="B774" i="44"/>
  <c r="C702" i="44"/>
  <c r="B702" i="44"/>
  <c r="C595" i="44"/>
  <c r="B595" i="44"/>
  <c r="C372" i="44"/>
  <c r="B372" i="44"/>
  <c r="C437" i="44"/>
  <c r="B437" i="44"/>
  <c r="B247" i="44"/>
  <c r="C247" i="44"/>
  <c r="C81" i="44"/>
  <c r="B81" i="44"/>
  <c r="B305" i="44"/>
  <c r="C305" i="44"/>
  <c r="C210" i="44"/>
  <c r="B210" i="44"/>
  <c r="C712" i="44"/>
  <c r="B712" i="44"/>
  <c r="C825" i="44"/>
  <c r="B825" i="44"/>
  <c r="C847" i="44"/>
  <c r="B847" i="44"/>
  <c r="C379" i="44"/>
  <c r="B379" i="44"/>
  <c r="C823" i="44"/>
  <c r="B823" i="44"/>
  <c r="B804" i="44"/>
  <c r="C804" i="44"/>
  <c r="C813" i="44"/>
  <c r="B813" i="44"/>
  <c r="C316" i="44"/>
  <c r="B316" i="44"/>
  <c r="B798" i="44"/>
  <c r="C798" i="44"/>
  <c r="C549" i="44"/>
  <c r="B549" i="44"/>
  <c r="C776" i="44"/>
  <c r="B776" i="44"/>
  <c r="C289" i="44"/>
  <c r="B289" i="44"/>
  <c r="C356" i="44"/>
  <c r="B356" i="44"/>
  <c r="B254" i="44"/>
  <c r="C254" i="44"/>
  <c r="C242" i="44"/>
  <c r="B242" i="44"/>
  <c r="C329" i="44"/>
  <c r="B329" i="44"/>
  <c r="C259" i="44"/>
  <c r="B259" i="44"/>
  <c r="C764" i="44"/>
  <c r="B764" i="44"/>
  <c r="C699" i="44"/>
  <c r="B699" i="44"/>
  <c r="C924" i="44"/>
  <c r="B924" i="44"/>
  <c r="C399" i="44"/>
  <c r="B399" i="44"/>
  <c r="C491" i="44"/>
  <c r="B491" i="44"/>
  <c r="C667" i="44"/>
  <c r="B667" i="44"/>
  <c r="C582" i="44"/>
  <c r="B582" i="44"/>
  <c r="C434" i="44"/>
  <c r="B434" i="44"/>
  <c r="C16" i="44"/>
  <c r="B16" i="44"/>
  <c r="C302" i="44"/>
  <c r="B302" i="44"/>
  <c r="C234" i="44"/>
  <c r="B234" i="44"/>
  <c r="C220" i="44"/>
  <c r="B220" i="44"/>
  <c r="C599" i="44"/>
  <c r="B599" i="44"/>
  <c r="B792" i="44"/>
  <c r="C792" i="44"/>
  <c r="C721" i="44"/>
  <c r="B721" i="44"/>
  <c r="C830" i="44"/>
  <c r="B830" i="44"/>
  <c r="C600" i="44"/>
  <c r="B600" i="44"/>
  <c r="C731" i="44"/>
  <c r="B731" i="44"/>
  <c r="C940" i="44"/>
  <c r="B940" i="44"/>
  <c r="C868" i="44"/>
  <c r="B868" i="44"/>
  <c r="C850" i="44"/>
  <c r="B850" i="44"/>
  <c r="B860" i="44"/>
  <c r="C860" i="44"/>
  <c r="C252" i="44"/>
  <c r="B252" i="44"/>
  <c r="C851" i="44"/>
  <c r="B851" i="44"/>
  <c r="C566" i="44"/>
  <c r="B566" i="44"/>
  <c r="C513" i="44"/>
  <c r="B513" i="44"/>
  <c r="C875" i="44"/>
  <c r="B875" i="44"/>
  <c r="C852" i="44"/>
  <c r="B852" i="44"/>
  <c r="C889" i="44"/>
  <c r="B889" i="44"/>
  <c r="C842" i="44"/>
  <c r="B842" i="44"/>
  <c r="C843" i="44"/>
  <c r="B843" i="44"/>
  <c r="C672" i="44"/>
  <c r="B672" i="44"/>
  <c r="B815" i="44"/>
  <c r="C815" i="44"/>
  <c r="C301" i="44"/>
  <c r="B301" i="44"/>
  <c r="C838" i="44"/>
  <c r="B838" i="44"/>
  <c r="C280" i="44"/>
  <c r="B280" i="44"/>
  <c r="B883" i="44"/>
  <c r="C883" i="44"/>
  <c r="C580" i="44"/>
  <c r="B580" i="44"/>
  <c r="C509" i="44"/>
  <c r="B509" i="44"/>
  <c r="C854" i="44"/>
  <c r="B854" i="44"/>
  <c r="C507" i="44"/>
  <c r="B507" i="44"/>
  <c r="C231" i="44"/>
  <c r="B231" i="44"/>
  <c r="C484" i="44"/>
  <c r="B484" i="44"/>
  <c r="C756" i="44"/>
  <c r="B756" i="44"/>
  <c r="C457" i="44"/>
  <c r="B457" i="44"/>
  <c r="C468" i="44"/>
  <c r="B468" i="44"/>
  <c r="B397" i="44"/>
  <c r="C397" i="44"/>
  <c r="C430" i="44"/>
  <c r="B430" i="44"/>
  <c r="C607" i="44"/>
  <c r="B607" i="44"/>
  <c r="C914" i="44"/>
  <c r="B914" i="44"/>
  <c r="C505" i="44"/>
  <c r="B505" i="44"/>
  <c r="D803" i="44"/>
  <c r="A803" i="44"/>
  <c r="D300" i="44"/>
  <c r="A300" i="44"/>
  <c r="D899" i="44"/>
  <c r="A899" i="44"/>
  <c r="D378" i="44"/>
  <c r="A378" i="44"/>
  <c r="D907" i="44"/>
  <c r="A907" i="44"/>
  <c r="D119" i="44"/>
  <c r="A119" i="44"/>
  <c r="D886" i="44"/>
  <c r="A886" i="44"/>
  <c r="D633" i="44"/>
  <c r="A633" i="44"/>
  <c r="D937" i="44"/>
  <c r="A937" i="44"/>
  <c r="D739" i="44"/>
  <c r="A739" i="44"/>
  <c r="D880" i="44"/>
  <c r="A880" i="44"/>
  <c r="D375" i="44"/>
  <c r="A375" i="44"/>
  <c r="D449" i="44"/>
  <c r="A449" i="44"/>
  <c r="D615" i="44"/>
  <c r="A615" i="44"/>
  <c r="D717" i="44"/>
  <c r="A717" i="44"/>
  <c r="D670" i="44"/>
  <c r="A670" i="44"/>
  <c r="D206" i="44"/>
  <c r="A206" i="44"/>
  <c r="D591" i="44"/>
  <c r="A591" i="44"/>
  <c r="D2" i="44"/>
  <c r="A2" i="44"/>
  <c r="D373" i="44"/>
  <c r="A373" i="44"/>
  <c r="D442" i="44"/>
  <c r="A442" i="44"/>
  <c r="D734" i="44"/>
  <c r="A734" i="44"/>
  <c r="D33" i="44"/>
  <c r="A33" i="44"/>
  <c r="D696" i="44"/>
  <c r="A696" i="44"/>
  <c r="D90" i="44"/>
  <c r="A90" i="44"/>
  <c r="D874" i="44"/>
  <c r="A874" i="44"/>
  <c r="D310" i="44"/>
  <c r="A310" i="44"/>
  <c r="D876" i="44"/>
  <c r="A876" i="44"/>
  <c r="D412" i="44"/>
  <c r="A412" i="44"/>
  <c r="D336" i="44"/>
  <c r="A336" i="44"/>
  <c r="D61" i="44"/>
  <c r="A61" i="44"/>
  <c r="D462" i="44"/>
  <c r="A462" i="44"/>
  <c r="D795" i="44"/>
  <c r="A795" i="44"/>
  <c r="D197" i="44"/>
  <c r="A197" i="44"/>
  <c r="D589" i="44"/>
  <c r="A589" i="44"/>
  <c r="D447" i="44"/>
  <c r="A447" i="44"/>
  <c r="D570" i="44"/>
  <c r="A570" i="44"/>
  <c r="D394" i="44"/>
  <c r="A394" i="44"/>
  <c r="D663" i="44"/>
  <c r="A663" i="44"/>
  <c r="D14" i="44"/>
  <c r="A14" i="44"/>
  <c r="D180" i="44"/>
  <c r="A180" i="44"/>
  <c r="D499" i="44"/>
  <c r="A499" i="44"/>
  <c r="D94" i="44"/>
  <c r="A94" i="44"/>
  <c r="D416" i="44"/>
  <c r="A416" i="44"/>
  <c r="D267" i="44"/>
  <c r="A267" i="44"/>
  <c r="D150" i="44"/>
  <c r="A150" i="44"/>
  <c r="D288" i="44"/>
  <c r="A288" i="44"/>
  <c r="D67" i="44"/>
  <c r="A67" i="44"/>
  <c r="D464" i="44"/>
  <c r="A464" i="44"/>
  <c r="D29" i="44"/>
  <c r="A29" i="44"/>
  <c r="D908" i="44"/>
  <c r="A908" i="44"/>
  <c r="D653" i="44"/>
  <c r="A653" i="44"/>
  <c r="D603" i="44"/>
  <c r="A603" i="44"/>
  <c r="D222" i="44"/>
  <c r="A222" i="44"/>
  <c r="D383" i="44"/>
  <c r="A383" i="44"/>
  <c r="D307" i="44"/>
  <c r="A307" i="44"/>
  <c r="D742" i="44"/>
  <c r="A742" i="44"/>
  <c r="D613" i="44"/>
  <c r="A613" i="44"/>
  <c r="D17" i="44"/>
  <c r="A17" i="44"/>
  <c r="D902" i="44"/>
  <c r="A902" i="44"/>
  <c r="D136" i="44"/>
  <c r="A136" i="44"/>
  <c r="D325" i="44"/>
  <c r="A325" i="44"/>
  <c r="D59" i="44"/>
  <c r="A59" i="44"/>
  <c r="D640" i="44"/>
  <c r="A640" i="44"/>
  <c r="D98" i="44"/>
  <c r="A98" i="44"/>
  <c r="D358" i="44"/>
  <c r="A358" i="44"/>
  <c r="D225" i="44"/>
  <c r="A225" i="44"/>
  <c r="D66" i="44"/>
  <c r="A66" i="44"/>
  <c r="D621" i="44"/>
  <c r="A621" i="44"/>
  <c r="D741" i="44"/>
  <c r="A741" i="44"/>
  <c r="D15" i="44"/>
  <c r="A15" i="44"/>
  <c r="D579" i="44"/>
  <c r="A579" i="44"/>
  <c r="D118" i="44"/>
  <c r="A118" i="44"/>
  <c r="D107" i="44"/>
  <c r="A107" i="44"/>
  <c r="D78" i="44"/>
  <c r="A78" i="44"/>
  <c r="D237" i="44"/>
  <c r="A237" i="44"/>
  <c r="D229" i="44"/>
  <c r="A229" i="44"/>
  <c r="D652" i="44"/>
  <c r="A652" i="44"/>
  <c r="D904" i="44"/>
  <c r="A904" i="44"/>
  <c r="D400" i="44"/>
  <c r="A400" i="44"/>
  <c r="D172" i="44"/>
  <c r="A172" i="44"/>
  <c r="D768" i="44"/>
  <c r="A768" i="44"/>
  <c r="D809" i="44"/>
  <c r="A809" i="44"/>
  <c r="D139" i="44"/>
  <c r="A139" i="44"/>
  <c r="D459" i="44"/>
  <c r="A459" i="44"/>
  <c r="D452" i="44"/>
  <c r="A452" i="44"/>
  <c r="D662" i="44"/>
  <c r="A662" i="44"/>
  <c r="D539" i="44"/>
  <c r="A539" i="44"/>
  <c r="D778" i="44"/>
  <c r="A778" i="44"/>
  <c r="D723" i="44"/>
  <c r="A723" i="44"/>
  <c r="D227" i="44"/>
  <c r="A227" i="44"/>
  <c r="D821" i="44"/>
  <c r="A821" i="44"/>
  <c r="D207" i="44"/>
  <c r="A207" i="44"/>
  <c r="D115" i="44"/>
  <c r="A115" i="44"/>
  <c r="D740" i="44"/>
  <c r="A740" i="44"/>
  <c r="D550" i="44"/>
  <c r="A550" i="44"/>
  <c r="D563" i="44"/>
  <c r="A563" i="44"/>
  <c r="D596" i="44"/>
  <c r="A596" i="44"/>
  <c r="D564" i="44"/>
  <c r="A564" i="44"/>
  <c r="D584" i="44"/>
  <c r="A584" i="44"/>
  <c r="D9" i="44"/>
  <c r="A9" i="44"/>
  <c r="D71" i="44"/>
  <c r="A71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6" i="44"/>
  <c r="D326" i="44"/>
  <c r="A877" i="44"/>
  <c r="D877" i="44"/>
  <c r="A526" i="44"/>
  <c r="D526" i="44"/>
  <c r="A407" i="44"/>
  <c r="D407" i="44"/>
  <c r="A812" i="44"/>
  <c r="D812" i="44"/>
  <c r="A404" i="44"/>
  <c r="D404" i="44"/>
  <c r="A140" i="44"/>
  <c r="D140" i="44"/>
  <c r="A79" i="44"/>
  <c r="D79" i="44"/>
  <c r="A683" i="44"/>
  <c r="D683" i="44"/>
  <c r="A327" i="44"/>
  <c r="D327" i="44"/>
  <c r="A481" i="44"/>
  <c r="D481" i="44"/>
  <c r="A255" i="44"/>
  <c r="D255" i="44"/>
  <c r="A844" i="44"/>
  <c r="D844" i="44"/>
  <c r="A890" i="44"/>
  <c r="D890" i="44"/>
  <c r="A797" i="44"/>
  <c r="D797" i="44"/>
  <c r="A152" i="44"/>
  <c r="D152" i="44"/>
  <c r="A40" i="44"/>
  <c r="D40" i="44"/>
  <c r="A587" i="44"/>
  <c r="D587" i="44"/>
  <c r="A807" i="44"/>
  <c r="D807" i="44"/>
  <c r="A365" i="44"/>
  <c r="D365" i="44"/>
  <c r="A357" i="44"/>
  <c r="D357" i="44"/>
  <c r="A917" i="44"/>
  <c r="D917" i="44"/>
  <c r="A332" i="44"/>
  <c r="D332" i="44"/>
  <c r="A376" i="44"/>
  <c r="D376" i="44"/>
  <c r="A304" i="44"/>
  <c r="D304" i="44"/>
  <c r="A328" i="44"/>
  <c r="D328" i="44"/>
  <c r="A925" i="44"/>
  <c r="D925" i="44"/>
  <c r="A38" i="44"/>
  <c r="D38" i="44"/>
  <c r="A439" i="44"/>
  <c r="D439" i="44"/>
  <c r="A506" i="44"/>
  <c r="D506" i="44"/>
  <c r="A554" i="44"/>
  <c r="D554" i="44"/>
  <c r="A841" i="44"/>
  <c r="D841" i="44"/>
  <c r="A432" i="44"/>
  <c r="D432" i="44"/>
  <c r="A409" i="44"/>
  <c r="D409" i="44"/>
  <c r="A643" i="44"/>
  <c r="D643" i="44"/>
  <c r="A57" i="44"/>
  <c r="D57" i="44"/>
  <c r="A916" i="44"/>
  <c r="D916" i="44"/>
  <c r="A113" i="44"/>
  <c r="D113" i="44"/>
  <c r="A727" i="44"/>
  <c r="D727" i="44"/>
  <c r="A897" i="44"/>
  <c r="D897" i="44"/>
  <c r="A915" i="44"/>
  <c r="D915" i="44"/>
  <c r="A309" i="44"/>
  <c r="D309" i="44"/>
  <c r="A149" i="44"/>
  <c r="D149" i="44"/>
  <c r="A19" i="44"/>
  <c r="D19" i="44"/>
  <c r="A519" i="44"/>
  <c r="D519" i="44"/>
  <c r="A427" i="44"/>
  <c r="D427" i="44"/>
  <c r="A601" i="44"/>
  <c r="D601" i="44"/>
  <c r="A518" i="44"/>
  <c r="D518" i="44"/>
  <c r="A557" i="44"/>
  <c r="D557" i="44"/>
  <c r="A34" i="44"/>
  <c r="D34" i="44"/>
  <c r="A779" i="44"/>
  <c r="D779" i="44"/>
  <c r="A869" i="44"/>
  <c r="D869" i="44"/>
  <c r="A415" i="44"/>
  <c r="D415" i="44"/>
  <c r="D771" i="44"/>
  <c r="A720" i="44"/>
  <c r="D720" i="44"/>
  <c r="A628" i="44"/>
  <c r="D628" i="44"/>
  <c r="A279" i="44"/>
  <c r="D279" i="44"/>
  <c r="A132" i="44"/>
  <c r="D132" i="44"/>
  <c r="A532" i="44"/>
  <c r="D532" i="44"/>
  <c r="A881" i="44"/>
  <c r="D881" i="44"/>
  <c r="A709" i="44"/>
  <c r="D709" i="44"/>
  <c r="A645" i="44"/>
  <c r="D645" i="44"/>
  <c r="A887" i="44"/>
  <c r="D887" i="44"/>
  <c r="A162" i="44"/>
  <c r="D162" i="44"/>
  <c r="A604" i="44"/>
  <c r="D604" i="44"/>
  <c r="A298" i="44"/>
  <c r="D298" i="44"/>
  <c r="A898" i="44"/>
  <c r="D898" i="44"/>
  <c r="A30" i="44"/>
  <c r="D30" i="44"/>
  <c r="A137" i="44"/>
  <c r="D137" i="44"/>
  <c r="A104" i="44"/>
  <c r="D104" i="44"/>
  <c r="A193" i="44"/>
  <c r="D193" i="44"/>
  <c r="A248" i="44"/>
  <c r="D248" i="44"/>
  <c r="A810" i="44"/>
  <c r="D810" i="44"/>
  <c r="A299" i="44"/>
  <c r="D299" i="44"/>
  <c r="A510" i="44"/>
  <c r="D510" i="44"/>
  <c r="A144" i="44"/>
  <c r="D14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11" i="44"/>
  <c r="A811" i="44"/>
  <c r="D498" i="44"/>
  <c r="A498" i="44"/>
  <c r="D342" i="44"/>
  <c r="A342" i="44"/>
  <c r="D53" i="44"/>
  <c r="A53" i="44"/>
  <c r="D530" i="44"/>
  <c r="A530" i="44"/>
  <c r="D215" i="44"/>
  <c r="A215" i="44"/>
  <c r="D691" i="44"/>
  <c r="A691" i="44"/>
  <c r="D163" i="44"/>
  <c r="A163" i="44"/>
  <c r="D529" i="44"/>
  <c r="A529" i="44"/>
  <c r="D465" i="44"/>
  <c r="A465" i="44"/>
  <c r="D544" i="44"/>
  <c r="A544" i="44"/>
  <c r="D828" i="44"/>
  <c r="A828" i="44"/>
  <c r="D738" i="44"/>
  <c r="A738" i="44"/>
  <c r="D873" i="44"/>
  <c r="A873" i="44"/>
  <c r="D346" i="44"/>
  <c r="A346" i="44"/>
  <c r="D700" i="44"/>
  <c r="A700" i="44"/>
  <c r="D72" i="44"/>
  <c r="A72" i="44"/>
  <c r="D211" i="44"/>
  <c r="A211" i="44"/>
  <c r="D363" i="44"/>
  <c r="A363" i="44"/>
  <c r="D704" i="44"/>
  <c r="A704" i="44"/>
  <c r="D428" i="44"/>
  <c r="A428" i="44"/>
  <c r="D541" i="44"/>
  <c r="A541" i="44"/>
  <c r="D478" i="44"/>
  <c r="A478" i="44"/>
  <c r="D82" i="44"/>
  <c r="A82" i="44"/>
  <c r="D789" i="44"/>
  <c r="A789" i="44"/>
  <c r="D711" i="44"/>
  <c r="A711" i="44"/>
  <c r="D938" i="44"/>
  <c r="A938" i="44"/>
  <c r="D927" i="44"/>
  <c r="A927" i="44"/>
  <c r="D849" i="44"/>
  <c r="A849" i="44"/>
  <c r="D473" i="44"/>
  <c r="A473" i="44"/>
  <c r="D476" i="44"/>
  <c r="A476" i="44"/>
  <c r="D694" i="44"/>
  <c r="A694" i="44"/>
  <c r="D878" i="44"/>
  <c r="A878" i="44"/>
  <c r="D551" i="44"/>
  <c r="A551" i="44"/>
  <c r="D199" i="44"/>
  <c r="A199" i="44"/>
  <c r="D169" i="44"/>
  <c r="A169" i="44"/>
  <c r="D35" i="44"/>
  <c r="A35" i="44"/>
  <c r="D26" i="44"/>
  <c r="A26" i="44"/>
  <c r="D515" i="44"/>
  <c r="A515" i="44"/>
  <c r="D660" i="44"/>
  <c r="A660" i="44"/>
  <c r="D109" i="44"/>
  <c r="A109" i="44"/>
  <c r="D567" i="44"/>
  <c r="A567" i="44"/>
  <c r="D5" i="44"/>
  <c r="A5" i="44"/>
  <c r="D608" i="44"/>
  <c r="A608" i="44"/>
  <c r="D483" i="44"/>
  <c r="A483" i="44"/>
  <c r="D610" i="44"/>
  <c r="A610" i="44"/>
  <c r="D176" i="44"/>
  <c r="A176" i="44"/>
  <c r="D198" i="44"/>
  <c r="A198" i="44"/>
  <c r="D143" i="44"/>
  <c r="A143" i="44"/>
  <c r="D440" i="44"/>
  <c r="A440" i="44"/>
  <c r="D531" i="44"/>
  <c r="A531" i="44"/>
  <c r="D202" i="44"/>
  <c r="A202" i="44"/>
  <c r="D114" i="44"/>
  <c r="A114" i="44"/>
  <c r="D76" i="44"/>
  <c r="A76" i="44"/>
  <c r="D50" i="44"/>
  <c r="A50" i="44"/>
  <c r="D262" i="44"/>
  <c r="A262" i="44"/>
  <c r="D517" i="44"/>
  <c r="A517" i="44"/>
  <c r="D728" i="44"/>
  <c r="A728" i="44"/>
  <c r="D117" i="44"/>
  <c r="A117" i="44"/>
  <c r="D58" i="44"/>
  <c r="A58" i="44"/>
  <c r="D594" i="44"/>
  <c r="A594" i="44"/>
  <c r="D251" i="44"/>
  <c r="A251" i="44"/>
  <c r="D490" i="44"/>
  <c r="A490" i="44"/>
  <c r="D687" i="44"/>
  <c r="A687" i="44"/>
  <c r="D93" i="44"/>
  <c r="A93" i="44"/>
  <c r="D475" i="44"/>
  <c r="A475" i="44"/>
  <c r="D153" i="44"/>
  <c r="A153" i="44"/>
  <c r="D705" i="44"/>
  <c r="A705" i="44"/>
  <c r="D606" i="44"/>
  <c r="A606" i="44"/>
  <c r="D100" i="44"/>
  <c r="A100" i="44"/>
  <c r="D272" i="44"/>
  <c r="A272" i="44"/>
  <c r="D562" i="44"/>
  <c r="A562" i="44"/>
  <c r="D70" i="44"/>
  <c r="A70" i="44"/>
  <c r="D402" i="44"/>
  <c r="A402" i="44"/>
  <c r="D701" i="44"/>
  <c r="A701" i="44"/>
  <c r="D87" i="44"/>
  <c r="A87" i="44"/>
  <c r="D703" i="44"/>
  <c r="A703" i="44"/>
  <c r="D761" i="44"/>
  <c r="A761" i="44"/>
  <c r="D350" i="44"/>
  <c r="A350" i="44"/>
  <c r="D88" i="44"/>
  <c r="A88" i="44"/>
  <c r="D244" i="44"/>
  <c r="A244" i="44"/>
  <c r="D367" i="44"/>
  <c r="A367" i="44"/>
  <c r="D870" i="44"/>
  <c r="A870" i="44"/>
  <c r="D833" i="44"/>
  <c r="A833" i="44"/>
  <c r="D767" i="44"/>
  <c r="A767" i="44"/>
  <c r="D189" i="44"/>
  <c r="A189" i="44"/>
  <c r="D362" i="44"/>
  <c r="A362" i="44"/>
  <c r="D188" i="44"/>
  <c r="A188" i="44"/>
  <c r="D597" i="44"/>
  <c r="A597" i="44"/>
  <c r="D714" i="44"/>
  <c r="A714" i="44"/>
  <c r="B188" i="44" l="1"/>
  <c r="C188" i="44"/>
  <c r="C833" i="44"/>
  <c r="B833" i="44"/>
  <c r="C88" i="44"/>
  <c r="B88" i="44"/>
  <c r="C87" i="44"/>
  <c r="B87" i="44"/>
  <c r="C562" i="44"/>
  <c r="B562" i="44"/>
  <c r="C475" i="44"/>
  <c r="B475" i="44"/>
  <c r="C251" i="44"/>
  <c r="B251" i="44"/>
  <c r="C728" i="44"/>
  <c r="B728" i="44"/>
  <c r="C76" i="44"/>
  <c r="B76" i="44"/>
  <c r="C440" i="44"/>
  <c r="B440" i="44"/>
  <c r="C610" i="44"/>
  <c r="B610" i="44"/>
  <c r="C567" i="44"/>
  <c r="B567" i="44"/>
  <c r="C26" i="44"/>
  <c r="B26" i="44"/>
  <c r="C551" i="44"/>
  <c r="B551" i="44"/>
  <c r="C473" i="44"/>
  <c r="B473" i="44"/>
  <c r="C711" i="44"/>
  <c r="B711" i="44"/>
  <c r="C541" i="44"/>
  <c r="B541" i="44"/>
  <c r="B211" i="44"/>
  <c r="C211" i="44"/>
  <c r="C873" i="44"/>
  <c r="B873" i="44"/>
  <c r="C465" i="44"/>
  <c r="B465" i="44"/>
  <c r="C215" i="44"/>
  <c r="B215" i="44"/>
  <c r="B342" i="44"/>
  <c r="C342" i="44"/>
  <c r="B415" i="44"/>
  <c r="C415" i="44"/>
  <c r="C557" i="44"/>
  <c r="B557" i="44"/>
  <c r="C519" i="44"/>
  <c r="B519" i="44"/>
  <c r="C915" i="44"/>
  <c r="B915" i="44"/>
  <c r="B916" i="44"/>
  <c r="C916" i="44"/>
  <c r="C432" i="44"/>
  <c r="B432" i="44"/>
  <c r="C439" i="44"/>
  <c r="B439" i="44"/>
  <c r="B304" i="44"/>
  <c r="C304" i="44"/>
  <c r="C357" i="44"/>
  <c r="B357" i="44"/>
  <c r="C40" i="44"/>
  <c r="B40" i="44"/>
  <c r="C844" i="44"/>
  <c r="B844" i="44"/>
  <c r="C683" i="44"/>
  <c r="B683" i="44"/>
  <c r="C812" i="44"/>
  <c r="B812" i="44"/>
  <c r="B326" i="44"/>
  <c r="C326" i="44"/>
  <c r="C193" i="44"/>
  <c r="B193" i="44"/>
  <c r="C898" i="44"/>
  <c r="B898" i="44"/>
  <c r="C532" i="44"/>
  <c r="B532" i="44"/>
  <c r="C550" i="44"/>
  <c r="B550" i="44"/>
  <c r="C539" i="44"/>
  <c r="B539" i="44"/>
  <c r="C400" i="44"/>
  <c r="B400" i="44"/>
  <c r="C579" i="44"/>
  <c r="B579" i="44"/>
  <c r="C640" i="44"/>
  <c r="B640" i="44"/>
  <c r="C307" i="44"/>
  <c r="B307" i="44"/>
  <c r="C464" i="44"/>
  <c r="B464" i="44"/>
  <c r="B180" i="44"/>
  <c r="C180" i="44"/>
  <c r="C795" i="44"/>
  <c r="B795" i="44"/>
  <c r="C90" i="44"/>
  <c r="B90" i="44"/>
  <c r="B206" i="44"/>
  <c r="C206" i="44"/>
  <c r="C739" i="44"/>
  <c r="B739" i="44"/>
  <c r="C886" i="44"/>
  <c r="B886" i="44"/>
  <c r="C899" i="44"/>
  <c r="B899" i="44"/>
  <c r="C703" i="44"/>
  <c r="B703" i="44"/>
  <c r="C153" i="44"/>
  <c r="B153" i="44"/>
  <c r="B50" i="44"/>
  <c r="C50" i="44"/>
  <c r="B5" i="44"/>
  <c r="C5" i="44"/>
  <c r="C476" i="44"/>
  <c r="B476" i="44"/>
  <c r="B363" i="44"/>
  <c r="C363" i="44"/>
  <c r="C544" i="44"/>
  <c r="B544" i="44"/>
  <c r="C427" i="44"/>
  <c r="B427" i="44"/>
  <c r="C409" i="44"/>
  <c r="B409" i="44"/>
  <c r="C917" i="44"/>
  <c r="B917" i="44"/>
  <c r="C327" i="44"/>
  <c r="B327" i="44"/>
  <c r="C299" i="44"/>
  <c r="B299" i="44"/>
  <c r="B298" i="44"/>
  <c r="C298" i="44"/>
  <c r="B132" i="44"/>
  <c r="C132" i="44"/>
  <c r="C564" i="44"/>
  <c r="B564" i="44"/>
  <c r="C227" i="44"/>
  <c r="B227" i="44"/>
  <c r="C809" i="44"/>
  <c r="B809" i="44"/>
  <c r="C78" i="44"/>
  <c r="B78" i="44"/>
  <c r="B225" i="44"/>
  <c r="C225" i="44"/>
  <c r="C17" i="44"/>
  <c r="B17" i="44"/>
  <c r="C67" i="44"/>
  <c r="B67" i="44"/>
  <c r="B14" i="44"/>
  <c r="C14" i="44"/>
  <c r="C462" i="44"/>
  <c r="B462" i="44"/>
  <c r="C876" i="44"/>
  <c r="B876" i="44"/>
  <c r="B696" i="44"/>
  <c r="C696" i="44"/>
  <c r="C670" i="44"/>
  <c r="B670" i="44"/>
  <c r="B449" i="44"/>
  <c r="C449" i="44"/>
  <c r="C937" i="44"/>
  <c r="B937" i="44"/>
  <c r="C119" i="44"/>
  <c r="B119" i="44"/>
  <c r="C300" i="44"/>
  <c r="B300" i="44"/>
  <c r="B767" i="44"/>
  <c r="C767" i="44"/>
  <c r="C70" i="44"/>
  <c r="B70" i="44"/>
  <c r="C490" i="44"/>
  <c r="B490" i="44"/>
  <c r="C531" i="44"/>
  <c r="B531" i="44"/>
  <c r="B515" i="44"/>
  <c r="C515" i="44"/>
  <c r="B938" i="44"/>
  <c r="C938" i="44"/>
  <c r="B346" i="44"/>
  <c r="C346" i="44"/>
  <c r="C309" i="44"/>
  <c r="B309" i="44"/>
  <c r="C506" i="44"/>
  <c r="B506" i="44"/>
  <c r="C587" i="44"/>
  <c r="B587" i="44"/>
  <c r="C404" i="44"/>
  <c r="B404" i="44"/>
  <c r="C104" i="44"/>
  <c r="B104" i="44"/>
  <c r="B645" i="44"/>
  <c r="C645" i="44"/>
  <c r="C771" i="44"/>
  <c r="B771" i="44"/>
  <c r="C740" i="44"/>
  <c r="B740" i="44"/>
  <c r="C662" i="44"/>
  <c r="B662" i="44"/>
  <c r="C904" i="44"/>
  <c r="B904" i="44"/>
  <c r="C15" i="44"/>
  <c r="B15" i="44"/>
  <c r="C59" i="44"/>
  <c r="B59" i="44"/>
  <c r="C383" i="44"/>
  <c r="B383" i="44"/>
  <c r="C416" i="44"/>
  <c r="B416" i="44"/>
  <c r="C447" i="44"/>
  <c r="B447" i="44"/>
  <c r="B373" i="44"/>
  <c r="C373" i="44"/>
  <c r="C810" i="44"/>
  <c r="B810" i="44"/>
  <c r="C137" i="44"/>
  <c r="B137" i="44"/>
  <c r="C604" i="44"/>
  <c r="B604" i="44"/>
  <c r="C709" i="44"/>
  <c r="B709" i="44"/>
  <c r="C279" i="44"/>
  <c r="B279" i="44"/>
  <c r="C71" i="44"/>
  <c r="B71" i="44"/>
  <c r="C596" i="44"/>
  <c r="B596" i="44"/>
  <c r="C115" i="44"/>
  <c r="B115" i="44"/>
  <c r="B723" i="44"/>
  <c r="C723" i="44"/>
  <c r="C452" i="44"/>
  <c r="B452" i="44"/>
  <c r="C768" i="44"/>
  <c r="B768" i="44"/>
  <c r="C652" i="44"/>
  <c r="B652" i="44"/>
  <c r="B107" i="44"/>
  <c r="C107" i="44"/>
  <c r="B741" i="44"/>
  <c r="C741" i="44"/>
  <c r="C358" i="44"/>
  <c r="B358" i="44"/>
  <c r="B325" i="44"/>
  <c r="C325" i="44"/>
  <c r="C613" i="44"/>
  <c r="B613" i="44"/>
  <c r="C222" i="44"/>
  <c r="B222" i="44"/>
  <c r="C908" i="44"/>
  <c r="B908" i="44"/>
  <c r="C288" i="44"/>
  <c r="B288" i="44"/>
  <c r="B94" i="44"/>
  <c r="C94" i="44"/>
  <c r="C663" i="44"/>
  <c r="B663" i="44"/>
  <c r="C589" i="44"/>
  <c r="B589" i="44"/>
  <c r="C61" i="44"/>
  <c r="B61" i="44"/>
  <c r="C310" i="44"/>
  <c r="B310" i="44"/>
  <c r="C33" i="44"/>
  <c r="B33" i="44"/>
  <c r="C2" i="44"/>
  <c r="B2" i="44"/>
  <c r="C717" i="44"/>
  <c r="B717" i="44"/>
  <c r="C375" i="44"/>
  <c r="B375" i="44"/>
  <c r="C633" i="44"/>
  <c r="B633" i="44"/>
  <c r="C907" i="44"/>
  <c r="B907" i="44"/>
  <c r="C803" i="44"/>
  <c r="B803" i="44"/>
  <c r="C362" i="44"/>
  <c r="B362" i="44"/>
  <c r="C870" i="44"/>
  <c r="B870" i="44"/>
  <c r="C350" i="44"/>
  <c r="B350" i="44"/>
  <c r="C701" i="44"/>
  <c r="B701" i="44"/>
  <c r="C272" i="44"/>
  <c r="B272" i="44"/>
  <c r="C606" i="44"/>
  <c r="B606" i="44"/>
  <c r="C93" i="44"/>
  <c r="B93" i="44"/>
  <c r="C594" i="44"/>
  <c r="B594" i="44"/>
  <c r="C517" i="44"/>
  <c r="B517" i="44"/>
  <c r="B114" i="44"/>
  <c r="C114" i="44"/>
  <c r="C143" i="44"/>
  <c r="B143" i="44"/>
  <c r="C483" i="44"/>
  <c r="B483" i="44"/>
  <c r="B109" i="44"/>
  <c r="C109" i="44"/>
  <c r="C35" i="44"/>
  <c r="B35" i="44"/>
  <c r="C878" i="44"/>
  <c r="B878" i="44"/>
  <c r="C849" i="44"/>
  <c r="B849" i="44"/>
  <c r="C789" i="44"/>
  <c r="B789" i="44"/>
  <c r="C428" i="44"/>
  <c r="B428" i="44"/>
  <c r="C72" i="44"/>
  <c r="B72" i="44"/>
  <c r="B738" i="44"/>
  <c r="C738" i="44"/>
  <c r="C529" i="44"/>
  <c r="B529" i="44"/>
  <c r="C530" i="44"/>
  <c r="B530" i="44"/>
  <c r="C498" i="44"/>
  <c r="B498" i="44"/>
  <c r="B869" i="44"/>
  <c r="C869" i="44"/>
  <c r="C518" i="44"/>
  <c r="B518" i="44"/>
  <c r="C19" i="44"/>
  <c r="B19" i="44"/>
  <c r="C897" i="44"/>
  <c r="B897" i="44"/>
  <c r="C57" i="44"/>
  <c r="B57" i="44"/>
  <c r="C841" i="44"/>
  <c r="B841" i="44"/>
  <c r="B38" i="44"/>
  <c r="C38" i="44"/>
  <c r="C376" i="44"/>
  <c r="B376" i="44"/>
  <c r="C365" i="44"/>
  <c r="B365" i="44"/>
  <c r="C152" i="44"/>
  <c r="B152" i="44"/>
  <c r="C255" i="44"/>
  <c r="B255" i="44"/>
  <c r="C79" i="44"/>
  <c r="B79" i="44"/>
  <c r="C407" i="44"/>
  <c r="B407" i="44"/>
  <c r="C144" i="44"/>
  <c r="B144" i="44"/>
  <c r="C248" i="44"/>
  <c r="B248" i="44"/>
  <c r="B30" i="44"/>
  <c r="C30" i="44"/>
  <c r="C162" i="44"/>
  <c r="B162" i="44"/>
  <c r="B881" i="44"/>
  <c r="C881" i="44"/>
  <c r="C628" i="44"/>
  <c r="B628" i="44"/>
  <c r="C9" i="44"/>
  <c r="B9" i="44"/>
  <c r="C563" i="44"/>
  <c r="B563" i="44"/>
  <c r="C207" i="44"/>
  <c r="B207" i="44"/>
  <c r="C778" i="44"/>
  <c r="B778" i="44"/>
  <c r="C459" i="44"/>
  <c r="B459" i="44"/>
  <c r="C172" i="44"/>
  <c r="B172" i="44"/>
  <c r="C229" i="44"/>
  <c r="B229" i="44"/>
  <c r="C118" i="44"/>
  <c r="B118" i="44"/>
  <c r="C621" i="44"/>
  <c r="B621" i="44"/>
  <c r="C98" i="44"/>
  <c r="B98" i="44"/>
  <c r="C136" i="44"/>
  <c r="B136" i="44"/>
  <c r="B742" i="44"/>
  <c r="C742" i="44"/>
  <c r="C603" i="44"/>
  <c r="B603" i="44"/>
  <c r="B29" i="44"/>
  <c r="C29" i="44"/>
  <c r="B150" i="44"/>
  <c r="C150" i="44"/>
  <c r="C499" i="44"/>
  <c r="B499" i="44"/>
  <c r="B394" i="44"/>
  <c r="C394" i="44"/>
  <c r="C197" i="44"/>
  <c r="B197" i="44"/>
  <c r="C336" i="44"/>
  <c r="B336" i="44"/>
  <c r="C874" i="44"/>
  <c r="B874" i="44"/>
  <c r="C734" i="44"/>
  <c r="B734" i="44"/>
  <c r="B591" i="44"/>
  <c r="C591" i="44"/>
  <c r="C615" i="44"/>
  <c r="B615" i="44"/>
  <c r="C880" i="44"/>
  <c r="B880" i="44"/>
  <c r="C378" i="44"/>
  <c r="B378" i="44"/>
  <c r="C714" i="44"/>
  <c r="B714" i="44"/>
  <c r="C189" i="44"/>
  <c r="B189" i="44"/>
  <c r="C367" i="44"/>
  <c r="B367" i="44"/>
  <c r="C761" i="44"/>
  <c r="B761" i="44"/>
  <c r="C402" i="44"/>
  <c r="B402" i="44"/>
  <c r="C100" i="44"/>
  <c r="B100" i="44"/>
  <c r="C705" i="44"/>
  <c r="B705" i="44"/>
  <c r="C687" i="44"/>
  <c r="B687" i="44"/>
  <c r="C58" i="44"/>
  <c r="B58" i="44"/>
  <c r="C262" i="44"/>
  <c r="B262" i="44"/>
  <c r="C202" i="44"/>
  <c r="B202" i="44"/>
  <c r="C198" i="44"/>
  <c r="B198" i="44"/>
  <c r="C608" i="44"/>
  <c r="B608" i="44"/>
  <c r="C660" i="44"/>
  <c r="B660" i="44"/>
  <c r="B169" i="44"/>
  <c r="C169" i="44"/>
  <c r="C694" i="44"/>
  <c r="B694" i="44"/>
  <c r="C927" i="44"/>
  <c r="B927" i="44"/>
  <c r="C82" i="44"/>
  <c r="B82" i="44"/>
  <c r="B704" i="44"/>
  <c r="C704" i="44"/>
  <c r="C700" i="44"/>
  <c r="B700" i="44"/>
  <c r="C828" i="44"/>
  <c r="B828" i="44"/>
  <c r="C163" i="44"/>
  <c r="B163" i="44"/>
  <c r="C53" i="44"/>
  <c r="B53" i="44"/>
  <c r="C811" i="44"/>
  <c r="B811" i="44"/>
  <c r="B779" i="44"/>
  <c r="C779" i="44"/>
  <c r="C601" i="44"/>
  <c r="B601" i="44"/>
  <c r="C149" i="44"/>
  <c r="B149" i="44"/>
  <c r="B727" i="44"/>
  <c r="C727" i="44"/>
  <c r="C643" i="44"/>
  <c r="B643" i="44"/>
  <c r="C554" i="44"/>
  <c r="B554" i="44"/>
  <c r="C925" i="44"/>
  <c r="B925" i="44"/>
  <c r="C332" i="44"/>
  <c r="B332" i="44"/>
  <c r="C807" i="44"/>
  <c r="B807" i="44"/>
  <c r="C797" i="44"/>
  <c r="B797" i="44"/>
  <c r="C481" i="44"/>
  <c r="B481" i="44"/>
  <c r="C140" i="44"/>
  <c r="B140" i="44"/>
  <c r="C526" i="44"/>
  <c r="B526" i="44"/>
  <c r="C510" i="44"/>
  <c r="B510" i="44"/>
  <c r="B887" i="44"/>
  <c r="C887" i="44"/>
  <c r="C720" i="44"/>
  <c r="B720" i="44"/>
  <c r="C584" i="44"/>
  <c r="B584" i="44"/>
  <c r="C821" i="44"/>
  <c r="B821" i="44"/>
  <c r="C139" i="44"/>
  <c r="B139" i="44"/>
  <c r="B237" i="44"/>
  <c r="C237" i="44"/>
  <c r="C66" i="44"/>
  <c r="B66" i="44"/>
  <c r="C902" i="44"/>
  <c r="B902" i="44"/>
  <c r="C653" i="44"/>
  <c r="B653" i="44"/>
  <c r="C267" i="44"/>
  <c r="B267" i="44"/>
  <c r="C570" i="44"/>
  <c r="B570" i="44"/>
  <c r="C412" i="44"/>
  <c r="B412" i="44"/>
  <c r="C442" i="44"/>
  <c r="B442" i="44"/>
  <c r="C597" i="44"/>
  <c r="B597" i="44"/>
  <c r="C244" i="44"/>
  <c r="B244" i="44"/>
  <c r="C117" i="44"/>
  <c r="B117" i="44"/>
  <c r="C176" i="44"/>
  <c r="B176" i="44"/>
  <c r="C199" i="44"/>
  <c r="B199" i="44"/>
  <c r="C478" i="44"/>
  <c r="B478" i="44"/>
  <c r="C691" i="44"/>
  <c r="B691" i="44"/>
  <c r="C34" i="44"/>
  <c r="B34" i="44"/>
  <c r="C113" i="44"/>
  <c r="B113" i="44"/>
  <c r="C328" i="44"/>
  <c r="B328" i="44"/>
  <c r="C890" i="44"/>
  <c r="B890" i="44"/>
  <c r="C877" i="44"/>
  <c r="B877" i="44"/>
  <c r="Y34" i="58"/>
  <c r="Y35" i="58" s="1"/>
  <c r="Y36" i="58" s="1"/>
  <c r="B6" i="56"/>
  <c r="D108" i="44"/>
  <c r="A108" i="44"/>
  <c r="D737" i="44"/>
  <c r="A737" i="44"/>
  <c r="D757" i="44"/>
  <c r="A757" i="44"/>
  <c r="D55" i="44"/>
  <c r="A55" i="44"/>
  <c r="D865" i="44"/>
  <c r="A865" i="44"/>
  <c r="D112" i="44"/>
  <c r="A112" i="44"/>
  <c r="D75" i="44"/>
  <c r="A75" i="44"/>
  <c r="D657" i="44"/>
  <c r="A657" i="44"/>
  <c r="D203" i="44"/>
  <c r="A203" i="44"/>
  <c r="D24" i="44"/>
  <c r="A24" i="44"/>
  <c r="D753" i="44"/>
  <c r="A753" i="44"/>
  <c r="D51" i="44"/>
  <c r="A51" i="44"/>
  <c r="D492" i="44"/>
  <c r="A492" i="44"/>
  <c r="D836" i="44"/>
  <c r="A836" i="44"/>
  <c r="D196" i="44"/>
  <c r="A196" i="44"/>
  <c r="D892" i="44"/>
  <c r="A892" i="44"/>
  <c r="D226" i="44"/>
  <c r="A226" i="44"/>
  <c r="D467" i="44"/>
  <c r="A467" i="44"/>
  <c r="D355" i="44"/>
  <c r="A355" i="44"/>
  <c r="D13" i="44"/>
  <c r="A13" i="44"/>
  <c r="D235" i="44"/>
  <c r="A235" i="44"/>
  <c r="D910" i="44"/>
  <c r="A910" i="44"/>
  <c r="D612" i="44"/>
  <c r="A612" i="44"/>
  <c r="D103" i="44"/>
  <c r="A103" i="44"/>
  <c r="D819" i="44"/>
  <c r="A819" i="44"/>
  <c r="D84" i="44"/>
  <c r="A84" i="44"/>
  <c r="D706" i="44"/>
  <c r="A706" i="44"/>
  <c r="D472" i="44"/>
  <c r="A472" i="44"/>
  <c r="D496" i="44"/>
  <c r="A496" i="44"/>
  <c r="D840" i="44"/>
  <c r="A840" i="44"/>
  <c r="D413" i="44"/>
  <c r="A413" i="44"/>
  <c r="D238" i="44"/>
  <c r="A238" i="44"/>
  <c r="D679" i="44"/>
  <c r="A679" i="44"/>
  <c r="D893" i="44"/>
  <c r="A893" i="44"/>
  <c r="D826" i="44"/>
  <c r="A826" i="44"/>
  <c r="D822" i="44"/>
  <c r="A822" i="44"/>
  <c r="D495" i="44"/>
  <c r="A495" i="44"/>
  <c r="D361" i="44"/>
  <c r="A361" i="44"/>
  <c r="D556" i="44"/>
  <c r="A556" i="44"/>
  <c r="D862" i="44"/>
  <c r="A862" i="44"/>
  <c r="D729" i="44"/>
  <c r="A729" i="44"/>
  <c r="D453" i="44"/>
  <c r="A453" i="44"/>
  <c r="D932" i="44"/>
  <c r="A932" i="44"/>
  <c r="D190" i="44"/>
  <c r="A190" i="44"/>
  <c r="D192" i="44"/>
  <c r="A192" i="44"/>
  <c r="D543" i="44"/>
  <c r="A543" i="44"/>
  <c r="D558" i="44"/>
  <c r="A558" i="44"/>
  <c r="D708" i="44"/>
  <c r="A708" i="44"/>
  <c r="D909" i="44"/>
  <c r="A909" i="44"/>
  <c r="D177" i="44"/>
  <c r="A177" i="44"/>
  <c r="D832" i="44"/>
  <c r="A832" i="44"/>
  <c r="D147" i="44"/>
  <c r="A147" i="44"/>
  <c r="D678" i="44"/>
  <c r="A678" i="44"/>
  <c r="D438" i="44"/>
  <c r="A438" i="44"/>
  <c r="D95" i="44"/>
  <c r="A95" i="44"/>
  <c r="D212" i="44"/>
  <c r="A212" i="44"/>
  <c r="D545" i="44"/>
  <c r="A545" i="44"/>
  <c r="D863" i="44"/>
  <c r="A863" i="44"/>
  <c r="D658" i="44"/>
  <c r="A658" i="44"/>
  <c r="D335" i="44"/>
  <c r="A335" i="44"/>
  <c r="D256" i="44"/>
  <c r="A256" i="44"/>
  <c r="D905" i="44"/>
  <c r="A905" i="44"/>
  <c r="D801" i="44"/>
  <c r="A801" i="44"/>
  <c r="D184" i="44"/>
  <c r="A184" i="44"/>
  <c r="D745" i="44"/>
  <c r="A745" i="44"/>
  <c r="D324" i="44"/>
  <c r="A324" i="44"/>
  <c r="D760" i="44"/>
  <c r="A760" i="44"/>
  <c r="D575" i="44"/>
  <c r="A575" i="44"/>
  <c r="D130" i="44"/>
  <c r="A130" i="44"/>
  <c r="D648" i="44"/>
  <c r="A648" i="44"/>
  <c r="D649" i="44"/>
  <c r="A649" i="44"/>
  <c r="D433" i="44"/>
  <c r="A433" i="44"/>
  <c r="D44" i="44"/>
  <c r="A44" i="44"/>
  <c r="D817" i="44"/>
  <c r="A817" i="44"/>
  <c r="D161" i="44"/>
  <c r="A161" i="44"/>
  <c r="D360" i="44"/>
  <c r="A360" i="44"/>
  <c r="D120" i="44"/>
  <c r="A120" i="44"/>
  <c r="D339" i="44"/>
  <c r="A339" i="44"/>
  <c r="D241" i="44"/>
  <c r="A241" i="44"/>
  <c r="D888" i="44"/>
  <c r="A888" i="44"/>
  <c r="D245" i="44"/>
  <c r="A245" i="44"/>
  <c r="D4" i="44"/>
  <c r="A4" i="44"/>
  <c r="D32" i="44"/>
  <c r="A32" i="44"/>
  <c r="D474" i="44"/>
  <c r="A474" i="44"/>
  <c r="D158" i="44"/>
  <c r="A158" i="44"/>
  <c r="D725" i="44"/>
  <c r="A725" i="44"/>
  <c r="D891" i="44"/>
  <c r="A891" i="44"/>
  <c r="D243" i="44"/>
  <c r="A243" i="44"/>
  <c r="D455" i="44"/>
  <c r="A455" i="44"/>
  <c r="D11" i="44"/>
  <c r="A11" i="44"/>
  <c r="D623" i="44"/>
  <c r="A623" i="44"/>
  <c r="D839" i="44"/>
  <c r="A839" i="44"/>
  <c r="D337" i="44"/>
  <c r="A337" i="44"/>
  <c r="D253" i="44"/>
  <c r="A253" i="44"/>
  <c r="D808" i="44"/>
  <c r="A808" i="44"/>
  <c r="D572" i="44"/>
  <c r="A572" i="44"/>
  <c r="D527" i="44"/>
  <c r="A527" i="44"/>
  <c r="D831" i="44"/>
  <c r="A831" i="44"/>
  <c r="D463" i="44"/>
  <c r="A463" i="44"/>
  <c r="D232" i="44"/>
  <c r="A232" i="44"/>
  <c r="D719" i="44"/>
  <c r="A719" i="44"/>
  <c r="D236" i="44"/>
  <c r="A236" i="44"/>
  <c r="D508" i="44"/>
  <c r="A508" i="44"/>
  <c r="D311" i="44"/>
  <c r="A311" i="44"/>
  <c r="D364" i="44"/>
  <c r="A364" i="44"/>
  <c r="D718" i="44"/>
  <c r="A718" i="44"/>
  <c r="D793" i="44"/>
  <c r="A793" i="44"/>
  <c r="D429" i="44"/>
  <c r="A429" i="44"/>
  <c r="D319" i="44"/>
  <c r="A319" i="44"/>
  <c r="D857" i="44"/>
  <c r="A857" i="44"/>
  <c r="D788" i="44"/>
  <c r="A788" i="44"/>
  <c r="D260" i="44"/>
  <c r="A260" i="44"/>
  <c r="D286" i="44"/>
  <c r="A286" i="44"/>
  <c r="D230" i="44"/>
  <c r="A230" i="44"/>
  <c r="D676" i="44"/>
  <c r="A676" i="44"/>
  <c r="D323" i="44"/>
  <c r="A323" i="44"/>
  <c r="D611" i="44"/>
  <c r="A611" i="44"/>
  <c r="D685" i="44"/>
  <c r="A685" i="44"/>
  <c r="D257" i="44"/>
  <c r="A257" i="44"/>
  <c r="D377" i="44"/>
  <c r="A377" i="44"/>
  <c r="D89" i="44"/>
  <c r="A89" i="44"/>
  <c r="D773" i="44"/>
  <c r="A773" i="44"/>
  <c r="D133" i="44"/>
  <c r="A133" i="44"/>
  <c r="D617" i="44"/>
  <c r="A617" i="44"/>
  <c r="D321" i="44"/>
  <c r="A321" i="44"/>
  <c r="D540" i="44"/>
  <c r="A540" i="44"/>
  <c r="D186" i="44"/>
  <c r="A186" i="44"/>
  <c r="D371" i="44"/>
  <c r="A371" i="44"/>
  <c r="D387" i="44"/>
  <c r="A387" i="44"/>
  <c r="D183" i="44"/>
  <c r="A183" i="44"/>
  <c r="D939" i="44"/>
  <c r="A939" i="44"/>
  <c r="D101" i="44"/>
  <c r="A101" i="44"/>
  <c r="D164" i="44"/>
  <c r="A164" i="44"/>
  <c r="D146" i="44"/>
  <c r="A146" i="44"/>
  <c r="D294" i="44"/>
  <c r="A294" i="44"/>
  <c r="D308" i="44"/>
  <c r="A308" i="44"/>
  <c r="D593" i="44"/>
  <c r="A593" i="44"/>
  <c r="D707" i="44"/>
  <c r="A707" i="44"/>
  <c r="D194" i="44"/>
  <c r="A194" i="44"/>
  <c r="D277" i="44"/>
  <c r="A277" i="44"/>
  <c r="D592" i="44"/>
  <c r="A592" i="44"/>
  <c r="D42" i="44"/>
  <c r="A42" i="44"/>
  <c r="D249" i="44"/>
  <c r="A249" i="44"/>
  <c r="D680" i="44"/>
  <c r="A680" i="44"/>
  <c r="D900" i="44"/>
  <c r="A900" i="44"/>
  <c r="D135" i="44"/>
  <c r="A135" i="44"/>
  <c r="D698" i="44"/>
  <c r="A698" i="44"/>
  <c r="D344" i="44"/>
  <c r="A344" i="44"/>
  <c r="D829" i="44"/>
  <c r="A829" i="44"/>
  <c r="D385" i="44"/>
  <c r="A385" i="44"/>
  <c r="D682" i="44"/>
  <c r="A682" i="44"/>
  <c r="D488" i="44"/>
  <c r="A488" i="44"/>
  <c r="D501" i="44"/>
  <c r="A501" i="44"/>
  <c r="D281" i="44"/>
  <c r="A281" i="44"/>
  <c r="D36" i="44"/>
  <c r="A36" i="44"/>
  <c r="D424" i="44"/>
  <c r="A424" i="44"/>
  <c r="D634" i="44"/>
  <c r="A634" i="44"/>
  <c r="D258" i="44"/>
  <c r="A258" i="44"/>
  <c r="D668" i="44"/>
  <c r="A668" i="44"/>
  <c r="D370" i="44"/>
  <c r="A370" i="44"/>
  <c r="D922" i="44"/>
  <c r="A922" i="44"/>
  <c r="D571" i="44"/>
  <c r="A571" i="44"/>
  <c r="D436" i="44"/>
  <c r="A436" i="44"/>
  <c r="D265" i="44"/>
  <c r="A265" i="44"/>
  <c r="D512" i="44"/>
  <c r="A512" i="44"/>
  <c r="D569" i="44"/>
  <c r="A569" i="44"/>
  <c r="D716" i="44"/>
  <c r="A716" i="44"/>
  <c r="D647" i="44"/>
  <c r="A647" i="44"/>
  <c r="D911" i="44"/>
  <c r="A911" i="44"/>
  <c r="D392" i="44"/>
  <c r="A392" i="44"/>
  <c r="D586" i="44"/>
  <c r="A586" i="44"/>
  <c r="D763" i="44"/>
  <c r="A763" i="44"/>
  <c r="D930" i="44"/>
  <c r="A930" i="44"/>
  <c r="D295" i="44"/>
  <c r="A295" i="44"/>
  <c r="D625" i="44"/>
  <c r="A625" i="44"/>
  <c r="D616" i="44"/>
  <c r="A616" i="44"/>
  <c r="D786" i="44"/>
  <c r="A786" i="44"/>
  <c r="D201" i="44"/>
  <c r="A201" i="44"/>
  <c r="D674" i="44"/>
  <c r="A674" i="44"/>
  <c r="D477" i="44"/>
  <c r="A477" i="44"/>
  <c r="D185" i="44"/>
  <c r="A185" i="44"/>
  <c r="D246" i="44"/>
  <c r="A246" i="44"/>
  <c r="D181" i="44"/>
  <c r="A181" i="44"/>
  <c r="D62" i="44"/>
  <c r="A62" i="44"/>
  <c r="D250" i="44"/>
  <c r="A250" i="44"/>
  <c r="D895" i="44"/>
  <c r="A895" i="44"/>
  <c r="D654" i="44"/>
  <c r="A654" i="44"/>
  <c r="D381" i="44"/>
  <c r="A381" i="44"/>
  <c r="D175" i="44"/>
  <c r="A175" i="44"/>
  <c r="D664" i="44"/>
  <c r="A664" i="44"/>
  <c r="D37" i="44"/>
  <c r="A37" i="44"/>
  <c r="D348" i="44"/>
  <c r="A348" i="44"/>
  <c r="D155" i="44"/>
  <c r="A155" i="44"/>
  <c r="D224" i="44"/>
  <c r="A224" i="44"/>
  <c r="D695" i="44"/>
  <c r="A695" i="44"/>
  <c r="D268" i="44"/>
  <c r="A268" i="44"/>
  <c r="D913" i="44"/>
  <c r="A913" i="44"/>
  <c r="D159" i="44"/>
  <c r="A159" i="44"/>
  <c r="D352" i="44"/>
  <c r="A352" i="44"/>
  <c r="D56" i="44"/>
  <c r="A56" i="44"/>
  <c r="D18" i="44"/>
  <c r="A18" i="44"/>
  <c r="D936" i="44"/>
  <c r="A936" i="44"/>
  <c r="D864" i="44"/>
  <c r="A864" i="44"/>
  <c r="D525" i="44"/>
  <c r="A525" i="44"/>
  <c r="D536" i="44"/>
  <c r="A536" i="44"/>
  <c r="D240" i="44"/>
  <c r="A240" i="44"/>
  <c r="D622" i="44"/>
  <c r="A622" i="44"/>
  <c r="D867" i="44"/>
  <c r="A867" i="44"/>
  <c r="D393" i="44"/>
  <c r="A393" i="44"/>
  <c r="D200" i="44"/>
  <c r="A200" i="44"/>
  <c r="D403" i="44"/>
  <c r="A403" i="44"/>
  <c r="D303" i="44"/>
  <c r="A303" i="44"/>
  <c r="D577" i="44"/>
  <c r="A577" i="44"/>
  <c r="D677" i="44"/>
  <c r="A677" i="44"/>
  <c r="D514" i="44"/>
  <c r="A514" i="44"/>
  <c r="D264" i="44"/>
  <c r="A264" i="44"/>
  <c r="D688" i="44"/>
  <c r="A688" i="44"/>
  <c r="D748" i="44"/>
  <c r="A748" i="44"/>
  <c r="D534" i="44"/>
  <c r="A534" i="44"/>
  <c r="D754" i="44"/>
  <c r="A754" i="44"/>
  <c r="D835" i="44"/>
  <c r="A835" i="44"/>
  <c r="D669" i="44"/>
  <c r="A669" i="44"/>
  <c r="D538" i="44"/>
  <c r="A538" i="44"/>
  <c r="D561" i="44"/>
  <c r="A561" i="44"/>
  <c r="D320" i="44"/>
  <c r="A320" i="44"/>
  <c r="D931" i="44"/>
  <c r="A931" i="44"/>
  <c r="D787" i="44"/>
  <c r="A787" i="44"/>
  <c r="D86" i="44"/>
  <c r="A86" i="44"/>
  <c r="D283" i="44"/>
  <c r="A283" i="44"/>
  <c r="D401" i="44"/>
  <c r="A401" i="44"/>
  <c r="D715" i="44"/>
  <c r="A715" i="44"/>
  <c r="D276" i="44"/>
  <c r="A276" i="44"/>
  <c r="D466" i="44"/>
  <c r="A466" i="44"/>
  <c r="D80" i="44"/>
  <c r="A80" i="44"/>
  <c r="D426" i="44"/>
  <c r="A426" i="44"/>
  <c r="D500" i="44"/>
  <c r="A500" i="44"/>
  <c r="D138" i="44"/>
  <c r="A138" i="44"/>
  <c r="D179" i="44"/>
  <c r="A179" i="44"/>
  <c r="D523" i="44"/>
  <c r="A523" i="44"/>
  <c r="D661" i="44"/>
  <c r="A661" i="44"/>
  <c r="D233" i="44"/>
  <c r="A233" i="44"/>
  <c r="D21" i="44"/>
  <c r="A21" i="44"/>
  <c r="D935" i="44"/>
  <c r="A935" i="44"/>
  <c r="D692" i="44"/>
  <c r="A692" i="44"/>
  <c r="D354" i="44"/>
  <c r="A354" i="44"/>
  <c r="D651" i="44"/>
  <c r="A651" i="44"/>
  <c r="D148" i="44"/>
  <c r="A148" i="44"/>
  <c r="D282" i="44"/>
  <c r="A282" i="44"/>
  <c r="D293" i="44"/>
  <c r="A293" i="44"/>
  <c r="D423" i="44"/>
  <c r="A423" i="44"/>
  <c r="D494" i="44"/>
  <c r="A494" i="44"/>
  <c r="D49" i="44"/>
  <c r="A49" i="44"/>
  <c r="D28" i="44"/>
  <c r="A28" i="44"/>
  <c r="D722" i="44"/>
  <c r="A722" i="44"/>
  <c r="D461" i="44"/>
  <c r="A461" i="44"/>
  <c r="D292" i="44"/>
  <c r="A292" i="44"/>
  <c r="D156" i="44"/>
  <c r="A156" i="44"/>
  <c r="D228" i="44"/>
  <c r="A228" i="44"/>
  <c r="D573" i="44"/>
  <c r="A573" i="44"/>
  <c r="D855" i="44"/>
  <c r="A855" i="44"/>
  <c r="D270" i="44"/>
  <c r="A270" i="44"/>
  <c r="D389" i="44"/>
  <c r="A389" i="44"/>
  <c r="D747" i="44"/>
  <c r="A747" i="44"/>
  <c r="D444" i="44"/>
  <c r="A444" i="44"/>
  <c r="D411" i="44"/>
  <c r="A411" i="44"/>
  <c r="D736" i="44"/>
  <c r="A736" i="44"/>
  <c r="D195" i="44"/>
  <c r="A195" i="44"/>
  <c r="D12" i="44"/>
  <c r="A12" i="44"/>
  <c r="D384" i="44"/>
  <c r="A384" i="44"/>
  <c r="D165" i="44"/>
  <c r="A165" i="44"/>
  <c r="D710" i="44"/>
  <c r="A710" i="44"/>
  <c r="D524" i="44"/>
  <c r="A524" i="44"/>
  <c r="D333" i="44"/>
  <c r="A333" i="44"/>
  <c r="D848" i="44"/>
  <c r="A848" i="44"/>
  <c r="D205" i="44"/>
  <c r="A205" i="44"/>
  <c r="D726" i="44"/>
  <c r="A726" i="44"/>
  <c r="D802" i="44"/>
  <c r="A802" i="44"/>
  <c r="D417" i="44"/>
  <c r="A417" i="44"/>
  <c r="D470" i="44"/>
  <c r="A470" i="44"/>
  <c r="D502" i="44"/>
  <c r="A502" i="44"/>
  <c r="D666" i="44"/>
  <c r="A666" i="44"/>
  <c r="D125" i="44"/>
  <c r="A125" i="44"/>
  <c r="D641" i="44"/>
  <c r="A641" i="44"/>
  <c r="D96" i="44"/>
  <c r="A96" i="44"/>
  <c r="D274" i="44"/>
  <c r="A274" i="44"/>
  <c r="D191" i="44"/>
  <c r="A191" i="44"/>
  <c r="D315" i="44"/>
  <c r="A315" i="44"/>
  <c r="D918" i="44"/>
  <c r="A918" i="44"/>
  <c r="D420" i="44"/>
  <c r="A420" i="44"/>
  <c r="D414" i="44"/>
  <c r="A414" i="44"/>
  <c r="D693" i="44"/>
  <c r="A693" i="44"/>
  <c r="D894" i="44"/>
  <c r="A894" i="44"/>
  <c r="D656" i="44"/>
  <c r="A656" i="44"/>
  <c r="D671" i="44"/>
  <c r="A671" i="44"/>
  <c r="D129" i="44"/>
  <c r="A129" i="44"/>
  <c r="D618" i="44"/>
  <c r="A618" i="44"/>
  <c r="D650" i="44"/>
  <c r="A650" i="44"/>
  <c r="D273" i="44"/>
  <c r="A273" i="44"/>
  <c r="D209" i="44"/>
  <c r="A209" i="44"/>
  <c r="D642" i="44"/>
  <c r="A642" i="44"/>
  <c r="D454" i="44"/>
  <c r="A454" i="44"/>
  <c r="D520" i="44"/>
  <c r="A520" i="44"/>
  <c r="D879" i="44"/>
  <c r="A879" i="44"/>
  <c r="D735" i="44"/>
  <c r="A735" i="44"/>
  <c r="D846" i="44"/>
  <c r="A846" i="44"/>
  <c r="D110" i="44"/>
  <c r="A110" i="44"/>
  <c r="D41" i="44"/>
  <c r="A41" i="44"/>
  <c r="D724" i="44"/>
  <c r="A724" i="44"/>
  <c r="D386" i="44"/>
  <c r="A386" i="44"/>
  <c r="D171" i="44"/>
  <c r="A171" i="44"/>
  <c r="D69" i="44"/>
  <c r="A69" i="44"/>
  <c r="D341" i="44"/>
  <c r="A341" i="44"/>
  <c r="D858" i="44"/>
  <c r="A858" i="44"/>
  <c r="D799" i="44"/>
  <c r="A799" i="44"/>
  <c r="D343" i="44"/>
  <c r="A343" i="44"/>
  <c r="D23" i="44"/>
  <c r="A23" i="44"/>
  <c r="D330" i="44"/>
  <c r="A330" i="44"/>
  <c r="D31" i="44"/>
  <c r="A31" i="44"/>
  <c r="D322" i="44"/>
  <c r="A322" i="44"/>
  <c r="D221" i="44"/>
  <c r="A221" i="44"/>
  <c r="D800" i="44"/>
  <c r="A800" i="44"/>
  <c r="D313" i="44"/>
  <c r="A313" i="44"/>
  <c r="D689" i="44"/>
  <c r="A689" i="44"/>
  <c r="D91" i="44"/>
  <c r="A91" i="44"/>
  <c r="D7" i="44"/>
  <c r="A7" i="44"/>
  <c r="D770" i="44"/>
  <c r="A770" i="44"/>
  <c r="D559" i="44"/>
  <c r="A559" i="44"/>
  <c r="D116" i="44"/>
  <c r="A116" i="44"/>
  <c r="D497" i="44"/>
  <c r="A497" i="44"/>
  <c r="D208" i="44"/>
  <c r="A208" i="44"/>
  <c r="D266" i="44"/>
  <c r="A266" i="44"/>
  <c r="D872" i="44"/>
  <c r="A872" i="44"/>
  <c r="D214" i="44"/>
  <c r="A214" i="44"/>
  <c r="D65" i="44"/>
  <c r="A65" i="44"/>
  <c r="D121" i="44"/>
  <c r="A121" i="44"/>
  <c r="D920" i="44"/>
  <c r="A920" i="44"/>
  <c r="D638" i="44"/>
  <c r="A638" i="44"/>
  <c r="D216" i="44"/>
  <c r="A216" i="44"/>
  <c r="D766" i="44"/>
  <c r="A766" i="44"/>
  <c r="D690" i="44"/>
  <c r="A690" i="44"/>
  <c r="D882" i="44"/>
  <c r="A882" i="44"/>
  <c r="D482" i="44"/>
  <c r="A482" i="44"/>
  <c r="D635" i="44"/>
  <c r="A635" i="44"/>
  <c r="D632" i="44"/>
  <c r="A632" i="44"/>
  <c r="D374" i="44"/>
  <c r="A374" i="44"/>
  <c r="D441" i="44"/>
  <c r="A441" i="44"/>
  <c r="D684" i="44"/>
  <c r="A684" i="44"/>
  <c r="D626" i="44"/>
  <c r="A626" i="44"/>
  <c r="D131" i="44"/>
  <c r="A131" i="44"/>
  <c r="D624" i="44"/>
  <c r="A624" i="44"/>
  <c r="D106" i="44"/>
  <c r="A106" i="44"/>
  <c r="D271" i="44"/>
  <c r="A271" i="44"/>
  <c r="D588" i="44"/>
  <c r="A588" i="44"/>
  <c r="D340" i="44"/>
  <c r="A340" i="44"/>
  <c r="D837" i="44"/>
  <c r="A837" i="44"/>
  <c r="D834" i="44"/>
  <c r="A834" i="44"/>
  <c r="D451" i="44"/>
  <c r="A451" i="44"/>
  <c r="D759" i="44"/>
  <c r="A759" i="44"/>
  <c r="D418" i="44"/>
  <c r="A418" i="44"/>
  <c r="D631" i="44"/>
  <c r="A631" i="44"/>
  <c r="D568" i="44"/>
  <c r="A568" i="44"/>
  <c r="D174" i="44"/>
  <c r="A174" i="44"/>
  <c r="D359" i="44"/>
  <c r="A359" i="44"/>
  <c r="D290" i="44"/>
  <c r="A290" i="44"/>
  <c r="D43" i="44"/>
  <c r="A43" i="44"/>
  <c r="D105" i="44"/>
  <c r="A105" i="44"/>
  <c r="D646" i="44"/>
  <c r="A646" i="44"/>
  <c r="D827" i="44"/>
  <c r="A827" i="44"/>
  <c r="D408" i="44"/>
  <c r="A408" i="44"/>
  <c r="D620" i="44"/>
  <c r="A620" i="44"/>
  <c r="D511" i="44"/>
  <c r="A511" i="44"/>
  <c r="D291" i="44"/>
  <c r="A291" i="44"/>
  <c r="D598" i="44"/>
  <c r="A598" i="44"/>
  <c r="D458" i="44"/>
  <c r="A458" i="44"/>
  <c r="D697" i="44"/>
  <c r="A697" i="44"/>
  <c r="D68" i="44"/>
  <c r="A68" i="44"/>
  <c r="D134" i="44"/>
  <c r="A134" i="44"/>
  <c r="D609" i="44"/>
  <c r="A609" i="44"/>
  <c r="D219" i="44"/>
  <c r="A219" i="44"/>
  <c r="D456" i="44"/>
  <c r="A456" i="44"/>
  <c r="D443" i="44"/>
  <c r="A443" i="44"/>
  <c r="D380" i="44"/>
  <c r="A380" i="44"/>
  <c r="D275" i="44"/>
  <c r="A275" i="44"/>
  <c r="D431" i="44"/>
  <c r="A431" i="44"/>
  <c r="D312" i="44"/>
  <c r="A312" i="44"/>
  <c r="D919" i="44"/>
  <c r="A919" i="44"/>
  <c r="D128" i="44"/>
  <c r="A128" i="44"/>
  <c r="D673" i="44"/>
  <c r="A673" i="44"/>
  <c r="D446" i="44"/>
  <c r="A446" i="44"/>
  <c r="D485" i="44"/>
  <c r="A485" i="44"/>
  <c r="D204" i="44"/>
  <c r="A204" i="44"/>
  <c r="D471" i="44"/>
  <c r="A471" i="44"/>
  <c r="D602" i="44"/>
  <c r="A602" i="44"/>
  <c r="D929" i="44"/>
  <c r="A929" i="44"/>
  <c r="D218" i="44"/>
  <c r="A218" i="44"/>
  <c r="D675" i="44"/>
  <c r="A675" i="44"/>
  <c r="D85" i="44"/>
  <c r="A85" i="44"/>
  <c r="D366" i="44"/>
  <c r="A366" i="44"/>
  <c r="D583" i="44"/>
  <c r="A583" i="44"/>
  <c r="D713" i="44"/>
  <c r="A713" i="44"/>
  <c r="D639" i="44"/>
  <c r="A639" i="44"/>
  <c r="D396" i="44"/>
  <c r="A396" i="44"/>
  <c r="D504" i="44"/>
  <c r="A504" i="44"/>
  <c r="D391" i="44"/>
  <c r="A391" i="44"/>
  <c r="D182" i="44"/>
  <c r="A182" i="44"/>
  <c r="D154" i="44"/>
  <c r="A154" i="44"/>
  <c r="D619" i="44"/>
  <c r="A619" i="44"/>
  <c r="D746" i="44"/>
  <c r="A746" i="44"/>
  <c r="D187" i="44"/>
  <c r="A187" i="44"/>
  <c r="D368" i="44"/>
  <c r="A368" i="44"/>
  <c r="D486" i="44"/>
  <c r="A486" i="44"/>
  <c r="D681" i="44"/>
  <c r="A681" i="44"/>
  <c r="D435" i="44"/>
  <c r="C435" i="44" s="1"/>
  <c r="A435" i="44"/>
  <c r="D126" i="44"/>
  <c r="A126" i="44"/>
  <c r="D480" i="44"/>
  <c r="A480" i="44"/>
  <c r="D421" i="44"/>
  <c r="A421" i="44"/>
  <c r="D469" i="44"/>
  <c r="A469" i="44"/>
  <c r="D749" i="44"/>
  <c r="A749" i="44"/>
  <c r="D732" i="44"/>
  <c r="A732" i="44"/>
  <c r="D217" i="44"/>
  <c r="A217" i="44"/>
  <c r="D665" i="44"/>
  <c r="A665" i="44"/>
  <c r="D769" i="44"/>
  <c r="A769" i="44"/>
  <c r="D547" i="44"/>
  <c r="A547" i="44"/>
  <c r="D777" i="44"/>
  <c r="A777" i="44"/>
  <c r="D783" i="44"/>
  <c r="A783" i="44"/>
  <c r="D347" i="44"/>
  <c r="A347" i="44"/>
  <c r="D349" i="44"/>
  <c r="A349" i="44"/>
  <c r="D516" i="44"/>
  <c r="A516" i="44"/>
  <c r="D382" i="44"/>
  <c r="A382" i="44"/>
  <c r="D644" i="44"/>
  <c r="A644" i="44"/>
  <c r="D314" i="44"/>
  <c r="A314" i="44"/>
  <c r="D284" i="44"/>
  <c r="A284" i="44"/>
  <c r="D542" i="44"/>
  <c r="A542" i="44"/>
  <c r="D406" i="44"/>
  <c r="A406" i="44"/>
  <c r="D448" i="44"/>
  <c r="A448" i="44"/>
  <c r="D896" i="44"/>
  <c r="A896" i="44"/>
  <c r="D752" i="44"/>
  <c r="A752" i="44"/>
  <c r="D64" i="44"/>
  <c r="A64" i="44"/>
  <c r="D419" i="44"/>
  <c r="A419" i="44"/>
  <c r="D74" i="44"/>
  <c r="A74" i="44"/>
  <c r="D345" i="44"/>
  <c r="A345" i="44"/>
  <c r="D565" i="44"/>
  <c r="A565" i="44"/>
  <c r="D27" i="44"/>
  <c r="A27" i="44"/>
  <c r="D142" i="44"/>
  <c r="A142" i="44"/>
  <c r="D605" i="44"/>
  <c r="A605" i="44"/>
  <c r="D784" i="44"/>
  <c r="A784" i="44"/>
  <c r="D287" i="44"/>
  <c r="A287" i="44"/>
  <c r="D60" i="44"/>
  <c r="A60" i="44"/>
  <c r="D489" i="44"/>
  <c r="A489" i="44"/>
  <c r="D111" i="44"/>
  <c r="A111" i="44"/>
  <c r="D659" i="44"/>
  <c r="A659" i="44"/>
  <c r="D123" i="44"/>
  <c r="A123" i="44"/>
  <c r="D820" i="44"/>
  <c r="A820" i="44"/>
  <c r="D47" i="44"/>
  <c r="A47" i="44"/>
  <c r="D906" i="44"/>
  <c r="A906" i="44"/>
  <c r="D755" i="44"/>
  <c r="A755" i="44"/>
  <c r="D537" i="44"/>
  <c r="A537" i="44"/>
  <c r="D388" i="44"/>
  <c r="A388" i="44"/>
  <c r="D585" i="44"/>
  <c r="A585" i="44"/>
  <c r="D63" i="44"/>
  <c r="A63" i="44"/>
  <c r="D560" i="44"/>
  <c r="A560" i="44"/>
  <c r="D775" i="44"/>
  <c r="A775" i="44"/>
  <c r="D25" i="44"/>
  <c r="A25" i="44"/>
  <c r="D351" i="44"/>
  <c r="A351" i="44"/>
  <c r="D151" i="44"/>
  <c r="A151" i="44"/>
  <c r="D166" i="44"/>
  <c r="A166" i="44"/>
  <c r="D10" i="44"/>
  <c r="A10" i="44"/>
  <c r="D52" i="44"/>
  <c r="A52" i="44"/>
  <c r="D8" i="44"/>
  <c r="A8" i="44"/>
  <c r="D555" i="44"/>
  <c r="A555" i="44"/>
  <c r="D866" i="44"/>
  <c r="A866" i="44"/>
  <c r="D145" i="44"/>
  <c r="A145" i="44"/>
  <c r="D20" i="44"/>
  <c r="A20" i="44"/>
  <c r="D297" i="44"/>
  <c r="A297" i="44"/>
  <c r="D331" i="44"/>
  <c r="A331" i="44"/>
  <c r="D73" i="44"/>
  <c r="A73" i="44"/>
  <c r="D553" i="44"/>
  <c r="A553" i="44"/>
  <c r="D630" i="44"/>
  <c r="A630" i="44"/>
  <c r="D806" i="44"/>
  <c r="A806" i="44"/>
  <c r="D859" i="44"/>
  <c r="A859" i="44"/>
  <c r="D522" i="44"/>
  <c r="A522" i="44"/>
  <c r="D54" i="44"/>
  <c r="A54" i="44"/>
  <c r="D317" i="44"/>
  <c r="A317" i="44"/>
  <c r="D122" i="44"/>
  <c r="A122" i="44"/>
  <c r="D318" i="44"/>
  <c r="A318" i="44"/>
  <c r="D285" i="44"/>
  <c r="A285" i="44"/>
  <c r="D487" i="44"/>
  <c r="A487" i="44"/>
  <c r="D479" i="44"/>
  <c r="A479" i="44"/>
  <c r="D814" i="44"/>
  <c r="A814" i="44"/>
  <c r="D548" i="44"/>
  <c r="A548" i="44"/>
  <c r="D614" i="44"/>
  <c r="A614" i="44"/>
  <c r="D353" i="44"/>
  <c r="A353" i="44"/>
  <c r="D574" i="44"/>
  <c r="A574" i="44"/>
  <c r="D743" i="44"/>
  <c r="A743" i="44"/>
  <c r="D83" i="44"/>
  <c r="A83" i="44"/>
  <c r="D269" i="44"/>
  <c r="A269" i="44"/>
  <c r="D296" i="44"/>
  <c r="A296" i="44"/>
  <c r="D730" i="44"/>
  <c r="A730" i="44"/>
  <c r="D790" i="44"/>
  <c r="A790" i="44"/>
  <c r="D306" i="44"/>
  <c r="A306" i="44"/>
  <c r="D22" i="44"/>
  <c r="A22" i="44"/>
  <c r="C83" i="44" l="1"/>
  <c r="B83" i="44"/>
  <c r="C614" i="44"/>
  <c r="B614" i="44"/>
  <c r="C806" i="44"/>
  <c r="B806" i="44"/>
  <c r="C10" i="44"/>
  <c r="B10" i="44"/>
  <c r="C906" i="44"/>
  <c r="B906" i="44"/>
  <c r="B27" i="44"/>
  <c r="C27" i="44"/>
  <c r="B349" i="44"/>
  <c r="C349" i="44"/>
  <c r="C480" i="44"/>
  <c r="B480" i="44"/>
  <c r="B619" i="44"/>
  <c r="C619" i="44"/>
  <c r="C583" i="44"/>
  <c r="B583" i="44"/>
  <c r="C128" i="44"/>
  <c r="B128" i="44"/>
  <c r="C697" i="44"/>
  <c r="B697" i="44"/>
  <c r="C359" i="44"/>
  <c r="B359" i="44"/>
  <c r="C837" i="44"/>
  <c r="B837" i="44"/>
  <c r="B684" i="44"/>
  <c r="C684" i="44"/>
  <c r="B121" i="44"/>
  <c r="C121" i="44"/>
  <c r="C689" i="44"/>
  <c r="B689" i="44"/>
  <c r="B69" i="44"/>
  <c r="C69" i="44"/>
  <c r="C209" i="44"/>
  <c r="B209" i="44"/>
  <c r="C315" i="44"/>
  <c r="B315" i="44"/>
  <c r="C205" i="44"/>
  <c r="B205" i="44"/>
  <c r="C195" i="44"/>
  <c r="B195" i="44"/>
  <c r="C573" i="44"/>
  <c r="B573" i="44"/>
  <c r="C148" i="44"/>
  <c r="B148" i="44"/>
  <c r="C500" i="44"/>
  <c r="B500" i="44"/>
  <c r="C561" i="44"/>
  <c r="B561" i="44"/>
  <c r="C303" i="44"/>
  <c r="B303" i="44"/>
  <c r="B268" i="44"/>
  <c r="C268" i="44"/>
  <c r="C381" i="44"/>
  <c r="B381" i="44"/>
  <c r="C616" i="44"/>
  <c r="B616" i="44"/>
  <c r="B647" i="44"/>
  <c r="C647" i="44"/>
  <c r="C634" i="44"/>
  <c r="B634" i="44"/>
  <c r="C900" i="44"/>
  <c r="B900" i="44"/>
  <c r="C164" i="44"/>
  <c r="B164" i="44"/>
  <c r="C773" i="44"/>
  <c r="B773" i="44"/>
  <c r="C230" i="44"/>
  <c r="B230" i="44"/>
  <c r="C236" i="44"/>
  <c r="B236" i="44"/>
  <c r="C11" i="44"/>
  <c r="B11" i="44"/>
  <c r="C339" i="44"/>
  <c r="B339" i="44"/>
  <c r="C649" i="44"/>
  <c r="B649" i="44"/>
  <c r="B658" i="44"/>
  <c r="C658" i="44"/>
  <c r="C556" i="44"/>
  <c r="B556" i="44"/>
  <c r="C472" i="44"/>
  <c r="B472" i="44"/>
  <c r="C235" i="44"/>
  <c r="B235" i="44"/>
  <c r="C203" i="44"/>
  <c r="B203" i="44"/>
  <c r="C108" i="44"/>
  <c r="B108" i="44"/>
  <c r="B743" i="44"/>
  <c r="C743" i="44"/>
  <c r="C285" i="44"/>
  <c r="B285" i="44"/>
  <c r="B630" i="44"/>
  <c r="C630" i="44"/>
  <c r="C555" i="44"/>
  <c r="B555" i="44"/>
  <c r="C775" i="44"/>
  <c r="B775" i="44"/>
  <c r="C47" i="44"/>
  <c r="B47" i="44"/>
  <c r="C784" i="44"/>
  <c r="B784" i="44"/>
  <c r="B64" i="44"/>
  <c r="C64" i="44"/>
  <c r="C644" i="44"/>
  <c r="B644" i="44"/>
  <c r="C347" i="44"/>
  <c r="B347" i="44"/>
  <c r="B749" i="44"/>
  <c r="C749" i="44"/>
  <c r="C368" i="44"/>
  <c r="B368" i="44"/>
  <c r="B396" i="44"/>
  <c r="C396" i="44"/>
  <c r="C929" i="44"/>
  <c r="B929" i="44"/>
  <c r="C919" i="44"/>
  <c r="B919" i="44"/>
  <c r="B458" i="44"/>
  <c r="C458" i="44"/>
  <c r="C620" i="44"/>
  <c r="B620" i="44"/>
  <c r="C759" i="44"/>
  <c r="B759" i="44"/>
  <c r="C624" i="44"/>
  <c r="B624" i="44"/>
  <c r="C482" i="44"/>
  <c r="B482" i="44"/>
  <c r="C65" i="44"/>
  <c r="B65" i="44"/>
  <c r="C313" i="44"/>
  <c r="B313" i="44"/>
  <c r="C31" i="44"/>
  <c r="B31" i="44"/>
  <c r="C171" i="44"/>
  <c r="B171" i="44"/>
  <c r="C520" i="44"/>
  <c r="B520" i="44"/>
  <c r="B671" i="44"/>
  <c r="C671" i="44"/>
  <c r="B191" i="44"/>
  <c r="C191" i="44"/>
  <c r="C417" i="44"/>
  <c r="B417" i="44"/>
  <c r="C165" i="44"/>
  <c r="B165" i="44"/>
  <c r="C389" i="44"/>
  <c r="B389" i="44"/>
  <c r="C722" i="44"/>
  <c r="B722" i="44"/>
  <c r="B651" i="44"/>
  <c r="C651" i="44"/>
  <c r="C523" i="44"/>
  <c r="B523" i="44"/>
  <c r="C715" i="44"/>
  <c r="B715" i="44"/>
  <c r="C538" i="44"/>
  <c r="B538" i="44"/>
  <c r="C514" i="44"/>
  <c r="B514" i="44"/>
  <c r="C622" i="44"/>
  <c r="B622" i="44"/>
  <c r="B352" i="44"/>
  <c r="C352" i="44"/>
  <c r="C37" i="44"/>
  <c r="B37" i="44"/>
  <c r="C181" i="44"/>
  <c r="B181" i="44"/>
  <c r="C625" i="44"/>
  <c r="B625" i="44"/>
  <c r="C716" i="44"/>
  <c r="B716" i="44"/>
  <c r="C370" i="44"/>
  <c r="B370" i="44"/>
  <c r="C488" i="44"/>
  <c r="B488" i="44"/>
  <c r="C344" i="44"/>
  <c r="B344" i="44"/>
  <c r="C277" i="44"/>
  <c r="B277" i="44"/>
  <c r="C101" i="44"/>
  <c r="B101" i="44"/>
  <c r="C617" i="44"/>
  <c r="B617" i="44"/>
  <c r="B89" i="44"/>
  <c r="C89" i="44"/>
  <c r="C319" i="44"/>
  <c r="B319" i="44"/>
  <c r="C719" i="44"/>
  <c r="B719" i="44"/>
  <c r="B337" i="44"/>
  <c r="C337" i="44"/>
  <c r="C158" i="44"/>
  <c r="B158" i="44"/>
  <c r="C120" i="44"/>
  <c r="B120" i="44"/>
  <c r="C648" i="44"/>
  <c r="B648" i="44"/>
  <c r="C905" i="44"/>
  <c r="B905" i="44"/>
  <c r="B438" i="44"/>
  <c r="C438" i="44"/>
  <c r="C543" i="44"/>
  <c r="B543" i="44"/>
  <c r="C453" i="44"/>
  <c r="B453" i="44"/>
  <c r="C361" i="44"/>
  <c r="B361" i="44"/>
  <c r="C893" i="44"/>
  <c r="B893" i="44"/>
  <c r="B103" i="44"/>
  <c r="C103" i="44"/>
  <c r="C13" i="44"/>
  <c r="B13" i="44"/>
  <c r="C51" i="44"/>
  <c r="B51" i="44"/>
  <c r="C657" i="44"/>
  <c r="B657" i="44"/>
  <c r="B55" i="44"/>
  <c r="C55" i="44"/>
  <c r="C317" i="44"/>
  <c r="B317" i="44"/>
  <c r="C866" i="44"/>
  <c r="B866" i="44"/>
  <c r="C25" i="44"/>
  <c r="B25" i="44"/>
  <c r="C287" i="44"/>
  <c r="B287" i="44"/>
  <c r="C448" i="44"/>
  <c r="B448" i="44"/>
  <c r="C547" i="44"/>
  <c r="B547" i="44"/>
  <c r="C486" i="44"/>
  <c r="B486" i="44"/>
  <c r="C218" i="44"/>
  <c r="B218" i="44"/>
  <c r="B275" i="44"/>
  <c r="C275" i="44"/>
  <c r="C511" i="44"/>
  <c r="B511" i="44"/>
  <c r="C418" i="44"/>
  <c r="B418" i="44"/>
  <c r="C635" i="44"/>
  <c r="B635" i="44"/>
  <c r="C559" i="44"/>
  <c r="B559" i="44"/>
  <c r="C343" i="44"/>
  <c r="B343" i="44"/>
  <c r="C41" i="44"/>
  <c r="B41" i="44"/>
  <c r="C693" i="44"/>
  <c r="B693" i="44"/>
  <c r="C470" i="44"/>
  <c r="B470" i="44"/>
  <c r="C710" i="44"/>
  <c r="B710" i="44"/>
  <c r="C461" i="44"/>
  <c r="B461" i="44"/>
  <c r="C935" i="44"/>
  <c r="B935" i="44"/>
  <c r="C86" i="44"/>
  <c r="B86" i="44"/>
  <c r="C754" i="44"/>
  <c r="B754" i="44"/>
  <c r="B867" i="44"/>
  <c r="C867" i="44"/>
  <c r="C56" i="44"/>
  <c r="B56" i="44"/>
  <c r="C62" i="44"/>
  <c r="B62" i="44"/>
  <c r="C763" i="44"/>
  <c r="B763" i="44"/>
  <c r="C512" i="44"/>
  <c r="B512" i="44"/>
  <c r="C501" i="44"/>
  <c r="B501" i="44"/>
  <c r="C593" i="44"/>
  <c r="B593" i="44"/>
  <c r="C321" i="44"/>
  <c r="B321" i="44"/>
  <c r="C857" i="44"/>
  <c r="B857" i="44"/>
  <c r="C831" i="44"/>
  <c r="B831" i="44"/>
  <c r="C725" i="44"/>
  <c r="B725" i="44"/>
  <c r="C817" i="44"/>
  <c r="B817" i="44"/>
  <c r="C760" i="44"/>
  <c r="B760" i="44"/>
  <c r="C95" i="44"/>
  <c r="B95" i="44"/>
  <c r="C558" i="44"/>
  <c r="B558" i="44"/>
  <c r="C826" i="44"/>
  <c r="B826" i="44"/>
  <c r="B492" i="44"/>
  <c r="C492" i="44"/>
  <c r="C730" i="44"/>
  <c r="B730" i="44"/>
  <c r="C548" i="44"/>
  <c r="B548" i="44"/>
  <c r="C54" i="44"/>
  <c r="B54" i="44"/>
  <c r="C297" i="44"/>
  <c r="B297" i="44"/>
  <c r="C166" i="44"/>
  <c r="B166" i="44"/>
  <c r="B388" i="44"/>
  <c r="C388" i="44"/>
  <c r="C111" i="44"/>
  <c r="B111" i="44"/>
  <c r="C565" i="44"/>
  <c r="B565" i="44"/>
  <c r="C406" i="44"/>
  <c r="B406" i="44"/>
  <c r="B769" i="44"/>
  <c r="C769" i="44"/>
  <c r="B126" i="44"/>
  <c r="C126" i="44"/>
  <c r="C154" i="44"/>
  <c r="B154" i="44"/>
  <c r="B366" i="44"/>
  <c r="C366" i="44"/>
  <c r="B485" i="44"/>
  <c r="C485" i="44"/>
  <c r="C380" i="44"/>
  <c r="B380" i="44"/>
  <c r="C609" i="44"/>
  <c r="B609" i="44"/>
  <c r="C105" i="44"/>
  <c r="B105" i="44"/>
  <c r="C174" i="44"/>
  <c r="B174" i="44"/>
  <c r="C340" i="44"/>
  <c r="B340" i="44"/>
  <c r="B441" i="44"/>
  <c r="C441" i="44"/>
  <c r="C216" i="44"/>
  <c r="B216" i="44"/>
  <c r="C208" i="44"/>
  <c r="B208" i="44"/>
  <c r="C770" i="44"/>
  <c r="B770" i="44"/>
  <c r="C799" i="44"/>
  <c r="B799" i="44"/>
  <c r="C110" i="44"/>
  <c r="B110" i="44"/>
  <c r="B273" i="44"/>
  <c r="C273" i="44"/>
  <c r="C414" i="44"/>
  <c r="B414" i="44"/>
  <c r="B125" i="44"/>
  <c r="C125" i="44"/>
  <c r="C848" i="44"/>
  <c r="B848" i="44"/>
  <c r="C736" i="44"/>
  <c r="B736" i="44"/>
  <c r="B228" i="44"/>
  <c r="C228" i="44"/>
  <c r="C423" i="44"/>
  <c r="B423" i="44"/>
  <c r="C21" i="44"/>
  <c r="B21" i="44"/>
  <c r="B426" i="44"/>
  <c r="C426" i="44"/>
  <c r="C787" i="44"/>
  <c r="B787" i="44"/>
  <c r="C534" i="44"/>
  <c r="B534" i="44"/>
  <c r="C403" i="44"/>
  <c r="B403" i="44"/>
  <c r="C864" i="44"/>
  <c r="B864" i="44"/>
  <c r="B695" i="44"/>
  <c r="C695" i="44"/>
  <c r="C654" i="44"/>
  <c r="B654" i="44"/>
  <c r="C674" i="44"/>
  <c r="B674" i="44"/>
  <c r="C586" i="44"/>
  <c r="B586" i="44"/>
  <c r="B265" i="44"/>
  <c r="C265" i="44"/>
  <c r="C424" i="44"/>
  <c r="B424" i="44"/>
  <c r="C680" i="44"/>
  <c r="B680" i="44"/>
  <c r="C308" i="44"/>
  <c r="B308" i="44"/>
  <c r="B371" i="44"/>
  <c r="C371" i="44"/>
  <c r="C611" i="44"/>
  <c r="B611" i="44"/>
  <c r="C286" i="44"/>
  <c r="B286" i="44"/>
  <c r="C364" i="44"/>
  <c r="B364" i="44"/>
  <c r="C527" i="44"/>
  <c r="B527" i="44"/>
  <c r="C455" i="44"/>
  <c r="B455" i="44"/>
  <c r="C245" i="44"/>
  <c r="B245" i="44"/>
  <c r="C44" i="44"/>
  <c r="B44" i="44"/>
  <c r="C324" i="44"/>
  <c r="B324" i="44"/>
  <c r="C863" i="44"/>
  <c r="B863" i="44"/>
  <c r="C177" i="44"/>
  <c r="B177" i="44"/>
  <c r="C413" i="44"/>
  <c r="B413" i="44"/>
  <c r="C892" i="44"/>
  <c r="B892" i="44"/>
  <c r="C790" i="44"/>
  <c r="B790" i="44"/>
  <c r="C487" i="44"/>
  <c r="B487" i="44"/>
  <c r="B331" i="44"/>
  <c r="C331" i="44"/>
  <c r="C585" i="44"/>
  <c r="B585" i="44"/>
  <c r="C659" i="44"/>
  <c r="B659" i="44"/>
  <c r="C419" i="44"/>
  <c r="B419" i="44"/>
  <c r="B314" i="44"/>
  <c r="C314" i="44"/>
  <c r="C732" i="44"/>
  <c r="B732" i="44"/>
  <c r="C504" i="44"/>
  <c r="B504" i="44"/>
  <c r="B204" i="44"/>
  <c r="C204" i="44"/>
  <c r="C219" i="44"/>
  <c r="B219" i="44"/>
  <c r="C646" i="44"/>
  <c r="B646" i="44"/>
  <c r="C106" i="44"/>
  <c r="B106" i="44"/>
  <c r="C766" i="44"/>
  <c r="B766" i="44"/>
  <c r="C266" i="44"/>
  <c r="B266" i="44"/>
  <c r="C322" i="44"/>
  <c r="B322" i="44"/>
  <c r="C879" i="44"/>
  <c r="B879" i="44"/>
  <c r="B129" i="44"/>
  <c r="C129" i="44"/>
  <c r="C641" i="44"/>
  <c r="B641" i="44"/>
  <c r="C747" i="44"/>
  <c r="B747" i="44"/>
  <c r="C494" i="44"/>
  <c r="B494" i="44"/>
  <c r="C276" i="44"/>
  <c r="B276" i="44"/>
  <c r="C264" i="44"/>
  <c r="B264" i="44"/>
  <c r="C525" i="44"/>
  <c r="B525" i="44"/>
  <c r="C348" i="44"/>
  <c r="B348" i="44"/>
  <c r="C477" i="44"/>
  <c r="B477" i="44"/>
  <c r="C922" i="44"/>
  <c r="B922" i="44"/>
  <c r="C829" i="44"/>
  <c r="B829" i="44"/>
  <c r="C592" i="44"/>
  <c r="B592" i="44"/>
  <c r="C387" i="44"/>
  <c r="B387" i="44"/>
  <c r="C685" i="44"/>
  <c r="B685" i="44"/>
  <c r="B718" i="44"/>
  <c r="C718" i="44"/>
  <c r="C253" i="44"/>
  <c r="B253" i="44"/>
  <c r="C4" i="44"/>
  <c r="B4" i="44"/>
  <c r="C801" i="44"/>
  <c r="B801" i="44"/>
  <c r="C832" i="44"/>
  <c r="B832" i="44"/>
  <c r="C932" i="44"/>
  <c r="B932" i="44"/>
  <c r="C819" i="44"/>
  <c r="B819" i="44"/>
  <c r="C226" i="44"/>
  <c r="B226" i="44"/>
  <c r="C865" i="44"/>
  <c r="B865" i="44"/>
  <c r="C22" i="44"/>
  <c r="B22" i="44"/>
  <c r="C296" i="44"/>
  <c r="B296" i="44"/>
  <c r="C574" i="44"/>
  <c r="B574" i="44"/>
  <c r="C814" i="44"/>
  <c r="B814" i="44"/>
  <c r="C318" i="44"/>
  <c r="B318" i="44"/>
  <c r="C522" i="44"/>
  <c r="B522" i="44"/>
  <c r="C553" i="44"/>
  <c r="B553" i="44"/>
  <c r="C20" i="44"/>
  <c r="B20" i="44"/>
  <c r="B8" i="44"/>
  <c r="C8" i="44"/>
  <c r="C151" i="44"/>
  <c r="B151" i="44"/>
  <c r="C560" i="44"/>
  <c r="B560" i="44"/>
  <c r="C537" i="44"/>
  <c r="B537" i="44"/>
  <c r="C820" i="44"/>
  <c r="B820" i="44"/>
  <c r="C489" i="44"/>
  <c r="B489" i="44"/>
  <c r="C605" i="44"/>
  <c r="B605" i="44"/>
  <c r="B345" i="44"/>
  <c r="C345" i="44"/>
  <c r="C752" i="44"/>
  <c r="B752" i="44"/>
  <c r="C542" i="44"/>
  <c r="B542" i="44"/>
  <c r="C382" i="44"/>
  <c r="B382" i="44"/>
  <c r="C783" i="44"/>
  <c r="B783" i="44"/>
  <c r="B665" i="44"/>
  <c r="C665" i="44"/>
  <c r="C469" i="44"/>
  <c r="B469" i="44"/>
  <c r="B187" i="44"/>
  <c r="C187" i="44"/>
  <c r="C182" i="44"/>
  <c r="B182" i="44"/>
  <c r="C639" i="44"/>
  <c r="B639" i="44"/>
  <c r="B85" i="44"/>
  <c r="C85" i="44"/>
  <c r="C602" i="44"/>
  <c r="B602" i="44"/>
  <c r="C446" i="44"/>
  <c r="B446" i="44"/>
  <c r="B312" i="44"/>
  <c r="C312" i="44"/>
  <c r="C443" i="44"/>
  <c r="B443" i="44"/>
  <c r="C134" i="44"/>
  <c r="B134" i="44"/>
  <c r="C598" i="44"/>
  <c r="B598" i="44"/>
  <c r="C408" i="44"/>
  <c r="B408" i="44"/>
  <c r="C43" i="44"/>
  <c r="B43" i="44"/>
  <c r="C568" i="44"/>
  <c r="B568" i="44"/>
  <c r="C451" i="44"/>
  <c r="B451" i="44"/>
  <c r="C588" i="44"/>
  <c r="B588" i="44"/>
  <c r="C131" i="44"/>
  <c r="B131" i="44"/>
  <c r="C374" i="44"/>
  <c r="B374" i="44"/>
  <c r="C882" i="44"/>
  <c r="B882" i="44"/>
  <c r="C638" i="44"/>
  <c r="B638" i="44"/>
  <c r="B214" i="44"/>
  <c r="C214" i="44"/>
  <c r="C497" i="44"/>
  <c r="B497" i="44"/>
  <c r="B7" i="44"/>
  <c r="C7" i="44"/>
  <c r="C800" i="44"/>
  <c r="B800" i="44"/>
  <c r="B330" i="44"/>
  <c r="C330" i="44"/>
  <c r="C858" i="44"/>
  <c r="B858" i="44"/>
  <c r="B386" i="44"/>
  <c r="C386" i="44"/>
  <c r="C846" i="44"/>
  <c r="B846" i="44"/>
  <c r="C454" i="44"/>
  <c r="B454" i="44"/>
  <c r="C650" i="44"/>
  <c r="B650" i="44"/>
  <c r="C656" i="44"/>
  <c r="B656" i="44"/>
  <c r="C420" i="44"/>
  <c r="B420" i="44"/>
  <c r="C274" i="44"/>
  <c r="B274" i="44"/>
  <c r="B666" i="44"/>
  <c r="C666" i="44"/>
  <c r="B802" i="44"/>
  <c r="C802" i="44"/>
  <c r="B333" i="44"/>
  <c r="C333" i="44"/>
  <c r="C384" i="44"/>
  <c r="B384" i="44"/>
  <c r="C411" i="44"/>
  <c r="B411" i="44"/>
  <c r="C270" i="44"/>
  <c r="B270" i="44"/>
  <c r="B156" i="44"/>
  <c r="C156" i="44"/>
  <c r="B28" i="44"/>
  <c r="C28" i="44"/>
  <c r="C293" i="44"/>
  <c r="B293" i="44"/>
  <c r="B354" i="44"/>
  <c r="C354" i="44"/>
  <c r="C233" i="44"/>
  <c r="B233" i="44"/>
  <c r="C179" i="44"/>
  <c r="B179" i="44"/>
  <c r="C80" i="44"/>
  <c r="B80" i="44"/>
  <c r="C401" i="44"/>
  <c r="B401" i="44"/>
  <c r="C931" i="44"/>
  <c r="B931" i="44"/>
  <c r="B669" i="44"/>
  <c r="C669" i="44"/>
  <c r="B748" i="44"/>
  <c r="C748" i="44"/>
  <c r="C677" i="44"/>
  <c r="B677" i="44"/>
  <c r="C200" i="44"/>
  <c r="B200" i="44"/>
  <c r="C240" i="44"/>
  <c r="B240" i="44"/>
  <c r="C936" i="44"/>
  <c r="B936" i="44"/>
  <c r="B159" i="44"/>
  <c r="C159" i="44"/>
  <c r="C224" i="44"/>
  <c r="B224" i="44"/>
  <c r="C664" i="44"/>
  <c r="B664" i="44"/>
  <c r="C895" i="44"/>
  <c r="B895" i="44"/>
  <c r="C246" i="44"/>
  <c r="B246" i="44"/>
  <c r="B201" i="44"/>
  <c r="C201" i="44"/>
  <c r="C295" i="44"/>
  <c r="B295" i="44"/>
  <c r="C392" i="44"/>
  <c r="B392" i="44"/>
  <c r="C569" i="44"/>
  <c r="B569" i="44"/>
  <c r="C436" i="44"/>
  <c r="B436" i="44"/>
  <c r="B668" i="44"/>
  <c r="C668" i="44"/>
  <c r="C36" i="44"/>
  <c r="B36" i="44"/>
  <c r="B682" i="44"/>
  <c r="C682" i="44"/>
  <c r="C698" i="44"/>
  <c r="B698" i="44"/>
  <c r="C249" i="44"/>
  <c r="B249" i="44"/>
  <c r="C194" i="44"/>
  <c r="B194" i="44"/>
  <c r="B294" i="44"/>
  <c r="C294" i="44"/>
  <c r="C939" i="44"/>
  <c r="B939" i="44"/>
  <c r="B186" i="44"/>
  <c r="C186" i="44"/>
  <c r="C377" i="44"/>
  <c r="B377" i="44"/>
  <c r="C323" i="44"/>
  <c r="B323" i="44"/>
  <c r="B260" i="44"/>
  <c r="C260" i="44"/>
  <c r="C429" i="44"/>
  <c r="B429" i="44"/>
  <c r="B311" i="44"/>
  <c r="C311" i="44"/>
  <c r="C232" i="44"/>
  <c r="B232" i="44"/>
  <c r="C572" i="44"/>
  <c r="B572" i="44"/>
  <c r="C839" i="44"/>
  <c r="B839" i="44"/>
  <c r="B243" i="44"/>
  <c r="C243" i="44"/>
  <c r="B474" i="44"/>
  <c r="C474" i="44"/>
  <c r="C888" i="44"/>
  <c r="B888" i="44"/>
  <c r="C360" i="44"/>
  <c r="B360" i="44"/>
  <c r="B130" i="44"/>
  <c r="C130" i="44"/>
  <c r="C745" i="44"/>
  <c r="B745" i="44"/>
  <c r="C256" i="44"/>
  <c r="B256" i="44"/>
  <c r="C545" i="44"/>
  <c r="B545" i="44"/>
  <c r="C678" i="44"/>
  <c r="B678" i="44"/>
  <c r="C909" i="44"/>
  <c r="B909" i="44"/>
  <c r="C192" i="44"/>
  <c r="B192" i="44"/>
  <c r="C729" i="44"/>
  <c r="B729" i="44"/>
  <c r="C495" i="44"/>
  <c r="B495" i="44"/>
  <c r="B679" i="44"/>
  <c r="C679" i="44"/>
  <c r="C840" i="44"/>
  <c r="B840" i="44"/>
  <c r="C706" i="44"/>
  <c r="B706" i="44"/>
  <c r="C612" i="44"/>
  <c r="B612" i="44"/>
  <c r="C355" i="44"/>
  <c r="B355" i="44"/>
  <c r="B196" i="44"/>
  <c r="C196" i="44"/>
  <c r="C753" i="44"/>
  <c r="B753" i="44"/>
  <c r="C75" i="44"/>
  <c r="B75" i="44"/>
  <c r="C757" i="44"/>
  <c r="B757" i="44"/>
  <c r="C306" i="44"/>
  <c r="B306" i="44"/>
  <c r="C269" i="44"/>
  <c r="B269" i="44"/>
  <c r="C353" i="44"/>
  <c r="B353" i="44"/>
  <c r="C479" i="44"/>
  <c r="B479" i="44"/>
  <c r="B122" i="44"/>
  <c r="C122" i="44"/>
  <c r="C859" i="44"/>
  <c r="B859" i="44"/>
  <c r="C73" i="44"/>
  <c r="B73" i="44"/>
  <c r="C145" i="44"/>
  <c r="B145" i="44"/>
  <c r="C52" i="44"/>
  <c r="B52" i="44"/>
  <c r="C351" i="44"/>
  <c r="B351" i="44"/>
  <c r="C63" i="44"/>
  <c r="B63" i="44"/>
  <c r="C755" i="44"/>
  <c r="B755" i="44"/>
  <c r="C123" i="44"/>
  <c r="B123" i="44"/>
  <c r="B60" i="44"/>
  <c r="C60" i="44"/>
  <c r="C142" i="44"/>
  <c r="B142" i="44"/>
  <c r="B74" i="44"/>
  <c r="C74" i="44"/>
  <c r="C896" i="44"/>
  <c r="B896" i="44"/>
  <c r="C284" i="44"/>
  <c r="B284" i="44"/>
  <c r="C516" i="44"/>
  <c r="B516" i="44"/>
  <c r="C777" i="44"/>
  <c r="B777" i="44"/>
  <c r="C217" i="44"/>
  <c r="B217" i="44"/>
  <c r="B421" i="44"/>
  <c r="C421" i="44"/>
  <c r="C681" i="44"/>
  <c r="B681" i="44"/>
  <c r="C746" i="44"/>
  <c r="B746" i="44"/>
  <c r="C391" i="44"/>
  <c r="B391" i="44"/>
  <c r="B713" i="44"/>
  <c r="C713" i="44"/>
  <c r="C675" i="44"/>
  <c r="B675" i="44"/>
  <c r="C471" i="44"/>
  <c r="B471" i="44"/>
  <c r="C673" i="44"/>
  <c r="B673" i="44"/>
  <c r="C431" i="44"/>
  <c r="B431" i="44"/>
  <c r="C456" i="44"/>
  <c r="B456" i="44"/>
  <c r="B68" i="44"/>
  <c r="C68" i="44"/>
  <c r="B291" i="44"/>
  <c r="C291" i="44"/>
  <c r="C827" i="44"/>
  <c r="B827" i="44"/>
  <c r="C290" i="44"/>
  <c r="B290" i="44"/>
  <c r="C631" i="44"/>
  <c r="B631" i="44"/>
  <c r="B834" i="44"/>
  <c r="C834" i="44"/>
  <c r="C271" i="44"/>
  <c r="B271" i="44"/>
  <c r="C626" i="44"/>
  <c r="B626" i="44"/>
  <c r="B632" i="44"/>
  <c r="C632" i="44"/>
  <c r="C690" i="44"/>
  <c r="B690" i="44"/>
  <c r="C920" i="44"/>
  <c r="B920" i="44"/>
  <c r="C872" i="44"/>
  <c r="B872" i="44"/>
  <c r="B116" i="44"/>
  <c r="C116" i="44"/>
  <c r="C91" i="44"/>
  <c r="B91" i="44"/>
  <c r="B221" i="44"/>
  <c r="C221" i="44"/>
  <c r="C23" i="44"/>
  <c r="B23" i="44"/>
  <c r="C341" i="44"/>
  <c r="B341" i="44"/>
  <c r="C724" i="44"/>
  <c r="B724" i="44"/>
  <c r="B735" i="44"/>
  <c r="C735" i="44"/>
  <c r="C642" i="44"/>
  <c r="B642" i="44"/>
  <c r="C618" i="44"/>
  <c r="B618" i="44"/>
  <c r="C894" i="44"/>
  <c r="B894" i="44"/>
  <c r="C918" i="44"/>
  <c r="B918" i="44"/>
  <c r="C96" i="44"/>
  <c r="B96" i="44"/>
  <c r="C502" i="44"/>
  <c r="B502" i="44"/>
  <c r="B726" i="44"/>
  <c r="C726" i="44"/>
  <c r="C524" i="44"/>
  <c r="B524" i="44"/>
  <c r="C12" i="44"/>
  <c r="B12" i="44"/>
  <c r="C444" i="44"/>
  <c r="B444" i="44"/>
  <c r="B855" i="44"/>
  <c r="C855" i="44"/>
  <c r="C292" i="44"/>
  <c r="B292" i="44"/>
  <c r="C49" i="44"/>
  <c r="B49" i="44"/>
  <c r="B282" i="44"/>
  <c r="C282" i="44"/>
  <c r="C692" i="44"/>
  <c r="B692" i="44"/>
  <c r="B661" i="44"/>
  <c r="C661" i="44"/>
  <c r="C138" i="44"/>
  <c r="B138" i="44"/>
  <c r="C466" i="44"/>
  <c r="B466" i="44"/>
  <c r="C283" i="44"/>
  <c r="B283" i="44"/>
  <c r="C320" i="44"/>
  <c r="B320" i="44"/>
  <c r="C835" i="44"/>
  <c r="B835" i="44"/>
  <c r="C688" i="44"/>
  <c r="B688" i="44"/>
  <c r="C577" i="44"/>
  <c r="B577" i="44"/>
  <c r="C393" i="44"/>
  <c r="B393" i="44"/>
  <c r="C536" i="44"/>
  <c r="B536" i="44"/>
  <c r="C18" i="44"/>
  <c r="B18" i="44"/>
  <c r="C913" i="44"/>
  <c r="B913" i="44"/>
  <c r="C155" i="44"/>
  <c r="B155" i="44"/>
  <c r="C175" i="44"/>
  <c r="B175" i="44"/>
  <c r="B250" i="44"/>
  <c r="C250" i="44"/>
  <c r="C185" i="44"/>
  <c r="B185" i="44"/>
  <c r="C786" i="44"/>
  <c r="B786" i="44"/>
  <c r="C930" i="44"/>
  <c r="B930" i="44"/>
  <c r="B911" i="44"/>
  <c r="C911" i="44"/>
  <c r="C571" i="44"/>
  <c r="B571" i="44"/>
  <c r="C258" i="44"/>
  <c r="B258" i="44"/>
  <c r="B281" i="44"/>
  <c r="C281" i="44"/>
  <c r="C385" i="44"/>
  <c r="B385" i="44"/>
  <c r="C135" i="44"/>
  <c r="B135" i="44"/>
  <c r="C42" i="44"/>
  <c r="B42" i="44"/>
  <c r="C707" i="44"/>
  <c r="B707" i="44"/>
  <c r="C146" i="44"/>
  <c r="B146" i="44"/>
  <c r="C183" i="44"/>
  <c r="B183" i="44"/>
  <c r="C540" i="44"/>
  <c r="B540" i="44"/>
  <c r="B133" i="44"/>
  <c r="C133" i="44"/>
  <c r="B257" i="44"/>
  <c r="C257" i="44"/>
  <c r="C676" i="44"/>
  <c r="B676" i="44"/>
  <c r="C788" i="44"/>
  <c r="B788" i="44"/>
  <c r="C793" i="44"/>
  <c r="B793" i="44"/>
  <c r="C508" i="44"/>
  <c r="B508" i="44"/>
  <c r="C463" i="44"/>
  <c r="B463" i="44"/>
  <c r="C808" i="44"/>
  <c r="B808" i="44"/>
  <c r="C623" i="44"/>
  <c r="B623" i="44"/>
  <c r="C891" i="44"/>
  <c r="B891" i="44"/>
  <c r="C32" i="44"/>
  <c r="B32" i="44"/>
  <c r="C241" i="44"/>
  <c r="B241" i="44"/>
  <c r="C161" i="44"/>
  <c r="B161" i="44"/>
  <c r="C433" i="44"/>
  <c r="B433" i="44"/>
  <c r="C575" i="44"/>
  <c r="B575" i="44"/>
  <c r="C184" i="44"/>
  <c r="B184" i="44"/>
  <c r="C335" i="44"/>
  <c r="B335" i="44"/>
  <c r="B212" i="44"/>
  <c r="C212" i="44"/>
  <c r="B147" i="44"/>
  <c r="C147" i="44"/>
  <c r="C708" i="44"/>
  <c r="B708" i="44"/>
  <c r="C190" i="44"/>
  <c r="B190" i="44"/>
  <c r="C862" i="44"/>
  <c r="B862" i="44"/>
  <c r="C822" i="44"/>
  <c r="B822" i="44"/>
  <c r="C238" i="44"/>
  <c r="B238" i="44"/>
  <c r="C496" i="44"/>
  <c r="B496" i="44"/>
  <c r="B84" i="44"/>
  <c r="C84" i="44"/>
  <c r="B910" i="44"/>
  <c r="C910" i="44"/>
  <c r="C467" i="44"/>
  <c r="B467" i="44"/>
  <c r="C836" i="44"/>
  <c r="B836" i="44"/>
  <c r="C24" i="44"/>
  <c r="B24" i="44"/>
  <c r="B112" i="44"/>
  <c r="C112" i="44"/>
  <c r="C737" i="44"/>
  <c r="B737" i="44"/>
  <c r="B435" i="44"/>
  <c r="D97" i="44" l="1"/>
  <c r="D263" i="44"/>
  <c r="D334" i="44"/>
  <c r="D450" i="44"/>
  <c r="D178" i="44"/>
  <c r="D6" i="44"/>
  <c r="D903" i="44"/>
  <c r="D655" i="44"/>
  <c r="D750" i="44"/>
  <c r="D912" i="44"/>
  <c r="D765" i="44"/>
  <c r="D422" i="44"/>
  <c r="D578" i="44"/>
  <c r="D744" i="44"/>
  <c r="D861" i="44"/>
  <c r="D168" i="44"/>
  <c r="D552" i="44"/>
  <c r="D278" i="44"/>
  <c r="D824" i="44"/>
  <c r="D398" i="44"/>
  <c r="D395" i="44"/>
  <c r="D535" i="44"/>
  <c r="D239" i="44"/>
  <c r="D173" i="44"/>
  <c r="D213" i="44"/>
  <c r="D77" i="44"/>
  <c r="D369" i="44"/>
  <c r="D521" i="44"/>
  <c r="D796" i="44"/>
  <c r="D39" i="44"/>
  <c r="D46" i="44"/>
  <c r="D581" i="44"/>
  <c r="D45" i="44"/>
  <c r="D928" i="44"/>
  <c r="D576" i="44"/>
  <c r="D102" i="44"/>
  <c r="D127" i="44"/>
  <c r="D733" i="44"/>
  <c r="D405" i="44"/>
  <c r="D124" i="44"/>
  <c r="D167" i="44"/>
  <c r="D445" i="44"/>
  <c r="D590" i="44"/>
  <c r="D425" i="44"/>
  <c r="D92" i="44"/>
  <c r="D160" i="44"/>
  <c r="D48" i="44"/>
  <c r="D546" i="44"/>
  <c r="D141" i="44"/>
  <c r="D528" i="44"/>
  <c r="D99" i="44"/>
  <c r="D503" i="44"/>
  <c r="D390" i="44"/>
  <c r="D884" i="44"/>
  <c r="D3" i="44"/>
  <c r="D785" i="44"/>
  <c r="D261" i="44"/>
  <c r="A97" i="44"/>
  <c r="A263" i="44"/>
  <c r="A334" i="44"/>
  <c r="A450" i="44"/>
  <c r="A178" i="44"/>
  <c r="A6" i="44"/>
  <c r="A903" i="44"/>
  <c r="A655" i="44"/>
  <c r="A750" i="44"/>
  <c r="A912" i="44"/>
  <c r="A765" i="44"/>
  <c r="A422" i="44"/>
  <c r="A578" i="44"/>
  <c r="A744" i="44"/>
  <c r="A861" i="44"/>
  <c r="A168" i="44"/>
  <c r="A552" i="44"/>
  <c r="A278" i="44"/>
  <c r="A824" i="44"/>
  <c r="A398" i="44"/>
  <c r="A395" i="44"/>
  <c r="A535" i="44"/>
  <c r="A239" i="44"/>
  <c r="A173" i="44"/>
  <c r="A213" i="44"/>
  <c r="A77" i="44"/>
  <c r="A369" i="44"/>
  <c r="A521" i="44"/>
  <c r="A796" i="44"/>
  <c r="A39" i="44"/>
  <c r="A46" i="44"/>
  <c r="A581" i="44"/>
  <c r="A45" i="44"/>
  <c r="A928" i="44"/>
  <c r="A576" i="44"/>
  <c r="A102" i="44"/>
  <c r="A127" i="44"/>
  <c r="A733" i="44"/>
  <c r="A405" i="44"/>
  <c r="A124" i="44"/>
  <c r="A167" i="44"/>
  <c r="A445" i="44"/>
  <c r="A590" i="44"/>
  <c r="A425" i="44"/>
  <c r="A92" i="44"/>
  <c r="A160" i="44"/>
  <c r="A48" i="44"/>
  <c r="A546" i="44"/>
  <c r="A141" i="44"/>
  <c r="A528" i="44"/>
  <c r="A99" i="44"/>
  <c r="A503" i="44"/>
  <c r="A390" i="44"/>
  <c r="A884" i="44"/>
  <c r="A3" i="44"/>
  <c r="A785" i="44"/>
  <c r="A261" i="44"/>
  <c r="C425" i="44" l="1"/>
  <c r="B425" i="44"/>
  <c r="C521" i="44"/>
  <c r="B521" i="44"/>
  <c r="C578" i="44"/>
  <c r="B578" i="44"/>
  <c r="C528" i="44"/>
  <c r="B528" i="44"/>
  <c r="C576" i="44"/>
  <c r="B576" i="44"/>
  <c r="C398" i="44"/>
  <c r="B398" i="44"/>
  <c r="C141" i="44"/>
  <c r="B141" i="44"/>
  <c r="C445" i="44"/>
  <c r="B445" i="44"/>
  <c r="C824" i="44"/>
  <c r="B824" i="44"/>
  <c r="C450" i="44"/>
  <c r="B450" i="44"/>
  <c r="C785" i="44"/>
  <c r="B785" i="44"/>
  <c r="C167" i="44"/>
  <c r="B167" i="44"/>
  <c r="C213" i="44"/>
  <c r="B213" i="44"/>
  <c r="C334" i="44"/>
  <c r="B334" i="44"/>
  <c r="C48" i="44"/>
  <c r="B48" i="44"/>
  <c r="C124" i="44"/>
  <c r="B124" i="44"/>
  <c r="C173" i="44"/>
  <c r="B173" i="44"/>
  <c r="C912" i="44"/>
  <c r="B912" i="44"/>
  <c r="C160" i="44"/>
  <c r="B160" i="44"/>
  <c r="C46" i="44"/>
  <c r="B46" i="44"/>
  <c r="C239" i="44"/>
  <c r="B239" i="44"/>
  <c r="C97" i="44"/>
  <c r="B97" i="44"/>
  <c r="B390" i="44"/>
  <c r="C390" i="44"/>
  <c r="C92" i="44"/>
  <c r="B92" i="44"/>
  <c r="C733" i="44"/>
  <c r="B733" i="44"/>
  <c r="C39" i="44"/>
  <c r="B39" i="44"/>
  <c r="B861" i="44"/>
  <c r="C861" i="44"/>
  <c r="C655" i="44"/>
  <c r="B655" i="44"/>
  <c r="C99" i="44"/>
  <c r="B99" i="44"/>
  <c r="C102" i="44"/>
  <c r="B102" i="44"/>
  <c r="C395" i="44"/>
  <c r="B395" i="44"/>
  <c r="B6" i="44"/>
  <c r="C6" i="44"/>
  <c r="C590" i="44"/>
  <c r="B590" i="44"/>
  <c r="C369" i="44"/>
  <c r="B369" i="44"/>
  <c r="B178" i="44"/>
  <c r="C178" i="44"/>
  <c r="C261" i="44"/>
  <c r="B261" i="44"/>
  <c r="C928" i="44"/>
  <c r="B928" i="44"/>
  <c r="B77" i="44"/>
  <c r="C77" i="44"/>
  <c r="B422" i="44"/>
  <c r="C422" i="44"/>
  <c r="C546" i="44"/>
  <c r="B546" i="44"/>
  <c r="C45" i="44"/>
  <c r="B45" i="44"/>
  <c r="C278" i="44"/>
  <c r="B278" i="44"/>
  <c r="C765" i="44"/>
  <c r="B765" i="44"/>
  <c r="B3" i="44"/>
  <c r="C3" i="44"/>
  <c r="C581" i="44"/>
  <c r="B581" i="44"/>
  <c r="C552" i="44"/>
  <c r="B552" i="44"/>
  <c r="B263" i="44"/>
  <c r="C263" i="44"/>
  <c r="C884" i="44"/>
  <c r="B884" i="44"/>
  <c r="C405" i="44"/>
  <c r="B405" i="44"/>
  <c r="C168" i="44"/>
  <c r="B168" i="44"/>
  <c r="C750" i="44"/>
  <c r="B750" i="44"/>
  <c r="C503" i="44"/>
  <c r="B503" i="44"/>
  <c r="B127" i="44"/>
  <c r="C127" i="44"/>
  <c r="C796" i="44"/>
  <c r="B796" i="44"/>
  <c r="C535" i="44"/>
  <c r="B535" i="44"/>
  <c r="C744" i="44"/>
  <c r="B744" i="44"/>
  <c r="C903" i="44"/>
  <c r="B903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<sst xmlns="http://schemas.openxmlformats.org/spreadsheetml/2006/main" count="6794" uniqueCount="1653">
  <si>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</si>
  <si>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</si>
  <si>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</si>
  <si>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</si>
  <si>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</si>
  <si>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</si>
  <si>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</si>
  <si>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</si>
  <si>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</si>
  <si>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</si>
  <si>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</si>
  <si>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</si>
  <si>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</si>
  <si>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</si>
  <si>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</si>
  <si>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</si>
  <si>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</si>
  <si>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</si>
  <si>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</si>
  <si>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</si>
  <si>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</si>
  <si>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</si>
  <si>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</si>
  <si>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</si>
  <si>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</si>
  <si>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</si>
  <si>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</si>
  <si>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</si>
  <si>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</si>
  <si>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</si>
  <si>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</si>
  <si>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</si>
  <si>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</si>
  <si>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</si>
  <si>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</si>
  <si>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</si>
  <si>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</si>
  <si>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</si>
  <si>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</si>
  <si>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</si>
  <si>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</si>
  <si>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</si>
  <si>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</si>
  <si>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</si>
  <si>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</si>
  <si>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</si>
  <si>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</si>
  <si>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</si>
  <si>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</si>
  <si>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</si>
  <si>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</si>
  <si>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</si>
  <si>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</si>
  <si>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</si>
  <si>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</si>
  <si>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</si>
  <si>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</si>
  <si>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</si>
  <si>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</si>
  <si>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</si>
  <si>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</si>
  <si>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</si>
  <si>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</si>
  <si>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</si>
  <si>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</si>
  <si>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</si>
  <si>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</si>
  <si>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</si>
  <si>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</si>
  <si>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</si>
  <si>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</si>
  <si>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</si>
  <si>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</si>
  <si>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</si>
  <si>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</si>
  <si>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</si>
  <si>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</si>
  <si>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</si>
  <si>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</si>
  <si>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</si>
  <si>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</si>
  <si>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</si>
  <si>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</si>
  <si>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</si>
  <si>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</si>
  <si>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</si>
  <si>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</si>
  <si>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</si>
  <si>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</si>
  <si>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</si>
  <si>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</si>
  <si>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</si>
  <si>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</si>
  <si>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</si>
  <si>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</si>
  <si>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</si>
  <si>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</si>
  <si>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</si>
  <si>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</si>
  <si>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</si>
  <si>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</si>
  <si>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</si>
  <si>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</si>
  <si>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</si>
  <si>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</si>
  <si>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</si>
  <si>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</si>
  <si>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</si>
  <si>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</si>
  <si>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</si>
  <si>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</si>
  <si>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</si>
  <si>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</si>
  <si>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</si>
  <si>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</si>
  <si>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</si>
  <si>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</si>
  <si>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</si>
  <si>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</si>
  <si>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</si>
  <si>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</si>
  <si>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</si>
  <si>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</si>
  <si>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</si>
  <si>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</si>
  <si>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</si>
  <si>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</si>
  <si>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</si>
  <si>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</si>
  <si>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</si>
  <si>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</si>
  <si>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</si>
  <si>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</si>
  <si>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</si>
  <si>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</si>
  <si>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</si>
  <si>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</si>
  <si>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</si>
  <si>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</si>
  <si>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</si>
  <si>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</si>
  <si>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</si>
  <si>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</si>
  <si>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</si>
  <si>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</si>
  <si>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</si>
  <si>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</si>
  <si>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</si>
  <si>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</si>
  <si>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</si>
  <si>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</si>
  <si>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</si>
  <si>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</si>
  <si>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</si>
  <si>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</si>
  <si>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</si>
  <si>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</si>
  <si>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</si>
  <si>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</si>
  <si>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</si>
  <si>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</si>
  <si>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</si>
  <si>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</si>
  <si>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</si>
  <si>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</si>
  <si>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</si>
  <si>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</si>
  <si>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</si>
  <si>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</si>
  <si>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</si>
  <si>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</si>
  <si>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</si>
  <si>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</si>
  <si>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</si>
  <si>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</si>
  <si>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</si>
  <si>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</si>
  <si>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</si>
  <si>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</si>
  <si>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</si>
  <si>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</si>
  <si>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</si>
  <si>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</si>
  <si>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</si>
  <si>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</si>
  <si>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</si>
  <si>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</si>
  <si>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</si>
  <si>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</si>
  <si>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</si>
  <si>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</si>
  <si>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</si>
  <si>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</si>
  <si>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</si>
  <si>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</si>
  <si>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</si>
  <si>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</si>
  <si>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</si>
  <si>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</si>
  <si>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</si>
  <si>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</si>
  <si>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</si>
  <si>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</si>
  <si>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</si>
  <si>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</si>
  <si>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</si>
  <si>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</si>
  <si>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</si>
  <si>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</si>
  <si>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</si>
  <si>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</si>
  <si>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</si>
  <si>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</si>
  <si>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</si>
  <si>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</si>
  <si>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</si>
  <si>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</si>
  <si>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</si>
  <si>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</si>
  <si>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</si>
  <si>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</si>
  <si>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</si>
  <si>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</si>
  <si>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</si>
  <si>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</si>
  <si>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</si>
  <si>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</si>
  <si>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</si>
  <si>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</si>
  <si>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</si>
  <si>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</si>
  <si>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</si>
  <si>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</si>
  <si>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</si>
  <si>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</si>
  <si>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</si>
  <si>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</si>
  <si>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</si>
  <si>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</si>
  <si>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</si>
  <si>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</si>
  <si>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</si>
  <si>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</si>
  <si>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</si>
  <si>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</si>
  <si>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</si>
  <si>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</si>
  <si>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</si>
  <si>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</si>
  <si>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</si>
  <si>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</si>
  <si>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</si>
  <si>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</si>
  <si>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</si>
  <si>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</si>
  <si>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</si>
  <si>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</si>
  <si>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</si>
  <si>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</si>
  <si>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</si>
  <si>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</si>
  <si>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</si>
  <si>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</si>
  <si>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</si>
  <si>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</si>
  <si>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</si>
  <si>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</si>
  <si>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</si>
  <si>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</si>
  <si>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</si>
  <si>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</si>
  <si>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</si>
  <si>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</si>
  <si>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</si>
  <si>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</si>
  <si>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</si>
  <si>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</si>
  <si>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</si>
  <si>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</si>
  <si>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</si>
  <si>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</si>
  <si>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</si>
  <si>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</si>
  <si>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</si>
  <si>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</si>
  <si>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</si>
  <si>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</si>
  <si>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</si>
  <si>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</si>
  <si>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</si>
  <si>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</si>
  <si>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</si>
  <si>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</si>
  <si>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</si>
  <si>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</si>
  <si>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</si>
  <si>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</si>
  <si>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</si>
  <si>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</si>
  <si>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</si>
  <si>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</si>
  <si>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</si>
  <si>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</si>
  <si>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</si>
  <si>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</si>
  <si>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</si>
  <si>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</si>
  <si>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</si>
  <si>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</si>
  <si>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</si>
  <si>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</si>
  <si>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</si>
  <si>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</si>
  <si>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</si>
  <si>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</si>
  <si>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</si>
  <si>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</si>
  <si>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</si>
  <si>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</si>
  <si>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</si>
  <si>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</si>
  <si>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</si>
  <si>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</si>
  <si>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</si>
  <si>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</si>
  <si>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</si>
  <si>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</si>
  <si>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</si>
  <si>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</si>
  <si>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</si>
  <si>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</si>
  <si>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</si>
  <si>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</si>
  <si>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</si>
  <si>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</si>
  <si>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</si>
  <si>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</si>
  <si>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</si>
  <si>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</si>
  <si>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</si>
  <si>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</si>
  <si>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</si>
  <si>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</si>
  <si>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</si>
  <si>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</si>
  <si>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</si>
  <si>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</si>
  <si>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</si>
  <si>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</si>
  <si>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</si>
  <si>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</si>
  <si>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</si>
  <si>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</si>
  <si>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</si>
  <si>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</si>
  <si>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</si>
  <si>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</si>
  <si>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</si>
  <si>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</si>
  <si>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</si>
  <si>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</si>
  <si>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</si>
  <si>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</si>
  <si>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</si>
  <si>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</si>
  <si>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</si>
  <si>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</si>
  <si>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</si>
  <si>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</si>
  <si>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</si>
  <si>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</si>
  <si>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</si>
  <si>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</si>
  <si>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</si>
  <si>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</si>
  <si>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</si>
  <si>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</si>
  <si>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</si>
  <si>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</si>
  <si>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</si>
  <si>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MARIA DO AMPARO DUDA</t>
  </si>
  <si>
    <t>MARINES ALVES PEREIRA</t>
  </si>
  <si>
    <t>RAUL VITOR DE VASCONCELLOS MALAQUIAS</t>
  </si>
  <si>
    <t>RITA DE CASSIA DE OLIVEIRA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</si>
  <si>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</si>
  <si>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</si>
  <si>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</si>
  <si>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</si>
  <si>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</si>
  <si>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</si>
  <si>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</si>
  <si>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</si>
  <si>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</si>
  <si>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</si>
  <si>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</si>
  <si>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</si>
  <si>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</si>
  <si>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</si>
  <si>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</si>
  <si>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</si>
  <si>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</si>
  <si>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</si>
  <si>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</si>
  <si>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</si>
  <si>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</si>
  <si>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</si>
  <si>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</si>
  <si>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</si>
  <si>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</si>
  <si>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</si>
  <si>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</si>
  <si>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</si>
  <si>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</si>
  <si>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</si>
  <si>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</si>
  <si>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</si>
  <si>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</si>
  <si>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</si>
  <si>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</si>
  <si>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</si>
  <si>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</si>
  <si>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</si>
  <si>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</si>
  <si>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</si>
  <si>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</si>
  <si>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</si>
  <si>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</si>
  <si>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</si>
  <si>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</si>
  <si>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</si>
  <si>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</si>
  <si>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</si>
  <si>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</si>
  <si>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</si>
  <si>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</si>
  <si>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</si>
  <si>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</si>
  <si>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</si>
  <si>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</si>
  <si>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</si>
  <si>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</si>
  <si>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</si>
  <si>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</si>
  <si>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</si>
  <si>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</si>
  <si>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</si>
  <si>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</si>
  <si>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</si>
  <si>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</si>
  <si>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</si>
  <si>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</si>
  <si>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</si>
  <si>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</si>
  <si>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</si>
  <si>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</si>
  <si>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</si>
  <si>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</si>
  <si>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</si>
  <si>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</si>
  <si>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</si>
  <si>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</si>
  <si>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</si>
  <si>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</si>
  <si>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</si>
  <si>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</si>
  <si>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</si>
  <si>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</si>
  <si>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</si>
  <si>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</si>
  <si>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</si>
  <si>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</si>
  <si>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</si>
  <si>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</si>
  <si>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</si>
  <si>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</si>
  <si>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</si>
  <si>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</si>
  <si>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</si>
  <si>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</si>
  <si>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</si>
  <si>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</si>
  <si>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</si>
  <si>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</si>
  <si>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</si>
  <si>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</si>
  <si>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</si>
  <si>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</si>
  <si>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</si>
  <si>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</si>
  <si>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</si>
  <si>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</si>
  <si>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</si>
  <si>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</si>
  <si>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</si>
  <si>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</si>
  <si>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</si>
  <si>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</si>
  <si>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</si>
  <si>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</si>
  <si>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</si>
  <si>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</si>
  <si>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</si>
  <si>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</si>
  <si>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</si>
  <si>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</si>
  <si>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</si>
  <si>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</si>
  <si>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</si>
  <si>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</si>
  <si>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</si>
  <si>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</si>
  <si>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</si>
  <si>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</si>
  <si>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</si>
  <si>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</si>
  <si>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</si>
  <si>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</si>
  <si>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</si>
  <si>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</si>
  <si>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</si>
  <si>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</si>
  <si>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</si>
  <si>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</si>
  <si>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</si>
  <si>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</si>
  <si>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</si>
  <si>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</si>
  <si>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</si>
  <si>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</si>
  <si>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</si>
  <si>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</si>
  <si>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</si>
  <si>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</si>
  <si>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</si>
  <si>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</si>
  <si>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</si>
  <si>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</si>
  <si>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</si>
  <si>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</si>
  <si>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</si>
  <si>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</si>
  <si>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</si>
  <si>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</si>
  <si>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</si>
  <si>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</si>
  <si>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</si>
  <si>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</si>
  <si>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</si>
  <si>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</si>
  <si>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</si>
  <si>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</si>
  <si>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</si>
  <si>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</si>
  <si>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</si>
  <si>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</si>
  <si>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</si>
  <si>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</si>
  <si>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</si>
  <si>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</si>
  <si>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</si>
  <si>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</si>
  <si>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</si>
  <si>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</si>
  <si>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</si>
  <si>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</si>
  <si>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</si>
  <si>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</si>
  <si>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</si>
  <si>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</si>
  <si>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</si>
  <si>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</si>
  <si>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</si>
  <si>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</si>
  <si>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</si>
  <si>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</si>
  <si>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</si>
  <si>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</si>
  <si>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</si>
  <si>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</si>
  <si>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</si>
  <si>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</si>
  <si>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</si>
  <si>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</si>
  <si>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</si>
  <si>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</si>
  <si>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</si>
  <si>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</si>
  <si>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</si>
  <si>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</si>
  <si>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</si>
  <si>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</si>
  <si>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</si>
  <si>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</si>
  <si>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</si>
  <si>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</si>
  <si>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</si>
  <si>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</si>
  <si>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</si>
  <si>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</si>
  <si>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</si>
  <si>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</si>
  <si>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</si>
  <si>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</si>
  <si>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</si>
  <si>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</si>
  <si>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</si>
  <si>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</si>
  <si>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</si>
  <si>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</si>
  <si>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</si>
  <si>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</si>
  <si>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</si>
  <si>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</si>
  <si>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</si>
  <si>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</si>
  <si>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</si>
  <si>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</si>
  <si>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</si>
  <si>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</si>
  <si>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</si>
  <si>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</si>
  <si>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</si>
  <si>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</si>
  <si>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</si>
  <si>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</si>
  <si>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</si>
  <si>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</si>
  <si>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</si>
  <si>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</si>
  <si>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</si>
  <si>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</si>
  <si>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</si>
  <si>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</si>
  <si>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</si>
  <si>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</si>
  <si>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</si>
  <si>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</si>
  <si>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</si>
  <si>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</si>
  <si>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</si>
  <si>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</si>
  <si>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</si>
  <si>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</si>
  <si>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PAULO DOS SANTOS DOMINGUES</t>
  </si>
  <si>
    <t>MARIA APARECIDA BATISTA DOS SANTOS</t>
  </si>
  <si>
    <t>ROSILENE MIRANDA DE OLIVEIRA</t>
  </si>
  <si>
    <t>CARLOS EDUARDO MUNHOZ DE VASCONCELOS</t>
  </si>
  <si>
    <t>IASMIN MOREIRA GEREMIAS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</si>
  <si>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</si>
  <si>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</si>
  <si>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</si>
  <si>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</si>
  <si>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</si>
  <si>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</si>
  <si>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</si>
  <si>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</si>
  <si>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</si>
  <si>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</si>
  <si>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</si>
  <si>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</si>
  <si>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</si>
  <si>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</si>
  <si>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</si>
  <si>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</si>
  <si>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</si>
  <si>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</si>
  <si>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</si>
  <si>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</si>
  <si>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</si>
  <si>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</si>
  <si>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</si>
  <si>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</si>
  <si>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</si>
  <si>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</si>
  <si>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</si>
  <si>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</si>
  <si>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</si>
  <si>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</si>
  <si>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</si>
  <si>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</si>
  <si>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</si>
  <si>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</si>
  <si>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</si>
  <si>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</si>
  <si>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</si>
  <si>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</si>
  <si>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</si>
  <si>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</si>
  <si>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</si>
  <si>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</si>
  <si>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</si>
  <si>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</si>
  <si>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</si>
  <si>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</si>
  <si>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</si>
  <si>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</si>
  <si>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</si>
  <si>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</si>
  <si>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</si>
  <si>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</si>
  <si>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</si>
  <si>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</si>
  <si>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</si>
  <si>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</si>
  <si>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</si>
  <si>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</si>
  <si>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</si>
  <si>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</si>
  <si>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</si>
  <si>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</si>
  <si>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</si>
  <si>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</si>
  <si>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</si>
  <si>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</si>
  <si>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</si>
  <si>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</si>
  <si>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</si>
  <si>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</si>
  <si>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</si>
  <si>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</si>
  <si>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</si>
  <si>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</si>
  <si>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</si>
  <si>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</si>
  <si>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</si>
  <si>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</si>
  <si>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</si>
  <si>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</si>
  <si>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</si>
  <si>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</si>
  <si>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</si>
  <si>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</si>
  <si>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</si>
  <si>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</si>
  <si>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</si>
  <si>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</si>
  <si>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</si>
  <si>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</si>
  <si>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</si>
  <si>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</si>
  <si>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</si>
  <si>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</si>
  <si>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</si>
  <si>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</si>
  <si>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</si>
  <si>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</si>
  <si>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</si>
  <si>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</si>
  <si>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</si>
  <si>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</si>
  <si>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</si>
  <si>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</si>
  <si>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</si>
  <si>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</si>
  <si>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</si>
  <si>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</si>
  <si>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</si>
  <si>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</si>
  <si>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</si>
  <si>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</si>
  <si>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</si>
  <si>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</si>
  <si>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</si>
  <si>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</si>
  <si>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</si>
  <si>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</si>
  <si>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</si>
  <si>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</si>
  <si>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</si>
  <si>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</si>
  <si>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</si>
  <si>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</si>
  <si>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</si>
  <si>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</si>
  <si>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</si>
  <si>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</si>
  <si>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</si>
  <si>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</si>
  <si>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</si>
  <si>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</si>
  <si>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</si>
  <si>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</si>
  <si>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</si>
  <si>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</si>
  <si>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</si>
  <si>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</si>
  <si>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</si>
  <si>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</si>
  <si>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</si>
  <si>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</si>
  <si>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</si>
  <si>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</si>
  <si>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</si>
  <si>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</si>
  <si>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</si>
  <si>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</si>
  <si>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</si>
  <si>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</si>
  <si>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</si>
  <si>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</si>
  <si>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</si>
  <si>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</si>
  <si>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</si>
  <si>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</si>
  <si>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</si>
  <si>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</si>
  <si>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</si>
  <si>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</si>
  <si>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</si>
  <si>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</si>
  <si>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</si>
  <si>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</si>
  <si>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</si>
  <si>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</si>
  <si>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</si>
  <si>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</si>
  <si>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</si>
  <si>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</si>
  <si>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</si>
  <si>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</si>
  <si>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</si>
  <si>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</si>
  <si>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</si>
  <si>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</si>
  <si>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</si>
  <si>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</si>
  <si>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</si>
  <si>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</si>
  <si>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</si>
  <si>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</si>
  <si>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</si>
  <si>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</si>
  <si>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</si>
  <si>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</si>
  <si>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</si>
  <si>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</si>
  <si>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</si>
  <si>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</si>
  <si>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</si>
  <si>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</si>
  <si>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</si>
  <si>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</si>
  <si>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</si>
  <si>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</si>
  <si>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</si>
  <si>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</si>
  <si>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</si>
  <si>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</si>
  <si>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</si>
  <si>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</si>
  <si>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</si>
  <si>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</si>
  <si>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</si>
  <si>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</si>
  <si>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</si>
  <si>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</si>
  <si>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</si>
  <si>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FABIO ALEXANDRE ROSA DA SILVA</t>
  </si>
  <si>
    <t>GABRIEL ALEXANDRE MARTINS DE OLIVEIRA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</si>
  <si>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</si>
  <si>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</si>
  <si>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</si>
  <si>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</si>
  <si>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</si>
  <si>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</si>
  <si>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</si>
  <si>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</si>
  <si>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</si>
  <si>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</si>
  <si>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</si>
  <si>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</si>
  <si>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</si>
  <si>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</si>
  <si>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</si>
  <si>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</si>
  <si>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</si>
  <si>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</si>
  <si>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</si>
  <si>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</si>
  <si>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</si>
  <si>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</si>
  <si>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</si>
  <si>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</si>
  <si>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</si>
  <si>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</si>
  <si>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</si>
  <si>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</si>
  <si>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</si>
  <si>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</si>
  <si>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</si>
  <si>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</si>
  <si>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</si>
  <si>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</si>
  <si>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</si>
  <si>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</si>
  <si>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</si>
  <si>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</si>
  <si>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</si>
  <si>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</si>
  <si>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</si>
  <si>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</si>
  <si>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</si>
  <si>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</si>
  <si>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</si>
  <si>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</si>
  <si>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</si>
  <si>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</si>
  <si>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</si>
  <si>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</si>
  <si>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</si>
  <si>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</si>
  <si>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</si>
  <si>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</si>
  <si>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</si>
  <si>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</si>
  <si>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</si>
  <si>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</si>
  <si>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</si>
  <si>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</si>
  <si>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</si>
  <si>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</si>
  <si>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</si>
  <si>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</si>
  <si>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</si>
  <si>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</si>
  <si>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</si>
  <si>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</si>
  <si>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</si>
  <si>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</si>
  <si>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</si>
  <si>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</si>
  <si>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</si>
  <si>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</si>
  <si>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</si>
  <si>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</si>
  <si>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</si>
  <si>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</si>
  <si>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</si>
  <si>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</si>
  <si>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</si>
  <si>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</si>
  <si>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</si>
  <si>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</si>
  <si>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</si>
  <si>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</si>
  <si>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</si>
  <si>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</si>
  <si>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</si>
  <si>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</si>
  <si>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</si>
  <si>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</si>
  <si>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</si>
  <si>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</si>
  <si>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</si>
  <si>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</si>
  <si>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</si>
  <si>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</si>
  <si>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</si>
  <si>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</si>
  <si>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</si>
  <si>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</si>
  <si>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</si>
  <si>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</si>
  <si>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</si>
  <si>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</si>
  <si>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</si>
  <si>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</si>
  <si>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</si>
  <si>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</si>
  <si>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</si>
  <si>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</si>
  <si>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</si>
  <si>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</si>
  <si>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</si>
  <si>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</si>
  <si>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</si>
  <si>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</si>
  <si>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</si>
  <si>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</si>
  <si>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</si>
  <si>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</si>
  <si>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</si>
  <si>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</si>
  <si>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</si>
  <si>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</si>
  <si>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</si>
  <si>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</si>
  <si>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</si>
  <si>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</si>
  <si>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</si>
  <si>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</si>
  <si>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</si>
  <si>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</si>
  <si>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</si>
  <si>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</si>
  <si>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</si>
  <si>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</si>
  <si>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</si>
  <si>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</si>
  <si>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</si>
  <si>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</si>
  <si>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</si>
  <si>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</si>
  <si>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</si>
  <si>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</si>
  <si>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</si>
  <si>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</si>
  <si>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</si>
  <si>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</si>
  <si>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</si>
  <si>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</si>
  <si>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</si>
  <si>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</si>
  <si>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</si>
  <si>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</si>
  <si>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</si>
  <si>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</si>
  <si>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</si>
  <si>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</si>
  <si>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</si>
  <si>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</si>
  <si>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</si>
  <si>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</si>
  <si>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</si>
  <si>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</si>
  <si>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</si>
  <si>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</si>
  <si>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</si>
  <si>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</si>
  <si>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</si>
  <si>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</si>
  <si>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</si>
  <si>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</si>
  <si>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</si>
  <si>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</si>
  <si>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</si>
  <si>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</si>
  <si>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</si>
  <si>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</si>
  <si>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</si>
  <si>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</si>
  <si>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</si>
  <si>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</si>
  <si>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</si>
  <si>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</si>
  <si>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</si>
  <si>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</si>
  <si>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</si>
  <si>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</si>
  <si>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</si>
  <si>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</si>
  <si>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</si>
  <si>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</si>
  <si>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</si>
  <si>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</si>
  <si>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</si>
  <si>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</si>
  <si>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</si>
  <si>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</si>
  <si>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</si>
  <si>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</si>
  <si>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</si>
  <si>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</si>
  <si>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</si>
  <si>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</si>
  <si>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</si>
  <si>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</si>
  <si>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</si>
  <si>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</si>
  <si>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</si>
  <si>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</si>
  <si>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</si>
  <si>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</si>
  <si>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</si>
  <si>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</si>
  <si>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</si>
  <si>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</si>
  <si>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</si>
  <si>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</si>
  <si>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</si>
  <si>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</si>
  <si>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</si>
  <si>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</si>
  <si>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</si>
  <si>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</si>
  <si>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</si>
  <si>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</si>
  <si>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</si>
  <si>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</si>
  <si>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</si>
  <si>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</si>
  <si>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</si>
  <si>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</si>
  <si>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</si>
  <si>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</si>
  <si>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</si>
  <si>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</si>
  <si>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</si>
  <si>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</si>
  <si>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</si>
  <si>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</si>
  <si>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</si>
  <si>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</si>
  <si>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</si>
  <si>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</si>
  <si>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</si>
  <si>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</si>
  <si>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</si>
  <si>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</si>
  <si>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</si>
  <si>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</si>
  <si>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</si>
  <si>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</si>
  <si>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</si>
  <si>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</si>
  <si>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</si>
  <si>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</si>
  <si>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</si>
  <si>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</si>
  <si>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</si>
  <si>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</si>
  <si>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</si>
  <si>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</si>
  <si>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</si>
  <si>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</si>
  <si>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</si>
  <si>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</si>
  <si>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</si>
  <si>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</si>
  <si>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</si>
  <si>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</si>
  <si>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</si>
  <si>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</si>
  <si>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</si>
  <si>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</si>
  <si>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</si>
  <si>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</si>
  <si>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</si>
  <si>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</si>
  <si>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</si>
  <si>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</si>
  <si>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</si>
  <si>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</si>
  <si>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</si>
  <si>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</si>
  <si>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</si>
  <si>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</si>
  <si>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</si>
  <si>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</si>
  <si>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</si>
  <si>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</si>
  <si>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</si>
  <si>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</si>
  <si>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</si>
  <si>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</si>
  <si>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</si>
  <si>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</si>
  <si>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</si>
  <si>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</si>
  <si>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</si>
  <si>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</si>
  <si>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</si>
  <si>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</si>
  <si>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</si>
  <si>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</si>
  <si>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</si>
  <si>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</si>
  <si>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</si>
  <si>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</si>
  <si>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</si>
  <si>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</si>
  <si>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</si>
  <si>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</si>
  <si>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</si>
  <si>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</si>
  <si>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</si>
  <si>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</si>
  <si>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</si>
  <si>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</si>
  <si>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</si>
  <si>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</si>
  <si>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</si>
  <si>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</si>
  <si>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</si>
  <si>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</si>
  <si>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</si>
  <si>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</si>
  <si>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</si>
  <si>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</si>
  <si>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</si>
  <si>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</si>
  <si>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</si>
  <si>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</si>
  <si>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</si>
  <si>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</si>
  <si>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</si>
  <si>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</si>
  <si>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</si>
  <si>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</si>
  <si>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</si>
  <si>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</si>
  <si>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</si>
  <si>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</si>
  <si>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</si>
  <si>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</si>
  <si>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</si>
  <si>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</si>
  <si>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</si>
  <si>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</si>
  <si>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</si>
  <si>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</si>
  <si>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</si>
  <si>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</si>
  <si>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</si>
  <si>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</si>
  <si>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</si>
  <si>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</si>
  <si>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</si>
  <si>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</si>
  <si>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</si>
  <si>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</si>
  <si>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</si>
  <si>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</si>
  <si>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</si>
  <si>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</si>
  <si>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</si>
  <si>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</si>
  <si>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</si>
  <si>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</si>
  <si>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</si>
  <si>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</si>
  <si>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</si>
  <si>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</si>
  <si>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</si>
  <si>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</si>
  <si>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</si>
  <si>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</si>
  <si>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</si>
  <si>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</si>
  <si>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</si>
  <si>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</si>
  <si>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</si>
  <si>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</si>
  <si>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</si>
  <si>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</si>
  <si>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</si>
  <si>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</si>
  <si>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</si>
  <si>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</si>
  <si>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</si>
  <si>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</si>
  <si>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</si>
  <si>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</si>
  <si>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</si>
  <si>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</si>
  <si>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</si>
  <si>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</si>
  <si>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</si>
  <si>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</si>
  <si>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</si>
  <si>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</si>
  <si>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</si>
  <si>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</si>
  <si>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</si>
  <si>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</si>
  <si>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</si>
  <si>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</si>
  <si>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</si>
  <si>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</si>
  <si>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</si>
  <si>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</si>
  <si>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</si>
  <si>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</si>
  <si>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</si>
  <si>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</si>
  <si>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</si>
  <si>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</si>
  <si>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</si>
  <si>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</si>
  <si>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</si>
  <si>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</si>
  <si>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</si>
  <si>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</si>
  <si>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</si>
  <si>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</si>
  <si>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</si>
  <si>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</si>
  <si>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</si>
  <si>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</si>
  <si>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</si>
  <si>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</si>
  <si>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</si>
  <si>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</si>
  <si>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</si>
  <si>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</si>
  <si>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</si>
  <si>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</si>
  <si>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</si>
  <si>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</si>
  <si>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</si>
  <si>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</si>
  <si>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</si>
  <si>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</si>
  <si>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</si>
  <si>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</si>
  <si>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</si>
  <si>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</si>
  <si>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</si>
  <si>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</si>
  <si>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</si>
  <si>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</si>
  <si>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</si>
  <si>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</si>
  <si>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</si>
  <si>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</si>
  <si>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</si>
  <si>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</si>
  <si>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</si>
  <si>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</si>
  <si>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</si>
  <si>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</si>
  <si>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</si>
  <si>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</si>
  <si>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</si>
  <si>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</si>
  <si>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</si>
  <si>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</si>
  <si>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</si>
  <si>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</si>
  <si>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</si>
  <si>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</si>
  <si>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</si>
  <si>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</si>
  <si>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</si>
  <si>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</si>
  <si>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</si>
  <si>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</si>
  <si>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</si>
  <si>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</si>
  <si>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</si>
  <si>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</si>
  <si>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</si>
  <si>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</si>
  <si>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</si>
  <si>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22/06/2026</t>
  </si>
  <si>
    <t>ISABELE VITORIA FERREIRA</t>
  </si>
  <si>
    <t>DEISIANE ALBUQUERQUE DE SOUZA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</si>
  <si>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</si>
  <si>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</si>
  <si>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</si>
  <si>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</si>
  <si>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</si>
  <si>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</si>
  <si>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</si>
  <si>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</si>
  <si>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</si>
  <si>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</si>
  <si>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</si>
  <si>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</si>
  <si>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</si>
  <si>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</si>
  <si>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</si>
  <si>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</si>
  <si>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</si>
  <si>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</si>
  <si>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</si>
  <si>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</si>
  <si>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</si>
  <si>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</si>
  <si>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</si>
  <si>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</si>
  <si>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</si>
  <si>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</si>
  <si>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</si>
  <si>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</si>
  <si>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</si>
  <si>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</si>
  <si>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</si>
  <si>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</si>
  <si>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</si>
  <si>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</si>
  <si>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</si>
  <si>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</si>
  <si>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</si>
  <si>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</si>
  <si>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</si>
  <si>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</si>
  <si>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</si>
  <si>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</si>
  <si>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</si>
  <si>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</si>
  <si>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</si>
  <si>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</si>
  <si>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</si>
  <si>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</si>
  <si>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</si>
  <si>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</si>
  <si>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</si>
  <si>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</si>
  <si>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</si>
  <si>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</si>
  <si>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</si>
  <si>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</si>
  <si>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</si>
  <si>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</si>
  <si>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</si>
  <si>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</si>
  <si>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</si>
  <si>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</si>
  <si>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</si>
  <si>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</si>
  <si>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</si>
  <si>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</si>
  <si>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</si>
  <si>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</si>
  <si>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</si>
  <si>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</si>
  <si>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</si>
  <si>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</si>
  <si>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RENATA PEREIRA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</si>
  <si>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</si>
  <si>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</si>
  <si>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</si>
  <si>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</si>
  <si>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</si>
  <si>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</si>
  <si>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</si>
  <si>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</si>
  <si>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</si>
  <si>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</si>
  <si>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</si>
  <si>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</si>
  <si>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</si>
  <si>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</si>
  <si>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</si>
  <si>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</si>
  <si>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</si>
  <si>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</si>
  <si>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</si>
  <si>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</si>
  <si>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</si>
  <si>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</si>
  <si>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</si>
  <si>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</si>
  <si>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</si>
  <si>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</si>
  <si>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</si>
  <si>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</si>
  <si>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</si>
  <si>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</si>
  <si>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</si>
  <si>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</si>
  <si>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JOAO PAULO DA SILVA MOURA</t>
  </si>
  <si>
    <t>CLAUDETE GONÇALVES DE MEIRA SINGOLANI</t>
  </si>
  <si>
    <t>LEONARDO TEODORO DA SILVA</t>
  </si>
  <si>
    <t>LUIS CARLOS FRANCISCO</t>
  </si>
  <si>
    <t>MARINETE DA SILVA</t>
  </si>
  <si>
    <t>PEDRO EMANUEL CAMILO VARELA</t>
  </si>
  <si>
    <t>GUSTAVO HENRIQUE ANTONIO DE MELLO</t>
  </si>
  <si>
    <t>KAUANE BALDOINO DOMINGOS</t>
  </si>
  <si>
    <t>EDUARDO PRADO DOS SANTOS</t>
  </si>
  <si>
    <t>ISADORA NOBREGA DOMINGOS</t>
  </si>
  <si>
    <t>JULIANA APARECIDA JACOBE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</si>
  <si>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</si>
  <si>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</si>
  <si>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</si>
  <si>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</si>
  <si>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</si>
  <si>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</si>
  <si>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</si>
  <si>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</si>
  <si>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</si>
  <si>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</si>
  <si>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</si>
  <si>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</si>
  <si>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</si>
  <si>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</si>
  <si>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</si>
  <si>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</si>
  <si>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</si>
  <si>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</si>
  <si>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</si>
  <si>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</si>
  <si>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</si>
  <si>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</si>
  <si>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</si>
  <si>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19/06/2026</t>
  </si>
  <si>
    <t>CAINAN FABRICIO DA SILVA BORGES</t>
  </si>
  <si>
    <t>MARIA EDUARDA ALMEIDA CALADIO</t>
  </si>
  <si>
    <t>CLARA VITORIA DOS SANTOS</t>
  </si>
  <si>
    <t>GABRIEL RODRIGO FRANCISCO DE LIMA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</si>
  <si>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</si>
  <si>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</si>
  <si>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</si>
  <si>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</si>
  <si>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</si>
  <si>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</si>
  <si>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</si>
  <si>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</si>
  <si>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</si>
  <si>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</si>
  <si>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</si>
  <si>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</si>
  <si>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</si>
  <si>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</si>
  <si>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</si>
  <si>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</si>
  <si>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</si>
  <si>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</si>
  <si>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</si>
  <si>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</si>
  <si>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</si>
  <si>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</si>
  <si>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</si>
  <si>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</si>
  <si>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</si>
  <si>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</si>
  <si>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</si>
  <si>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</si>
  <si>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</si>
  <si>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</si>
  <si>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</si>
  <si>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</si>
  <si>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</si>
  <si>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</si>
  <si>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</si>
  <si>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</si>
  <si>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</si>
  <si>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</si>
  <si>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</si>
  <si>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</si>
  <si>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</si>
  <si>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</si>
  <si>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</si>
  <si>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</si>
  <si>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</si>
  <si>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</si>
  <si>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</si>
  <si>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</si>
  <si>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</si>
  <si>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</si>
  <si>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</si>
  <si>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</si>
  <si>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</si>
  <si>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</si>
  <si>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</si>
  <si>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</si>
  <si>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</si>
  <si>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</si>
  <si>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</si>
  <si>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</si>
  <si>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</si>
  <si>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</si>
  <si>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</si>
  <si>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</si>
  <si>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</si>
  <si>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</si>
  <si>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</si>
  <si>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</si>
  <si>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</si>
  <si>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</si>
  <si>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</si>
  <si>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</si>
  <si>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</si>
  <si>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</si>
  <si>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</si>
  <si>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</si>
  <si>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</si>
  <si>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</si>
  <si>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</si>
  <si>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</si>
  <si>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</si>
  <si>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</si>
  <si>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</si>
  <si>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</si>
  <si>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</si>
  <si>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</si>
  <si>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</si>
  <si>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</si>
  <si>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</si>
  <si>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</si>
  <si>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</si>
  <si>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</si>
  <si>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</si>
  <si>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</si>
  <si>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</si>
  <si>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</si>
  <si>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</si>
  <si>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</si>
  <si>
    <t>ALEXANDRE AFONSO DA SILVA</t>
  </si>
  <si>
    <t>VANIA ISABEL DA SILVA RODRIGUES</t>
  </si>
  <si>
    <t>HALDO JOSE DOS SANTOS BARBOSA</t>
  </si>
  <si>
    <t>DEBORA CRISTINA APARECIDA SANTANA</t>
  </si>
  <si>
    <t>LUCAS DOS SANTOS PEREIRA</t>
  </si>
  <si>
    <t>08/09/2026</t>
  </si>
  <si>
    <t>04/09/2026</t>
  </si>
  <si>
    <t>05/09/2026</t>
  </si>
  <si>
    <t>09/09/2026</t>
  </si>
  <si>
    <t>10/09/2026</t>
  </si>
  <si>
    <t>THIAGO DE OLIVEIRA DE JESUS</t>
  </si>
  <si>
    <t>ROSINEI WOEHL DE AZEVEDO SANTOS</t>
  </si>
  <si>
    <t>GABRIELA APARECIDA DA COSTA LEAL</t>
  </si>
  <si>
    <t>CLAUDEMIRO DA SILVA</t>
  </si>
  <si>
    <t>TIAGO DOS SANTOS PAIXAO</t>
  </si>
  <si>
    <t>ENCARREGADO DE HORTIFRUTI - LOJA 2</t>
  </si>
  <si>
    <t>VITORIA BEATRIZ ARAUJO DA SILVA</t>
  </si>
  <si>
    <t>ELAINE CRISTINA CASTRO PEREIRA</t>
  </si>
  <si>
    <t>JOSE GOMES DA CRUZ</t>
  </si>
  <si>
    <t>CHRISTOPHER MURILO DOMINGUEZ PEREIRA</t>
  </si>
  <si>
    <t>GUSTAVO PEREIRA DE JESUS</t>
  </si>
  <si>
    <t>MARIZA ISABEL ZIMMERMANN</t>
  </si>
  <si>
    <t>JOHNNY DE OLIVEIRA OSORIO</t>
  </si>
  <si>
    <t>MATEUS ALVES DOS SANTOS</t>
  </si>
  <si>
    <t>ORANDI DOS SANTOS</t>
  </si>
  <si>
    <t>DOROTEIA ALVES</t>
  </si>
  <si>
    <t>DAGLIS DANIEL BEJU RIBEIRO</t>
  </si>
  <si>
    <t>ANA LIVIA VICENTE GARCIA</t>
  </si>
  <si>
    <t>LUCIA GOUVEIA GALDINO</t>
  </si>
  <si>
    <t>KELVIN FELIPE DA CRUZ KOJIMA</t>
  </si>
  <si>
    <t>CONCEIÇÃO APARECIDA RODRIGUES NIETTO</t>
  </si>
  <si>
    <t>MATHEUS RODRIGUES DORIA</t>
  </si>
  <si>
    <t>GUSTAVO PITTER FIGUEIREDO</t>
  </si>
  <si>
    <t>11/09/2026</t>
  </si>
  <si>
    <t>15/09/2026</t>
  </si>
  <si>
    <t>ASSISTENTE DE RH - NV II - CD</t>
  </si>
  <si>
    <t>JACKSON MOISES DE OLIVEIRA CAMARRA</t>
  </si>
  <si>
    <t>ELISANGELA MACHADO CORREA DA CONCEICAO</t>
  </si>
  <si>
    <t>NIXON THOMAS</t>
  </si>
  <si>
    <t>TAWANI PRISCILA DA SILVA</t>
  </si>
  <si>
    <t>RIAN SANTOS PEREIRA DA SILVA</t>
  </si>
  <si>
    <t>BEATRIZ DOS SANTOS THEODORO</t>
  </si>
  <si>
    <t>MIRIELLE TELLES DA LUZ</t>
  </si>
  <si>
    <t>TELMA MARIANA DA SILVA</t>
  </si>
  <si>
    <t>ZAIR FERREIRA DO CARMO</t>
  </si>
  <si>
    <t>ANA MARIA DOS SANTOS SOUZA</t>
  </si>
  <si>
    <t>17/09/2026</t>
  </si>
  <si>
    <t>16/09/2026</t>
  </si>
  <si>
    <t>18/09/2026</t>
  </si>
  <si>
    <t>EDSON DE OLIVEIRA</t>
  </si>
  <si>
    <t>TATIANE RENATA DE PAULA OLIVEIRA</t>
  </si>
  <si>
    <t>FABIANA CRISTINA AUGUSTA DA SILVA</t>
  </si>
  <si>
    <t>IGOR SILVA DA CUNHA</t>
  </si>
  <si>
    <t>JOSE LUCAS APARECIDO FERREIRA DE ARAUJO</t>
  </si>
  <si>
    <t>OMAR DE JESUS SANTOS PEREZ</t>
  </si>
  <si>
    <t>ANA LUIZA GOMES DA SILVA</t>
  </si>
  <si>
    <t>MATHEUS DA SILVA CAMILO</t>
  </si>
  <si>
    <t>ARAMIS RIVAS OTERO</t>
  </si>
  <si>
    <t>22/09/2026</t>
  </si>
  <si>
    <t>20/09/2026</t>
  </si>
  <si>
    <t>24/09/2026</t>
  </si>
  <si>
    <t>21/09/2026</t>
  </si>
  <si>
    <t>23/09/2026</t>
  </si>
  <si>
    <t>19/09/2026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</si>
</sst>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1800</v>
      </c>
      <c r="G2" t="s">
        <v>1353</v>
      </c>
      <c r="H2" s="71"/>
      <c r="I2" t="s">
        <v>222</v>
      </c>
      <c r="J2" s="187">
        <v>1</v>
      </c>
      <c r="K2" t="s">
        <v>1407</v>
      </c>
      <c r="L2" s="185"/>
      <c r="M2" s="188">
        <v>44629</v>
      </c>
      <c r="N2" s="71"/>
      <c r="Q2" s="71"/>
      <c r="R2" s="71"/>
      <c r="S2" t="s">
        <v>223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1649</v>
      </c>
      <c r="G3" t="s">
        <v>224</v>
      </c>
      <c r="H3" s="71"/>
      <c r="I3" t="s">
        <v>225</v>
      </c>
      <c r="J3" s="187">
        <v>1</v>
      </c>
      <c r="K3" t="s">
        <v>1407</v>
      </c>
      <c r="L3" s="185"/>
      <c r="M3" s="188">
        <v>44186</v>
      </c>
      <c r="N3" s="71"/>
      <c r="Q3" s="71"/>
      <c r="R3" s="71"/>
      <c r="S3" t="s">
        <v>223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Férias</v>
      </c>
      <c r="E4" s="187">
        <v>1</v>
      </c>
      <c r="F4" s="187">
        <v>127</v>
      </c>
      <c r="G4" t="s">
        <v>226</v>
      </c>
      <c r="H4" s="71"/>
      <c r="I4" t="s">
        <v>222</v>
      </c>
      <c r="J4" s="187">
        <v>2</v>
      </c>
      <c r="K4" t="s">
        <v>1579</v>
      </c>
      <c r="L4" s="185"/>
      <c r="M4" s="188">
        <v>45511</v>
      </c>
      <c r="N4" s="71"/>
      <c r="O4" s="71"/>
      <c r="P4" s="71"/>
      <c r="Q4" s="71"/>
      <c r="R4" s="71"/>
      <c r="S4" t="s">
        <v>221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187</v>
      </c>
      <c r="G5" t="s">
        <v>227</v>
      </c>
      <c r="H5" s="71"/>
      <c r="I5" t="s">
        <v>225</v>
      </c>
      <c r="J5" s="187">
        <v>1</v>
      </c>
      <c r="K5" t="s">
        <v>1407</v>
      </c>
      <c r="L5" s="185"/>
      <c r="M5" s="188">
        <v>39412</v>
      </c>
      <c r="N5" s="71"/>
      <c r="Q5" s="71"/>
      <c r="R5" s="71"/>
      <c r="S5" t="s">
        <v>223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23</v>
      </c>
      <c r="G6" t="s">
        <v>1336</v>
      </c>
      <c r="H6" s="71"/>
      <c r="I6" t="s">
        <v>220</v>
      </c>
      <c r="J6" s="187">
        <v>1</v>
      </c>
      <c r="K6" t="s">
        <v>1407</v>
      </c>
      <c r="L6" s="185"/>
      <c r="M6" s="188">
        <v>46178</v>
      </c>
      <c r="N6" s="71"/>
      <c r="Q6" s="71"/>
      <c r="R6" s="71"/>
      <c r="S6" t="s">
        <v>221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BALCONISTA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46</v>
      </c>
      <c r="G7" t="s">
        <v>1589</v>
      </c>
      <c r="H7" s="71"/>
      <c r="I7" t="s">
        <v>220</v>
      </c>
      <c r="J7" s="187">
        <v>1</v>
      </c>
      <c r="K7" t="s">
        <v>1407</v>
      </c>
      <c r="L7" s="185"/>
      <c r="M7" s="188">
        <v>46274</v>
      </c>
      <c r="N7" s="71"/>
      <c r="Q7" s="71"/>
      <c r="R7" s="71"/>
      <c r="S7" t="s">
        <v>1264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BALCONISTA</v>
      </c>
      <c r="D8" s="72" t="str">
        <f ca="1">IFERROR(IF(TODAY()-K8&gt;365,"Inativo",IF(J8=2,"Férias",IF(J8=7,"Demitido","Afastamento"))),VLOOKUP(J8,Conf!$H:$I,2,0))</f>
        <v>Demitido</v>
      </c>
      <c r="E8" s="187">
        <v>1</v>
      </c>
      <c r="F8" s="187">
        <v>35</v>
      </c>
      <c r="G8" t="s">
        <v>1490</v>
      </c>
      <c r="H8" s="71"/>
      <c r="I8" t="s">
        <v>220</v>
      </c>
      <c r="J8" s="187">
        <v>7</v>
      </c>
      <c r="K8" t="s">
        <v>1597</v>
      </c>
      <c r="L8" s="185"/>
      <c r="M8" s="188">
        <v>46245</v>
      </c>
      <c r="N8" s="71"/>
      <c r="O8" s="71"/>
      <c r="P8" s="71"/>
      <c r="Q8" s="71"/>
      <c r="R8" s="71"/>
      <c r="S8" t="s">
        <v>1264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41</v>
      </c>
      <c r="G9" t="s">
        <v>1512</v>
      </c>
      <c r="H9" s="71"/>
      <c r="I9" t="s">
        <v>220</v>
      </c>
      <c r="J9" s="187">
        <v>1</v>
      </c>
      <c r="K9" t="s">
        <v>1407</v>
      </c>
      <c r="L9" s="185"/>
      <c r="M9" s="188">
        <v>46252</v>
      </c>
      <c r="N9" s="71"/>
      <c r="O9" s="71"/>
      <c r="P9" s="71"/>
      <c r="Q9" s="71"/>
      <c r="R9" s="71"/>
      <c r="S9" t="s">
        <v>1264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51</v>
      </c>
      <c r="G10" t="s">
        <v>1627</v>
      </c>
      <c r="H10" s="71"/>
      <c r="I10" t="s">
        <v>304</v>
      </c>
      <c r="J10" s="187">
        <v>1</v>
      </c>
      <c r="K10" t="s">
        <v>1407</v>
      </c>
      <c r="L10" s="185"/>
      <c r="M10" s="188">
        <v>46287</v>
      </c>
      <c r="N10" s="71"/>
      <c r="O10" s="71"/>
      <c r="P10" s="71"/>
      <c r="Q10" s="71"/>
      <c r="R10" s="71"/>
      <c r="S10" t="s">
        <v>1264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43</v>
      </c>
      <c r="G11" t="s">
        <v>1532</v>
      </c>
      <c r="H11" s="71"/>
      <c r="I11" t="s">
        <v>220</v>
      </c>
      <c r="J11" s="187">
        <v>1</v>
      </c>
      <c r="K11" t="s">
        <v>1407</v>
      </c>
      <c r="L11" s="185"/>
      <c r="M11" s="188">
        <v>46258</v>
      </c>
      <c r="N11" s="71"/>
      <c r="O11" s="71"/>
      <c r="P11" s="71"/>
      <c r="Q11" s="71"/>
      <c r="R11" s="71"/>
      <c r="S11" t="s">
        <v>228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633</v>
      </c>
      <c r="G12" t="s">
        <v>229</v>
      </c>
      <c r="H12" s="71"/>
      <c r="I12" t="s">
        <v>220</v>
      </c>
      <c r="J12" s="187">
        <v>1</v>
      </c>
      <c r="K12" t="s">
        <v>1407</v>
      </c>
      <c r="L12" s="185"/>
      <c r="M12" s="188">
        <v>41229</v>
      </c>
      <c r="N12" s="71"/>
      <c r="O12" s="71"/>
      <c r="P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252</v>
      </c>
      <c r="G13" t="s">
        <v>231</v>
      </c>
      <c r="H13" s="71"/>
      <c r="I13" t="s">
        <v>220</v>
      </c>
      <c r="J13" s="187">
        <v>1</v>
      </c>
      <c r="K13" t="s">
        <v>1407</v>
      </c>
      <c r="L13" s="185"/>
      <c r="M13" s="188">
        <v>45952</v>
      </c>
      <c r="N13" s="71"/>
      <c r="Q13" s="71"/>
      <c r="R13" s="71"/>
      <c r="S13" t="s">
        <v>228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213</v>
      </c>
      <c r="G14" t="s">
        <v>232</v>
      </c>
      <c r="H14" s="71"/>
      <c r="I14" t="s">
        <v>233</v>
      </c>
      <c r="J14" s="187">
        <v>1</v>
      </c>
      <c r="K14" t="s">
        <v>1407</v>
      </c>
      <c r="L14" s="185"/>
      <c r="M14" s="188">
        <v>45817</v>
      </c>
      <c r="N14" s="71"/>
      <c r="Q14" s="71"/>
      <c r="R14" s="71"/>
      <c r="S14" t="s">
        <v>228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1332</v>
      </c>
      <c r="G15" t="s">
        <v>234</v>
      </c>
      <c r="H15" s="71"/>
      <c r="I15" t="s">
        <v>225</v>
      </c>
      <c r="J15" s="187">
        <v>1</v>
      </c>
      <c r="K15" t="s">
        <v>1407</v>
      </c>
      <c r="L15" s="185"/>
      <c r="M15" s="188">
        <v>42863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ENCARREGADO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75</v>
      </c>
      <c r="G16" t="s">
        <v>235</v>
      </c>
      <c r="H16" s="71"/>
      <c r="I16" t="s">
        <v>236</v>
      </c>
      <c r="J16" s="187">
        <v>1</v>
      </c>
      <c r="K16" t="s">
        <v>1407</v>
      </c>
      <c r="L16" s="185"/>
      <c r="M16" s="188">
        <v>45309</v>
      </c>
      <c r="N16" s="71"/>
      <c r="Q16" s="71"/>
      <c r="R16" s="71"/>
      <c r="S16" t="s">
        <v>237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ADMINISTRATIVO</v>
      </c>
      <c r="C17" s="72" t="str">
        <f ca="1">IF(D17="Inativo","Inativo",IFERROR(VLOOKUP($G17,Conf!$O:$Q,3,0),IFERROR(VLOOKUP($G17,Conf!$E:$F,2,0),VLOOKUP($S17,Conf!$K:$M,3,0))))</f>
        <v>APRENDIZ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2393</v>
      </c>
      <c r="G17" t="s">
        <v>338</v>
      </c>
      <c r="H17" s="71"/>
      <c r="I17" t="s">
        <v>339</v>
      </c>
      <c r="J17" s="187">
        <v>1</v>
      </c>
      <c r="K17" t="s">
        <v>1407</v>
      </c>
      <c r="L17" s="185"/>
      <c r="M17" s="188">
        <v>46077</v>
      </c>
      <c r="N17" s="71"/>
      <c r="O17" s="71"/>
      <c r="P17" s="71"/>
      <c r="Q17" s="71"/>
      <c r="R17" s="71"/>
      <c r="S17" t="s">
        <v>340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292</v>
      </c>
      <c r="G18" t="s">
        <v>341</v>
      </c>
      <c r="H18" s="71"/>
      <c r="I18" t="s">
        <v>339</v>
      </c>
      <c r="J18" s="187">
        <v>1</v>
      </c>
      <c r="K18" t="s">
        <v>1407</v>
      </c>
      <c r="L18" s="185"/>
      <c r="M18" s="188">
        <v>46077</v>
      </c>
      <c r="N18" s="71"/>
      <c r="Q18" s="71"/>
      <c r="R18" s="71"/>
      <c r="S18" t="s">
        <v>342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2388</v>
      </c>
      <c r="G19" t="s">
        <v>343</v>
      </c>
      <c r="H19" s="71"/>
      <c r="I19" t="s">
        <v>339</v>
      </c>
      <c r="J19" s="187">
        <v>1</v>
      </c>
      <c r="K19" t="s">
        <v>1407</v>
      </c>
      <c r="L19" s="185"/>
      <c r="M19" s="188">
        <v>46077</v>
      </c>
      <c r="N19" s="71"/>
      <c r="Q19" s="71"/>
      <c r="R19" s="71"/>
      <c r="S19" t="s">
        <v>340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291</v>
      </c>
      <c r="G20" t="s">
        <v>344</v>
      </c>
      <c r="H20" s="71"/>
      <c r="I20" t="s">
        <v>339</v>
      </c>
      <c r="J20" s="187">
        <v>1</v>
      </c>
      <c r="K20" t="s">
        <v>1407</v>
      </c>
      <c r="L20" s="185"/>
      <c r="M20" s="188">
        <v>46077</v>
      </c>
      <c r="N20" s="71"/>
      <c r="Q20" s="71"/>
      <c r="R20" s="71"/>
      <c r="S20" t="s">
        <v>342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2385</v>
      </c>
      <c r="G21" t="s">
        <v>345</v>
      </c>
      <c r="H21" s="71"/>
      <c r="I21" t="s">
        <v>339</v>
      </c>
      <c r="J21" s="187">
        <v>1</v>
      </c>
      <c r="K21" t="s">
        <v>1407</v>
      </c>
      <c r="L21" s="185"/>
      <c r="M21" s="188">
        <v>46077</v>
      </c>
      <c r="N21" s="71"/>
      <c r="O21" s="71"/>
      <c r="P21" s="71"/>
      <c r="Q21" s="71"/>
      <c r="R21" s="71"/>
      <c r="S21" t="s">
        <v>340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1338</v>
      </c>
      <c r="G22" t="s">
        <v>348</v>
      </c>
      <c r="H22" s="71"/>
      <c r="I22" t="s">
        <v>244</v>
      </c>
      <c r="J22" s="187">
        <v>1</v>
      </c>
      <c r="K22" t="s">
        <v>1407</v>
      </c>
      <c r="L22" s="185"/>
      <c r="M22" s="188">
        <v>42887</v>
      </c>
      <c r="N22" s="71"/>
      <c r="O22" s="71"/>
      <c r="P22" s="71"/>
      <c r="Q22" s="71"/>
      <c r="R22" s="71"/>
      <c r="S22" t="s">
        <v>256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1256</v>
      </c>
      <c r="G23" t="s">
        <v>257</v>
      </c>
      <c r="H23" s="71"/>
      <c r="I23" t="s">
        <v>258</v>
      </c>
      <c r="J23" s="187">
        <v>1</v>
      </c>
      <c r="K23" t="s">
        <v>1407</v>
      </c>
      <c r="L23" s="185"/>
      <c r="M23" s="188">
        <v>42571</v>
      </c>
      <c r="N23" s="71"/>
      <c r="Q23" s="71"/>
      <c r="R23" s="71"/>
      <c r="S23" t="s">
        <v>256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2350</v>
      </c>
      <c r="G24" t="s">
        <v>238</v>
      </c>
      <c r="H24" s="71"/>
      <c r="I24" t="s">
        <v>239</v>
      </c>
      <c r="J24" s="187">
        <v>1</v>
      </c>
      <c r="K24" t="s">
        <v>1407</v>
      </c>
      <c r="L24" s="185"/>
      <c r="M24" s="188">
        <v>46034</v>
      </c>
      <c r="N24" s="71"/>
      <c r="O24" s="71"/>
      <c r="P24" s="71"/>
      <c r="Q24" s="71"/>
      <c r="R24" s="71"/>
      <c r="S24" t="s">
        <v>240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LIMPEZA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137</v>
      </c>
      <c r="G25" t="s">
        <v>334</v>
      </c>
      <c r="H25" s="71"/>
      <c r="I25" t="s">
        <v>222</v>
      </c>
      <c r="J25" s="187">
        <v>1</v>
      </c>
      <c r="K25" t="s">
        <v>1407</v>
      </c>
      <c r="L25" s="185"/>
      <c r="M25" s="188">
        <v>45554</v>
      </c>
      <c r="N25" s="71"/>
      <c r="O25" s="71"/>
      <c r="P25" s="71"/>
      <c r="Q25" s="71"/>
      <c r="R25" s="71"/>
      <c r="S25" t="s">
        <v>335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287</v>
      </c>
      <c r="G26" t="s">
        <v>336</v>
      </c>
      <c r="H26" s="71"/>
      <c r="I26" t="s">
        <v>220</v>
      </c>
      <c r="J26" s="187">
        <v>1</v>
      </c>
      <c r="K26" t="s">
        <v>1407</v>
      </c>
      <c r="L26" s="185"/>
      <c r="M26" s="188">
        <v>46062</v>
      </c>
      <c r="N26" s="71"/>
      <c r="Q26" s="71"/>
      <c r="R26" s="71"/>
      <c r="S26" t="s">
        <v>335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144</v>
      </c>
      <c r="G27" t="s">
        <v>337</v>
      </c>
      <c r="H27" s="71"/>
      <c r="I27" t="s">
        <v>220</v>
      </c>
      <c r="J27" s="187">
        <v>1</v>
      </c>
      <c r="K27" t="s">
        <v>1407</v>
      </c>
      <c r="L27" s="185"/>
      <c r="M27" s="188">
        <v>45581</v>
      </c>
      <c r="N27" s="71"/>
      <c r="Q27" s="71"/>
      <c r="R27" s="71"/>
      <c r="S27" t="s">
        <v>335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PREVENÇÃO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2432</v>
      </c>
      <c r="G28" t="s">
        <v>1320</v>
      </c>
      <c r="H28" s="71"/>
      <c r="I28" t="s">
        <v>297</v>
      </c>
      <c r="J28" s="187">
        <v>1</v>
      </c>
      <c r="K28" t="s">
        <v>1407</v>
      </c>
      <c r="L28" s="185"/>
      <c r="M28" s="188">
        <v>46178</v>
      </c>
      <c r="N28" s="71"/>
      <c r="O28" s="71"/>
      <c r="P28" s="71"/>
      <c r="Q28" s="71"/>
      <c r="R28" s="71"/>
      <c r="S28" t="s">
        <v>1501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CONFEITARIA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271</v>
      </c>
      <c r="G29" t="s">
        <v>375</v>
      </c>
      <c r="H29" s="71"/>
      <c r="I29" t="s">
        <v>222</v>
      </c>
      <c r="J29" s="187">
        <v>1</v>
      </c>
      <c r="K29" t="s">
        <v>1407</v>
      </c>
      <c r="L29" s="185"/>
      <c r="M29" s="188">
        <v>46028</v>
      </c>
      <c r="N29" s="71"/>
      <c r="O29" s="71"/>
      <c r="P29" s="71"/>
      <c r="Q29" s="71"/>
      <c r="R29" s="71"/>
      <c r="S29" t="s">
        <v>373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246</v>
      </c>
      <c r="G30" t="s">
        <v>376</v>
      </c>
      <c r="H30" s="71"/>
      <c r="I30" t="s">
        <v>222</v>
      </c>
      <c r="J30" s="187">
        <v>1</v>
      </c>
      <c r="K30" t="s">
        <v>1407</v>
      </c>
      <c r="L30" s="185"/>
      <c r="M30" s="188">
        <v>45931</v>
      </c>
      <c r="N30" s="71"/>
      <c r="O30" s="71"/>
      <c r="P30" s="71"/>
      <c r="Q30" s="71"/>
      <c r="R30" s="71"/>
      <c r="S30" t="s">
        <v>373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16</v>
      </c>
      <c r="G31" t="s">
        <v>381</v>
      </c>
      <c r="H31" s="71"/>
      <c r="I31" t="s">
        <v>222</v>
      </c>
      <c r="J31" s="187">
        <v>1</v>
      </c>
      <c r="K31" t="s">
        <v>1407</v>
      </c>
      <c r="L31" s="185"/>
      <c r="M31" s="188">
        <v>46147</v>
      </c>
      <c r="N31" s="71"/>
      <c r="O31" s="71"/>
      <c r="P31" s="71"/>
      <c r="Q31" s="71"/>
      <c r="R31" s="71"/>
      <c r="S31" t="s">
        <v>242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CONFEITEIRO(A)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1566</v>
      </c>
      <c r="G32" t="s">
        <v>243</v>
      </c>
      <c r="H32" s="71"/>
      <c r="I32" t="s">
        <v>244</v>
      </c>
      <c r="J32" s="187">
        <v>1</v>
      </c>
      <c r="K32" t="s">
        <v>1407</v>
      </c>
      <c r="L32" s="185"/>
      <c r="M32" s="188">
        <v>43872</v>
      </c>
      <c r="N32" s="71"/>
      <c r="Q32" s="71"/>
      <c r="R32" s="71"/>
      <c r="S32" t="s">
        <v>245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17</v>
      </c>
      <c r="G33" t="s">
        <v>241</v>
      </c>
      <c r="H33" s="71"/>
      <c r="I33" t="s">
        <v>222</v>
      </c>
      <c r="J33" s="187">
        <v>1</v>
      </c>
      <c r="K33" t="s">
        <v>1407</v>
      </c>
      <c r="L33" s="185"/>
      <c r="M33" s="188">
        <v>46155</v>
      </c>
      <c r="N33" s="71"/>
      <c r="Q33" s="71"/>
      <c r="R33" s="71"/>
      <c r="S33" t="s">
        <v>242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45</v>
      </c>
      <c r="G34" t="s">
        <v>293</v>
      </c>
      <c r="H34" s="71"/>
      <c r="I34" t="s">
        <v>322</v>
      </c>
      <c r="J34" s="187">
        <v>1</v>
      </c>
      <c r="K34" t="s">
        <v>1407</v>
      </c>
      <c r="L34" s="185"/>
      <c r="M34" s="188">
        <v>46269</v>
      </c>
      <c r="N34" s="71"/>
      <c r="Q34" s="71"/>
      <c r="R34" s="71"/>
      <c r="S34" t="s">
        <v>249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32</v>
      </c>
      <c r="G35" t="s">
        <v>1452</v>
      </c>
      <c r="H35" s="71"/>
      <c r="I35" t="s">
        <v>222</v>
      </c>
      <c r="J35" s="187">
        <v>1</v>
      </c>
      <c r="K35" t="s">
        <v>1407</v>
      </c>
      <c r="L35" s="185"/>
      <c r="M35" s="188">
        <v>46223</v>
      </c>
      <c r="N35" s="71"/>
      <c r="Q35" s="71"/>
      <c r="R35" s="71"/>
      <c r="S35" t="s">
        <v>249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15</v>
      </c>
      <c r="G36" t="s">
        <v>253</v>
      </c>
      <c r="H36" s="71"/>
      <c r="I36" t="s">
        <v>222</v>
      </c>
      <c r="J36" s="187">
        <v>1</v>
      </c>
      <c r="K36" t="s">
        <v>1407</v>
      </c>
      <c r="L36" s="185"/>
      <c r="M36" s="188">
        <v>46147</v>
      </c>
      <c r="N36" s="71"/>
      <c r="O36" s="71"/>
      <c r="P36" s="71"/>
      <c r="Q36" s="71"/>
      <c r="R36" s="71"/>
      <c r="S36" t="s">
        <v>249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1823</v>
      </c>
      <c r="G37" t="s">
        <v>246</v>
      </c>
      <c r="H37" s="71"/>
      <c r="I37" t="s">
        <v>247</v>
      </c>
      <c r="J37" s="187">
        <v>1</v>
      </c>
      <c r="K37" t="s">
        <v>1407</v>
      </c>
      <c r="L37" s="185"/>
      <c r="M37" s="188">
        <v>44655</v>
      </c>
      <c r="N37" s="71"/>
      <c r="Q37" s="71"/>
      <c r="R37" s="71"/>
      <c r="S37" t="s">
        <v>248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CONFERENTE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2098</v>
      </c>
      <c r="G38" t="s">
        <v>252</v>
      </c>
      <c r="H38" s="71"/>
      <c r="I38" t="s">
        <v>225</v>
      </c>
      <c r="J38" s="187">
        <v>1</v>
      </c>
      <c r="K38" t="s">
        <v>1407</v>
      </c>
      <c r="L38" s="185"/>
      <c r="M38" s="188">
        <v>45474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ENCARREGADO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101</v>
      </c>
      <c r="G39" t="s">
        <v>259</v>
      </c>
      <c r="H39" s="71"/>
      <c r="I39" t="s">
        <v>247</v>
      </c>
      <c r="J39" s="187">
        <v>1</v>
      </c>
      <c r="K39" t="s">
        <v>1407</v>
      </c>
      <c r="L39" s="185"/>
      <c r="M39" s="188">
        <v>38992</v>
      </c>
      <c r="N39" s="71"/>
      <c r="Q39" s="71"/>
      <c r="R39" s="71"/>
      <c r="S39" t="s">
        <v>260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308</v>
      </c>
      <c r="G40" t="s">
        <v>264</v>
      </c>
      <c r="H40" s="71"/>
      <c r="I40" t="s">
        <v>265</v>
      </c>
      <c r="J40" s="187">
        <v>1</v>
      </c>
      <c r="K40" t="s">
        <v>1407</v>
      </c>
      <c r="L40" s="185"/>
      <c r="M40" s="188">
        <v>40039</v>
      </c>
      <c r="N40" s="71"/>
      <c r="Q40" s="71"/>
      <c r="R40" s="71"/>
      <c r="S40" t="s">
        <v>266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195</v>
      </c>
      <c r="G41" t="s">
        <v>267</v>
      </c>
      <c r="H41" s="71"/>
      <c r="I41" t="s">
        <v>220</v>
      </c>
      <c r="J41" s="187">
        <v>1</v>
      </c>
      <c r="K41" t="s">
        <v>1407</v>
      </c>
      <c r="L41" s="185"/>
      <c r="M41" s="188">
        <v>39454</v>
      </c>
      <c r="N41" s="71"/>
      <c r="Q41" s="71"/>
      <c r="R41" s="71"/>
      <c r="S41" t="s">
        <v>266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140</v>
      </c>
      <c r="G42" t="s">
        <v>268</v>
      </c>
      <c r="H42" s="71"/>
      <c r="I42" t="s">
        <v>222</v>
      </c>
      <c r="J42" s="187">
        <v>7</v>
      </c>
      <c r="K42" t="s">
        <v>1530</v>
      </c>
      <c r="L42" s="185"/>
      <c r="M42" s="188">
        <v>39189</v>
      </c>
      <c r="N42" s="71"/>
      <c r="Q42" s="71"/>
      <c r="R42" s="71"/>
      <c r="S42" t="s">
        <v>266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282</v>
      </c>
      <c r="G43" t="s">
        <v>346</v>
      </c>
      <c r="H43" s="71"/>
      <c r="I43" t="s">
        <v>222</v>
      </c>
      <c r="J43" s="187">
        <v>1</v>
      </c>
      <c r="K43" t="s">
        <v>1407</v>
      </c>
      <c r="L43" s="185"/>
      <c r="M43" s="188">
        <v>46055</v>
      </c>
      <c r="N43" s="71"/>
      <c r="Q43" s="71"/>
      <c r="R43" s="71"/>
      <c r="S43" t="s">
        <v>347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37</v>
      </c>
      <c r="G44" t="s">
        <v>1507</v>
      </c>
      <c r="H44" s="71"/>
      <c r="I44" t="s">
        <v>220</v>
      </c>
      <c r="J44" s="187">
        <v>1</v>
      </c>
      <c r="K44" t="s">
        <v>1407</v>
      </c>
      <c r="L44" s="185"/>
      <c r="M44" s="188">
        <v>46251</v>
      </c>
      <c r="N44" s="71"/>
      <c r="O44" s="71"/>
      <c r="P44" s="71"/>
      <c r="Q44" s="71"/>
      <c r="R44" s="71"/>
      <c r="S44" t="s">
        <v>273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1970</v>
      </c>
      <c r="G45" t="s">
        <v>271</v>
      </c>
      <c r="H45" s="71"/>
      <c r="I45" t="s">
        <v>272</v>
      </c>
      <c r="J45" s="187">
        <v>1</v>
      </c>
      <c r="K45" t="s">
        <v>1407</v>
      </c>
      <c r="L45" s="185"/>
      <c r="M45" s="188">
        <v>45010</v>
      </c>
      <c r="N45" s="71"/>
      <c r="Q45" s="71"/>
      <c r="R45" s="71"/>
      <c r="S45" t="s">
        <v>266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48</v>
      </c>
      <c r="G46" t="s">
        <v>1613</v>
      </c>
      <c r="H46" s="71"/>
      <c r="I46" t="s">
        <v>360</v>
      </c>
      <c r="J46" s="187">
        <v>1</v>
      </c>
      <c r="K46" t="s">
        <v>1407</v>
      </c>
      <c r="L46" s="185"/>
      <c r="M46" s="188">
        <v>46282</v>
      </c>
      <c r="N46" s="71"/>
      <c r="Q46" s="71"/>
      <c r="R46" s="71"/>
      <c r="S46" t="s">
        <v>273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274</v>
      </c>
      <c r="H47" s="71"/>
      <c r="I47" t="s">
        <v>220</v>
      </c>
      <c r="J47" s="187">
        <v>1</v>
      </c>
      <c r="K47" t="s">
        <v>1407</v>
      </c>
      <c r="L47" s="185"/>
      <c r="M47" s="188">
        <v>46135</v>
      </c>
      <c r="N47" s="71"/>
      <c r="O47" s="71"/>
      <c r="P47" s="71"/>
      <c r="Q47" s="71"/>
      <c r="R47" s="71"/>
      <c r="S47" t="s">
        <v>275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276</v>
      </c>
      <c r="H48" s="71"/>
      <c r="I48" t="s">
        <v>222</v>
      </c>
      <c r="J48" s="187">
        <v>1</v>
      </c>
      <c r="K48" t="s">
        <v>1407</v>
      </c>
      <c r="L48" s="185"/>
      <c r="M48" s="188">
        <v>36923</v>
      </c>
      <c r="N48" s="71"/>
      <c r="O48" s="71"/>
      <c r="P48" s="71"/>
      <c r="Q48" s="71"/>
      <c r="R48" s="71"/>
      <c r="S48" t="s">
        <v>275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Afastamento</v>
      </c>
      <c r="E49" s="187">
        <v>1</v>
      </c>
      <c r="F49" s="187">
        <v>563</v>
      </c>
      <c r="G49" t="s">
        <v>250</v>
      </c>
      <c r="H49" s="71"/>
      <c r="I49" t="s">
        <v>220</v>
      </c>
      <c r="J49" s="187">
        <v>23</v>
      </c>
      <c r="K49" t="s">
        <v>1647</v>
      </c>
      <c r="L49" s="185"/>
      <c r="M49" s="188">
        <v>40933</v>
      </c>
      <c r="N49" s="71"/>
      <c r="O49" s="71"/>
      <c r="P49" s="71"/>
      <c r="Q49" s="71"/>
      <c r="R49" s="71"/>
      <c r="S49" t="s">
        <v>263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261</v>
      </c>
      <c r="H50" s="71"/>
      <c r="I50" t="s">
        <v>262</v>
      </c>
      <c r="J50" s="187">
        <v>1</v>
      </c>
      <c r="K50" t="s">
        <v>1407</v>
      </c>
      <c r="L50" s="185"/>
      <c r="M50" s="188">
        <v>42067</v>
      </c>
      <c r="N50" s="71"/>
      <c r="O50" s="71"/>
      <c r="P50" s="71"/>
      <c r="Q50" s="71"/>
      <c r="R50" s="71"/>
      <c r="S50" t="s">
        <v>263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391</v>
      </c>
      <c r="H51" s="71"/>
      <c r="I51" t="s">
        <v>222</v>
      </c>
      <c r="J51" s="187">
        <v>7</v>
      </c>
      <c r="K51" t="s">
        <v>1580</v>
      </c>
      <c r="L51" s="185"/>
      <c r="M51" s="188">
        <v>46001</v>
      </c>
      <c r="N51" s="71"/>
      <c r="O51" s="71"/>
      <c r="P51" s="71"/>
      <c r="Q51" s="71"/>
      <c r="R51" s="71"/>
      <c r="S51" t="s">
        <v>392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1508</v>
      </c>
      <c r="H52" s="71"/>
      <c r="I52" t="s">
        <v>220</v>
      </c>
      <c r="J52" s="187">
        <v>1</v>
      </c>
      <c r="K52" t="s">
        <v>1407</v>
      </c>
      <c r="L52" s="185"/>
      <c r="M52" s="188">
        <v>46251</v>
      </c>
      <c r="N52" s="71"/>
      <c r="O52" s="71"/>
      <c r="P52" s="71"/>
      <c r="Q52" s="71"/>
      <c r="R52" s="71"/>
      <c r="S52" t="s">
        <v>1509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277</v>
      </c>
      <c r="H53" s="71"/>
      <c r="I53" t="s">
        <v>278</v>
      </c>
      <c r="J53" s="187">
        <v>1</v>
      </c>
      <c r="K53" t="s">
        <v>1407</v>
      </c>
      <c r="L53" s="185"/>
      <c r="M53" s="188">
        <v>43073</v>
      </c>
      <c r="N53" s="71"/>
      <c r="Q53" s="71"/>
      <c r="R53" s="71"/>
      <c r="S53" t="s">
        <v>279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299</v>
      </c>
      <c r="H54" s="71"/>
      <c r="I54" t="s">
        <v>220</v>
      </c>
      <c r="J54" s="187">
        <v>1</v>
      </c>
      <c r="K54" t="s">
        <v>1407</v>
      </c>
      <c r="L54" s="185"/>
      <c r="M54" s="188">
        <v>46113</v>
      </c>
      <c r="N54" s="71"/>
      <c r="Q54" s="71"/>
      <c r="R54" s="71"/>
      <c r="S54" t="s">
        <v>279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280</v>
      </c>
      <c r="H55" s="71"/>
      <c r="I55" t="s">
        <v>220</v>
      </c>
      <c r="J55" s="187">
        <v>1</v>
      </c>
      <c r="K55" t="s">
        <v>1407</v>
      </c>
      <c r="L55" s="185"/>
      <c r="M55" s="188">
        <v>44242</v>
      </c>
      <c r="N55" s="71"/>
      <c r="O55" s="71"/>
      <c r="P55" s="71"/>
      <c r="Q55" s="71"/>
      <c r="R55" s="71"/>
      <c r="S55" t="s">
        <v>279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281</v>
      </c>
      <c r="H56" s="71"/>
      <c r="I56" t="s">
        <v>220</v>
      </c>
      <c r="J56" s="187">
        <v>1</v>
      </c>
      <c r="K56" t="s">
        <v>1407</v>
      </c>
      <c r="L56" s="185"/>
      <c r="M56" s="188">
        <v>46121</v>
      </c>
      <c r="N56" s="71"/>
      <c r="Q56" s="71"/>
      <c r="R56" s="71"/>
      <c r="S56" t="s">
        <v>282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Demitido</v>
      </c>
      <c r="E57" s="187">
        <v>1</v>
      </c>
      <c r="F57" s="187">
        <v>2457</v>
      </c>
      <c r="G57" t="s">
        <v>1571</v>
      </c>
      <c r="H57" s="71"/>
      <c r="I57" t="s">
        <v>220</v>
      </c>
      <c r="J57" s="187">
        <v>7</v>
      </c>
      <c r="K57" t="s">
        <v>1648</v>
      </c>
      <c r="L57" s="185"/>
      <c r="M57" s="188">
        <v>46269</v>
      </c>
      <c r="N57" s="71"/>
      <c r="Q57" s="71"/>
      <c r="R57" s="71"/>
      <c r="S57" t="s">
        <v>282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Férias</v>
      </c>
      <c r="E58" s="187">
        <v>1</v>
      </c>
      <c r="F58" s="187">
        <v>2268</v>
      </c>
      <c r="G58" t="s">
        <v>283</v>
      </c>
      <c r="H58" s="71"/>
      <c r="I58" t="s">
        <v>220</v>
      </c>
      <c r="J58" s="187">
        <v>2</v>
      </c>
      <c r="K58" t="s">
        <v>1579</v>
      </c>
      <c r="L58" s="185"/>
      <c r="M58" s="188">
        <v>45797</v>
      </c>
      <c r="N58" s="71"/>
      <c r="Q58" s="71"/>
      <c r="R58" s="71"/>
      <c r="S58" t="s">
        <v>282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187">
        <v>1</v>
      </c>
      <c r="F59" s="187">
        <v>2428</v>
      </c>
      <c r="G59" t="s">
        <v>284</v>
      </c>
      <c r="H59" s="71"/>
      <c r="I59" t="s">
        <v>220</v>
      </c>
      <c r="J59" s="187">
        <v>7</v>
      </c>
      <c r="K59" t="s">
        <v>1598</v>
      </c>
      <c r="L59" s="185"/>
      <c r="M59" s="188">
        <v>46163</v>
      </c>
      <c r="N59" s="71"/>
      <c r="Q59" s="71"/>
      <c r="R59" s="71"/>
      <c r="S59" t="s">
        <v>282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778</v>
      </c>
      <c r="G60" t="s">
        <v>286</v>
      </c>
      <c r="H60" s="71"/>
      <c r="I60" t="s">
        <v>225</v>
      </c>
      <c r="J60" s="187">
        <v>1</v>
      </c>
      <c r="K60" t="s">
        <v>1407</v>
      </c>
      <c r="L60" s="185"/>
      <c r="M60" s="188">
        <v>41526</v>
      </c>
      <c r="N60" s="71"/>
      <c r="O60" s="71"/>
      <c r="P60" s="71"/>
      <c r="Q60" s="71"/>
      <c r="R60" s="71"/>
      <c r="S60" t="s">
        <v>282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1491</v>
      </c>
      <c r="H61" s="71"/>
      <c r="I61" t="s">
        <v>220</v>
      </c>
      <c r="J61" s="187">
        <v>7</v>
      </c>
      <c r="K61" t="s">
        <v>1579</v>
      </c>
      <c r="L61" s="185"/>
      <c r="M61" s="188">
        <v>46246</v>
      </c>
      <c r="N61" s="71"/>
      <c r="Q61" s="71"/>
      <c r="R61" s="71"/>
      <c r="S61" t="s">
        <v>282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287</v>
      </c>
      <c r="H62" s="71"/>
      <c r="I62" t="s">
        <v>220</v>
      </c>
      <c r="J62" s="187">
        <v>5</v>
      </c>
      <c r="K62" t="s">
        <v>288</v>
      </c>
      <c r="L62" s="185"/>
      <c r="M62" s="188">
        <v>45796</v>
      </c>
      <c r="N62" s="71"/>
      <c r="O62" s="71"/>
      <c r="P62" s="71"/>
      <c r="Q62" s="71"/>
      <c r="R62" s="71"/>
      <c r="S62" t="s">
        <v>282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1319</v>
      </c>
      <c r="H63" s="71"/>
      <c r="I63" t="s">
        <v>220</v>
      </c>
      <c r="J63" s="187">
        <v>7</v>
      </c>
      <c r="K63" t="s">
        <v>1570</v>
      </c>
      <c r="L63" s="185"/>
      <c r="M63" s="188">
        <v>46175</v>
      </c>
      <c r="N63" s="71"/>
      <c r="O63" s="71"/>
      <c r="P63" s="71"/>
      <c r="Q63" s="71"/>
      <c r="R63" s="71"/>
      <c r="S63" t="s">
        <v>282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1318</v>
      </c>
      <c r="H64" s="71"/>
      <c r="I64" t="s">
        <v>220</v>
      </c>
      <c r="J64" s="187">
        <v>1</v>
      </c>
      <c r="K64" t="s">
        <v>1407</v>
      </c>
      <c r="L64" s="185"/>
      <c r="M64" s="188">
        <v>46184</v>
      </c>
      <c r="N64" s="71"/>
      <c r="O64" s="71"/>
      <c r="P64" s="71"/>
      <c r="Q64" s="71"/>
      <c r="R64" s="71"/>
      <c r="S64" t="s">
        <v>282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289</v>
      </c>
      <c r="H65" s="71"/>
      <c r="I65" t="s">
        <v>220</v>
      </c>
      <c r="J65" s="187">
        <v>5</v>
      </c>
      <c r="K65" t="s">
        <v>288</v>
      </c>
      <c r="L65" s="185"/>
      <c r="M65" s="188">
        <v>45691</v>
      </c>
      <c r="N65" s="71"/>
      <c r="O65" s="71"/>
      <c r="P65" s="71"/>
      <c r="Q65" s="71"/>
      <c r="R65" s="71"/>
      <c r="S65" t="s">
        <v>282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Demitido</v>
      </c>
      <c r="E66" s="187">
        <v>1</v>
      </c>
      <c r="F66" s="187">
        <v>2403</v>
      </c>
      <c r="G66" t="s">
        <v>291</v>
      </c>
      <c r="H66" s="71"/>
      <c r="I66" t="s">
        <v>220</v>
      </c>
      <c r="J66" s="187">
        <v>7</v>
      </c>
      <c r="K66" t="s">
        <v>1637</v>
      </c>
      <c r="L66" s="185"/>
      <c r="M66" s="188">
        <v>46086</v>
      </c>
      <c r="N66" s="71"/>
      <c r="Q66" s="71"/>
      <c r="R66" s="71"/>
      <c r="S66" t="s">
        <v>282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2380</v>
      </c>
      <c r="G67" t="s">
        <v>292</v>
      </c>
      <c r="H67" s="71"/>
      <c r="I67" t="s">
        <v>220</v>
      </c>
      <c r="J67" s="187">
        <v>1</v>
      </c>
      <c r="K67" t="s">
        <v>1407</v>
      </c>
      <c r="L67" s="185"/>
      <c r="M67" s="188">
        <v>46066</v>
      </c>
      <c r="N67" s="71"/>
      <c r="O67" s="71"/>
      <c r="P67" s="71"/>
      <c r="Q67" s="71"/>
      <c r="R67" s="71"/>
      <c r="S67" t="s">
        <v>282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2360</v>
      </c>
      <c r="G68" t="s">
        <v>293</v>
      </c>
      <c r="H68" s="71"/>
      <c r="I68" t="s">
        <v>220</v>
      </c>
      <c r="J68" s="187">
        <v>7</v>
      </c>
      <c r="K68" t="s">
        <v>1596</v>
      </c>
      <c r="L68" s="185"/>
      <c r="M68" s="188">
        <v>46044</v>
      </c>
      <c r="N68" s="71"/>
      <c r="Q68" s="71"/>
      <c r="R68" s="71"/>
      <c r="S68" t="s">
        <v>282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1461</v>
      </c>
      <c r="H69" s="71"/>
      <c r="I69" t="s">
        <v>220</v>
      </c>
      <c r="J69" s="187">
        <v>1</v>
      </c>
      <c r="K69" t="s">
        <v>1407</v>
      </c>
      <c r="L69" s="185"/>
      <c r="M69" s="188">
        <v>46228</v>
      </c>
      <c r="N69" s="71"/>
      <c r="Q69" s="71"/>
      <c r="R69" s="71"/>
      <c r="S69" t="s">
        <v>282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294</v>
      </c>
      <c r="H70" s="71"/>
      <c r="I70" t="s">
        <v>225</v>
      </c>
      <c r="J70" s="187">
        <v>1</v>
      </c>
      <c r="K70" t="s">
        <v>1407</v>
      </c>
      <c r="L70" s="185"/>
      <c r="M70" s="188">
        <v>44250</v>
      </c>
      <c r="N70" s="71"/>
      <c r="Q70" s="71"/>
      <c r="R70" s="71"/>
      <c r="S70" t="s">
        <v>282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269</v>
      </c>
      <c r="H71" s="71"/>
      <c r="I71" t="s">
        <v>220</v>
      </c>
      <c r="J71" s="187">
        <v>1</v>
      </c>
      <c r="K71" t="s">
        <v>1407</v>
      </c>
      <c r="L71" s="185"/>
      <c r="M71" s="188">
        <v>46213</v>
      </c>
      <c r="N71" s="71"/>
      <c r="O71" s="71"/>
      <c r="P71" s="71"/>
      <c r="Q71" s="71"/>
      <c r="R71" s="71"/>
      <c r="S71" t="s">
        <v>282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1515</v>
      </c>
      <c r="H72" s="71"/>
      <c r="I72" t="s">
        <v>220</v>
      </c>
      <c r="J72" s="187">
        <v>1</v>
      </c>
      <c r="K72" t="s">
        <v>1407</v>
      </c>
      <c r="L72" s="185"/>
      <c r="M72" s="188">
        <v>46252</v>
      </c>
      <c r="N72" s="71"/>
      <c r="O72" s="71"/>
      <c r="P72" s="71"/>
      <c r="Q72" s="71"/>
      <c r="R72" s="71"/>
      <c r="S72" t="s">
        <v>282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1317</v>
      </c>
      <c r="H73" s="71"/>
      <c r="I73" t="s">
        <v>304</v>
      </c>
      <c r="J73" s="187">
        <v>1</v>
      </c>
      <c r="K73" t="s">
        <v>1407</v>
      </c>
      <c r="L73" s="185"/>
      <c r="M73" s="188">
        <v>46184</v>
      </c>
      <c r="N73" s="71"/>
      <c r="O73" s="71"/>
      <c r="P73" s="71"/>
      <c r="Q73" s="71"/>
      <c r="R73" s="71"/>
      <c r="S73" t="s">
        <v>282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295</v>
      </c>
      <c r="H74" s="71"/>
      <c r="I74" t="s">
        <v>220</v>
      </c>
      <c r="J74" s="187">
        <v>1</v>
      </c>
      <c r="K74" t="s">
        <v>1407</v>
      </c>
      <c r="L74" s="185"/>
      <c r="M74" s="188">
        <v>46058</v>
      </c>
      <c r="N74" s="71"/>
      <c r="Q74" s="71"/>
      <c r="R74" s="71"/>
      <c r="S74" t="s">
        <v>282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296</v>
      </c>
      <c r="H75" s="71"/>
      <c r="I75" t="s">
        <v>297</v>
      </c>
      <c r="J75" s="187">
        <v>1</v>
      </c>
      <c r="K75" t="s">
        <v>1407</v>
      </c>
      <c r="L75" s="185"/>
      <c r="M75" s="188">
        <v>46066</v>
      </c>
      <c r="N75" s="71"/>
      <c r="Q75" s="71"/>
      <c r="R75" s="71"/>
      <c r="S75" t="s">
        <v>282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298</v>
      </c>
      <c r="H76" s="71"/>
      <c r="I76" t="s">
        <v>220</v>
      </c>
      <c r="J76" s="187">
        <v>1</v>
      </c>
      <c r="K76" t="s">
        <v>1407</v>
      </c>
      <c r="L76" s="185"/>
      <c r="M76" s="188">
        <v>45505</v>
      </c>
      <c r="N76" s="71"/>
      <c r="Q76" s="71"/>
      <c r="R76" s="71"/>
      <c r="S76" t="s">
        <v>282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2460</v>
      </c>
      <c r="G77" t="s">
        <v>1612</v>
      </c>
      <c r="H77" s="71"/>
      <c r="I77" t="s">
        <v>220</v>
      </c>
      <c r="J77" s="187">
        <v>1</v>
      </c>
      <c r="K77" t="s">
        <v>1407</v>
      </c>
      <c r="L77" s="185"/>
      <c r="M77" s="188">
        <v>46281</v>
      </c>
      <c r="N77" s="71"/>
      <c r="O77" s="71"/>
      <c r="P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300</v>
      </c>
      <c r="H78" s="71"/>
      <c r="I78" t="s">
        <v>301</v>
      </c>
      <c r="J78" s="187">
        <v>1</v>
      </c>
      <c r="K78" t="s">
        <v>1407</v>
      </c>
      <c r="L78" s="185"/>
      <c r="M78" s="188">
        <v>46042</v>
      </c>
      <c r="N78" s="71"/>
      <c r="O78" s="71"/>
      <c r="P78" s="71"/>
      <c r="Q78" s="71"/>
      <c r="R78" s="71"/>
      <c r="S78" t="s">
        <v>282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303</v>
      </c>
      <c r="H79" s="71"/>
      <c r="I79" t="s">
        <v>220</v>
      </c>
      <c r="J79" s="187">
        <v>1</v>
      </c>
      <c r="K79" t="s">
        <v>1407</v>
      </c>
      <c r="L79" s="185"/>
      <c r="M79" s="188">
        <v>45782</v>
      </c>
      <c r="N79" s="71"/>
      <c r="O79" s="71"/>
      <c r="P79" s="71"/>
      <c r="Q79" s="71"/>
      <c r="R79" s="71"/>
      <c r="S79" t="s">
        <v>282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2435</v>
      </c>
      <c r="G80" t="s">
        <v>1316</v>
      </c>
      <c r="H80" s="71"/>
      <c r="I80" t="s">
        <v>302</v>
      </c>
      <c r="J80" s="187">
        <v>7</v>
      </c>
      <c r="K80" t="s">
        <v>1594</v>
      </c>
      <c r="L80" s="185"/>
      <c r="M80" s="188">
        <v>46184</v>
      </c>
      <c r="N80" s="71"/>
      <c r="Q80" s="71"/>
      <c r="R80" s="71"/>
      <c r="S80" t="s">
        <v>282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1514</v>
      </c>
      <c r="H81" s="71"/>
      <c r="I81" t="s">
        <v>302</v>
      </c>
      <c r="J81" s="187">
        <v>1</v>
      </c>
      <c r="K81" t="s">
        <v>1407</v>
      </c>
      <c r="L81" s="185"/>
      <c r="M81" s="188">
        <v>46252</v>
      </c>
      <c r="N81" s="71"/>
      <c r="O81" s="71"/>
      <c r="P81" s="71"/>
      <c r="Q81" s="71"/>
      <c r="R81" s="71"/>
      <c r="S81" t="s">
        <v>282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54</v>
      </c>
      <c r="G82" t="s">
        <v>1640</v>
      </c>
      <c r="H82" s="71"/>
      <c r="I82" t="s">
        <v>220</v>
      </c>
      <c r="J82" s="187">
        <v>1</v>
      </c>
      <c r="K82" t="s">
        <v>1407</v>
      </c>
      <c r="L82" s="185"/>
      <c r="M82" s="188">
        <v>46290</v>
      </c>
      <c r="N82" s="71"/>
      <c r="Q82" s="71"/>
      <c r="R82" s="71"/>
      <c r="S82" t="s">
        <v>305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306</v>
      </c>
      <c r="H83" s="71"/>
      <c r="I83" t="s">
        <v>220</v>
      </c>
      <c r="J83" s="187">
        <v>1</v>
      </c>
      <c r="K83" t="s">
        <v>1407</v>
      </c>
      <c r="L83" s="185"/>
      <c r="M83" s="188">
        <v>44586</v>
      </c>
      <c r="N83" s="71"/>
      <c r="O83" s="71"/>
      <c r="P83" s="71"/>
      <c r="Q83" s="71"/>
      <c r="R83" s="71"/>
      <c r="S83" t="s">
        <v>307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53</v>
      </c>
      <c r="G84" t="s">
        <v>1639</v>
      </c>
      <c r="H84" s="71"/>
      <c r="I84" t="s">
        <v>220</v>
      </c>
      <c r="J84" s="187">
        <v>1</v>
      </c>
      <c r="K84" t="s">
        <v>1407</v>
      </c>
      <c r="L84" s="185"/>
      <c r="M84" s="188">
        <v>46290</v>
      </c>
      <c r="N84" s="71"/>
      <c r="Q84" s="71"/>
      <c r="R84" s="71"/>
      <c r="S84" t="s">
        <v>305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90</v>
      </c>
      <c r="G85" t="s">
        <v>308</v>
      </c>
      <c r="H85" s="71"/>
      <c r="I85" t="s">
        <v>220</v>
      </c>
      <c r="J85" s="187">
        <v>1</v>
      </c>
      <c r="K85" t="s">
        <v>1407</v>
      </c>
      <c r="L85" s="185"/>
      <c r="M85" s="188">
        <v>45362</v>
      </c>
      <c r="N85" s="71"/>
      <c r="Q85" s="71"/>
      <c r="R85" s="71"/>
      <c r="S85" t="s">
        <v>305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ATENDENTE</v>
      </c>
      <c r="D86" s="72" t="str">
        <f ca="1">IFERROR(IF(TODAY()-K86&gt;365,"Inativo",IF(J86=2,"Férias",IF(J86=7,"Demitido","Afastamento"))),VLOOKUP(J86,Conf!$H:$I,2,0))</f>
        <v>Demitido</v>
      </c>
      <c r="E86" s="187">
        <v>1</v>
      </c>
      <c r="F86" s="187">
        <v>42</v>
      </c>
      <c r="G86" t="s">
        <v>1513</v>
      </c>
      <c r="H86" s="71"/>
      <c r="I86" t="s">
        <v>220</v>
      </c>
      <c r="J86" s="187">
        <v>7</v>
      </c>
      <c r="K86" t="s">
        <v>1635</v>
      </c>
      <c r="L86" s="185"/>
      <c r="M86" s="188">
        <v>46253</v>
      </c>
      <c r="N86" s="71"/>
      <c r="Q86" s="71"/>
      <c r="R86" s="71"/>
      <c r="S86" t="s">
        <v>305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ENCARREGADO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132</v>
      </c>
      <c r="G87" t="s">
        <v>309</v>
      </c>
      <c r="H87" s="71"/>
      <c r="I87" t="s">
        <v>222</v>
      </c>
      <c r="J87" s="187">
        <v>1</v>
      </c>
      <c r="K87" t="s">
        <v>1407</v>
      </c>
      <c r="L87" s="185"/>
      <c r="M87" s="188">
        <v>45537</v>
      </c>
      <c r="N87" s="71"/>
      <c r="Q87" s="71"/>
      <c r="R87" s="71"/>
      <c r="S87" t="s">
        <v>310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20</v>
      </c>
      <c r="G88" t="s">
        <v>311</v>
      </c>
      <c r="H88" s="71"/>
      <c r="I88" t="s">
        <v>220</v>
      </c>
      <c r="J88" s="187">
        <v>1</v>
      </c>
      <c r="K88" t="s">
        <v>1407</v>
      </c>
      <c r="L88" s="185"/>
      <c r="M88" s="188">
        <v>46174</v>
      </c>
      <c r="N88" s="71"/>
      <c r="Q88" s="71"/>
      <c r="R88" s="71"/>
      <c r="S88" t="s">
        <v>312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Demitido</v>
      </c>
      <c r="E89" s="187">
        <v>1</v>
      </c>
      <c r="F89" s="187">
        <v>22</v>
      </c>
      <c r="G89" t="s">
        <v>313</v>
      </c>
      <c r="H89" s="71"/>
      <c r="I89" t="s">
        <v>222</v>
      </c>
      <c r="J89" s="187">
        <v>7</v>
      </c>
      <c r="K89" t="s">
        <v>1549</v>
      </c>
      <c r="L89" s="185"/>
      <c r="M89" s="188">
        <v>46174</v>
      </c>
      <c r="N89" s="71"/>
      <c r="Q89" s="71"/>
      <c r="R89" s="71"/>
      <c r="S89" t="s">
        <v>312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FRIOS</v>
      </c>
      <c r="C90" s="72" t="str">
        <f ca="1">IF(D90="Inativo","Inativo",IFERROR(VLOOKUP($G90,Conf!$O:$Q,3,0),IFERROR(VLOOKUP($G90,Conf!$E:$F,2,0),VLOOKUP($S90,Conf!$K:$M,3,0))))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44</v>
      </c>
      <c r="G90" t="s">
        <v>1552</v>
      </c>
      <c r="H90" s="71"/>
      <c r="I90" t="s">
        <v>304</v>
      </c>
      <c r="J90" s="187">
        <v>1</v>
      </c>
      <c r="K90" t="s">
        <v>1407</v>
      </c>
      <c r="L90" s="185"/>
      <c r="M90" s="188">
        <v>46266</v>
      </c>
      <c r="N90" s="71"/>
      <c r="O90" s="71"/>
      <c r="P90" s="71"/>
      <c r="Q90" s="71"/>
      <c r="R90" s="71"/>
      <c r="S90" t="s">
        <v>312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1964</v>
      </c>
      <c r="G91" t="s">
        <v>352</v>
      </c>
      <c r="H91" s="71"/>
      <c r="I91" t="s">
        <v>353</v>
      </c>
      <c r="J91" s="187">
        <v>1</v>
      </c>
      <c r="K91" t="s">
        <v>1407</v>
      </c>
      <c r="L91" s="185"/>
      <c r="M91" s="188">
        <v>45000</v>
      </c>
      <c r="N91" s="71"/>
      <c r="Q91" s="71"/>
      <c r="R91" s="71"/>
      <c r="S91" t="s">
        <v>354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199</v>
      </c>
      <c r="G92" t="s">
        <v>456</v>
      </c>
      <c r="H92" s="71"/>
      <c r="I92" t="s">
        <v>353</v>
      </c>
      <c r="J92" s="187">
        <v>1</v>
      </c>
      <c r="K92" t="s">
        <v>1407</v>
      </c>
      <c r="L92" s="185"/>
      <c r="M92" s="188">
        <v>45756</v>
      </c>
      <c r="N92" s="71"/>
      <c r="O92" s="71"/>
      <c r="P92" s="71"/>
      <c r="Q92" s="71"/>
      <c r="R92" s="71"/>
      <c r="S92" t="s">
        <v>1273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GERÊNCIA</v>
      </c>
      <c r="C93" s="72" t="str">
        <f ca="1">IF(D93="Inativo","Inativo",IFERROR(VLOOKUP($G93,Conf!$O:$Q,3,0),IFERROR(VLOOKUP($G93,Conf!$E:$F,2,0),VLOOKUP($S93,Conf!$K:$M,3,0))))</f>
        <v>SUBGERENTE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255</v>
      </c>
      <c r="G93" t="s">
        <v>372</v>
      </c>
      <c r="H93" s="71"/>
      <c r="I93" t="s">
        <v>353</v>
      </c>
      <c r="J93" s="187">
        <v>1</v>
      </c>
      <c r="K93" t="s">
        <v>1407</v>
      </c>
      <c r="L93" s="185"/>
      <c r="M93" s="188">
        <v>45966</v>
      </c>
      <c r="N93" s="71"/>
      <c r="Q93" s="71"/>
      <c r="R93" s="71"/>
      <c r="S93" t="s">
        <v>371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ENCARREGADO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109</v>
      </c>
      <c r="G94" t="s">
        <v>314</v>
      </c>
      <c r="H94" s="71"/>
      <c r="I94" t="s">
        <v>222</v>
      </c>
      <c r="J94" s="187">
        <v>1</v>
      </c>
      <c r="K94" t="s">
        <v>1407</v>
      </c>
      <c r="L94" s="185"/>
      <c r="M94" s="188">
        <v>45455</v>
      </c>
      <c r="N94" s="71"/>
      <c r="Q94" s="71"/>
      <c r="R94" s="71"/>
      <c r="S94" t="s">
        <v>315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4</v>
      </c>
      <c r="G95" t="s">
        <v>316</v>
      </c>
      <c r="H95" s="71"/>
      <c r="I95" t="s">
        <v>220</v>
      </c>
      <c r="J95" s="187">
        <v>1</v>
      </c>
      <c r="K95" t="s">
        <v>1407</v>
      </c>
      <c r="L95" s="185"/>
      <c r="M95" s="188">
        <v>46106</v>
      </c>
      <c r="N95" s="71"/>
      <c r="Q95" s="71"/>
      <c r="R95" s="71"/>
      <c r="S95" t="s">
        <v>317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276</v>
      </c>
      <c r="G96" t="s">
        <v>318</v>
      </c>
      <c r="H96" s="71"/>
      <c r="I96" t="s">
        <v>220</v>
      </c>
      <c r="J96" s="187">
        <v>1</v>
      </c>
      <c r="K96" t="s">
        <v>1407</v>
      </c>
      <c r="L96" s="185"/>
      <c r="M96" s="188">
        <v>46041</v>
      </c>
      <c r="N96" s="71"/>
      <c r="Q96" s="71"/>
      <c r="R96" s="71"/>
      <c r="S96" t="s">
        <v>317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Demitido</v>
      </c>
      <c r="E97" s="187">
        <v>1</v>
      </c>
      <c r="F97" s="187">
        <v>146</v>
      </c>
      <c r="G97" t="s">
        <v>320</v>
      </c>
      <c r="H97" s="71"/>
      <c r="I97" t="s">
        <v>233</v>
      </c>
      <c r="J97" s="187">
        <v>7</v>
      </c>
      <c r="K97" t="s">
        <v>1564</v>
      </c>
      <c r="L97" s="185"/>
      <c r="M97" s="188">
        <v>45587</v>
      </c>
      <c r="N97" s="71"/>
      <c r="O97" s="71"/>
      <c r="P97" s="71"/>
      <c r="Q97" s="71"/>
      <c r="R97" s="71"/>
      <c r="S97" t="s">
        <v>317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112</v>
      </c>
      <c r="G98" t="s">
        <v>321</v>
      </c>
      <c r="H98" s="71"/>
      <c r="I98" t="s">
        <v>322</v>
      </c>
      <c r="J98" s="187">
        <v>1</v>
      </c>
      <c r="K98" t="s">
        <v>1407</v>
      </c>
      <c r="L98" s="185"/>
      <c r="M98" s="188">
        <v>39022</v>
      </c>
      <c r="N98" s="71"/>
      <c r="O98" s="71"/>
      <c r="P98" s="71"/>
      <c r="Q98" s="71"/>
      <c r="R98" s="71"/>
      <c r="S98" t="s">
        <v>323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279</v>
      </c>
      <c r="G99" t="s">
        <v>324</v>
      </c>
      <c r="H99" s="71"/>
      <c r="I99" t="s">
        <v>220</v>
      </c>
      <c r="J99" s="187">
        <v>1</v>
      </c>
      <c r="K99" t="s">
        <v>1407</v>
      </c>
      <c r="L99" s="185"/>
      <c r="M99" s="188">
        <v>46044</v>
      </c>
      <c r="N99" s="71"/>
      <c r="O99" s="71"/>
      <c r="P99" s="71"/>
      <c r="Q99" s="71"/>
      <c r="R99" s="71"/>
      <c r="S99" t="s">
        <v>317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395</v>
      </c>
      <c r="G100" t="s">
        <v>325</v>
      </c>
      <c r="H100" s="71"/>
      <c r="I100" t="s">
        <v>225</v>
      </c>
      <c r="J100" s="187">
        <v>1</v>
      </c>
      <c r="K100" t="s">
        <v>1407</v>
      </c>
      <c r="L100" s="185"/>
      <c r="M100" s="188">
        <v>40311</v>
      </c>
      <c r="N100" s="71"/>
      <c r="O100" s="71"/>
      <c r="P100" s="71"/>
      <c r="Q100" s="71"/>
      <c r="R100" s="71"/>
      <c r="S100" t="s">
        <v>323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HORTIFRUTI</v>
      </c>
      <c r="C101" s="72" t="str">
        <f ca="1">IF(D101="Inativo","Inativo",IFERROR(VLOOKUP($G101,Conf!$O:$Q,3,0),IFERROR(VLOOKUP($G101,Conf!$E:$F,2,0),VLOOKUP($S101,Conf!$K:$M,3,0))))</f>
        <v>REPOSITOR</v>
      </c>
      <c r="D101" s="72" t="str">
        <f ca="1">IFERROR(IF(TODAY()-K101&gt;365,"Inativo",IF(J101=2,"Férias",IF(J101=7,"Demitido","Afastamento"))),VLOOKUP(J101,Conf!$H:$I,2,0))</f>
        <v>Férias</v>
      </c>
      <c r="E101" s="187">
        <v>1</v>
      </c>
      <c r="F101" s="187">
        <v>128</v>
      </c>
      <c r="G101" t="s">
        <v>326</v>
      </c>
      <c r="H101" s="71"/>
      <c r="I101" t="s">
        <v>220</v>
      </c>
      <c r="J101" s="187">
        <v>2</v>
      </c>
      <c r="K101" t="s">
        <v>1579</v>
      </c>
      <c r="L101" s="185"/>
      <c r="M101" s="188">
        <v>45516</v>
      </c>
      <c r="N101" s="71"/>
      <c r="O101" s="71"/>
      <c r="P101" s="71"/>
      <c r="Q101" s="71"/>
      <c r="R101" s="71"/>
      <c r="S101" t="s">
        <v>317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767</v>
      </c>
      <c r="G102" t="s">
        <v>327</v>
      </c>
      <c r="H102" s="71"/>
      <c r="I102" t="s">
        <v>297</v>
      </c>
      <c r="J102" s="187">
        <v>3</v>
      </c>
      <c r="K102" t="s">
        <v>328</v>
      </c>
      <c r="L102" s="185"/>
      <c r="M102" s="188">
        <v>41509</v>
      </c>
      <c r="N102" s="71"/>
      <c r="Q102" s="71"/>
      <c r="R102" s="71"/>
      <c r="S102" t="s">
        <v>329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Inativo</v>
      </c>
      <c r="C103" s="72" t="str">
        <f ca="1">IF(D103="Inativo","Inativo",IFERROR(VLOOKUP($G103,Conf!$O:$Q,3,0),IFERROR(VLOOKUP($G103,Conf!$E:$F,2,0),VLOOKUP($S103,Conf!$K:$M,3,0))))</f>
        <v>Inativo</v>
      </c>
      <c r="D103" s="72" t="str">
        <f ca="1">IFERROR(IF(TODAY()-K103&gt;365,"Inativo",IF(J103=2,"Férias",IF(J103=7,"Demitido","Afastamento"))),VLOOKUP(J103,Conf!$H:$I,2,0))</f>
        <v>Inativo</v>
      </c>
      <c r="E103" s="187">
        <v>1</v>
      </c>
      <c r="F103" s="187">
        <v>1932</v>
      </c>
      <c r="G103" t="s">
        <v>330</v>
      </c>
      <c r="H103" s="71"/>
      <c r="I103" t="s">
        <v>220</v>
      </c>
      <c r="J103" s="187">
        <v>3</v>
      </c>
      <c r="K103" t="s">
        <v>331</v>
      </c>
      <c r="L103" s="185"/>
      <c r="M103" s="188">
        <v>44869</v>
      </c>
      <c r="N103" s="71"/>
      <c r="Q103" s="71"/>
      <c r="R103" s="71"/>
      <c r="S103" t="s">
        <v>332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CARTAZISTA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244</v>
      </c>
      <c r="G104" t="s">
        <v>363</v>
      </c>
      <c r="H104" s="71"/>
      <c r="I104" t="s">
        <v>222</v>
      </c>
      <c r="J104" s="187">
        <v>1</v>
      </c>
      <c r="K104" t="s">
        <v>1407</v>
      </c>
      <c r="L104" s="185"/>
      <c r="M104" s="188">
        <v>45916</v>
      </c>
      <c r="N104" s="71"/>
      <c r="Q104" s="71"/>
      <c r="R104" s="71"/>
      <c r="S104" t="s">
        <v>1387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ENCARREGADO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1714</v>
      </c>
      <c r="G105" t="s">
        <v>350</v>
      </c>
      <c r="H105" s="71"/>
      <c r="I105" t="s">
        <v>220</v>
      </c>
      <c r="J105" s="187">
        <v>1</v>
      </c>
      <c r="K105" t="s">
        <v>1407</v>
      </c>
      <c r="L105" s="185"/>
      <c r="M105" s="188">
        <v>44341</v>
      </c>
      <c r="N105" s="71"/>
      <c r="Q105" s="71"/>
      <c r="R105" s="71"/>
      <c r="S105" t="s">
        <v>351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95</v>
      </c>
      <c r="G106" t="s">
        <v>355</v>
      </c>
      <c r="H106" s="71"/>
      <c r="I106" t="s">
        <v>220</v>
      </c>
      <c r="J106" s="187">
        <v>1</v>
      </c>
      <c r="K106" t="s">
        <v>1407</v>
      </c>
      <c r="L106" s="185"/>
      <c r="M106" s="188">
        <v>45390</v>
      </c>
      <c r="N106" s="71"/>
      <c r="Q106" s="71"/>
      <c r="R106" s="71"/>
      <c r="S106" t="s">
        <v>356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67</v>
      </c>
      <c r="G107" t="s">
        <v>357</v>
      </c>
      <c r="H107" s="71"/>
      <c r="I107" t="s">
        <v>225</v>
      </c>
      <c r="J107" s="187">
        <v>1</v>
      </c>
      <c r="K107" t="s">
        <v>1407</v>
      </c>
      <c r="L107" s="185"/>
      <c r="M107" s="188">
        <v>45216</v>
      </c>
      <c r="N107" s="71"/>
      <c r="O107" s="71"/>
      <c r="P107" s="71"/>
      <c r="Q107" s="71"/>
      <c r="R107" s="71"/>
      <c r="S107" t="s">
        <v>356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296</v>
      </c>
      <c r="G108" t="s">
        <v>358</v>
      </c>
      <c r="H108" s="71"/>
      <c r="I108" t="s">
        <v>220</v>
      </c>
      <c r="J108" s="187">
        <v>1</v>
      </c>
      <c r="K108" t="s">
        <v>1407</v>
      </c>
      <c r="L108" s="185"/>
      <c r="M108" s="188">
        <v>46078</v>
      </c>
      <c r="N108" s="71"/>
      <c r="Q108" s="71"/>
      <c r="R108" s="71"/>
      <c r="S108" t="s">
        <v>356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960</v>
      </c>
      <c r="G109" t="s">
        <v>359</v>
      </c>
      <c r="H109" s="71"/>
      <c r="I109" t="s">
        <v>360</v>
      </c>
      <c r="J109" s="187">
        <v>1</v>
      </c>
      <c r="K109" t="s">
        <v>1407</v>
      </c>
      <c r="L109" s="185"/>
      <c r="M109" s="188">
        <v>41848</v>
      </c>
      <c r="N109" s="71"/>
      <c r="O109" s="71"/>
      <c r="P109" s="71"/>
      <c r="Q109" s="71"/>
      <c r="R109" s="71"/>
      <c r="S109" t="s">
        <v>361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77</v>
      </c>
      <c r="G110" t="s">
        <v>362</v>
      </c>
      <c r="H110" s="71"/>
      <c r="I110" t="s">
        <v>220</v>
      </c>
      <c r="J110" s="187">
        <v>1</v>
      </c>
      <c r="K110" t="s">
        <v>1407</v>
      </c>
      <c r="L110" s="185"/>
      <c r="M110" s="188">
        <v>45314</v>
      </c>
      <c r="N110" s="71"/>
      <c r="Q110" s="71"/>
      <c r="R110" s="71"/>
      <c r="S110" t="s">
        <v>356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30</v>
      </c>
      <c r="G111" t="s">
        <v>1420</v>
      </c>
      <c r="H111" s="71"/>
      <c r="I111" t="s">
        <v>220</v>
      </c>
      <c r="J111" s="187">
        <v>1</v>
      </c>
      <c r="K111" t="s">
        <v>1407</v>
      </c>
      <c r="L111" s="185"/>
      <c r="M111" s="188">
        <v>46205</v>
      </c>
      <c r="N111" s="71"/>
      <c r="O111" s="71"/>
      <c r="P111" s="71"/>
      <c r="Q111" s="71"/>
      <c r="R111" s="71"/>
      <c r="S111" t="s">
        <v>365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Férias</v>
      </c>
      <c r="E112" s="187">
        <v>1</v>
      </c>
      <c r="F112" s="187">
        <v>215</v>
      </c>
      <c r="G112" t="s">
        <v>364</v>
      </c>
      <c r="H112" s="71"/>
      <c r="I112" t="s">
        <v>220</v>
      </c>
      <c r="J112" s="187">
        <v>2</v>
      </c>
      <c r="K112" t="s">
        <v>1579</v>
      </c>
      <c r="L112" s="185"/>
      <c r="M112" s="188">
        <v>45818</v>
      </c>
      <c r="N112" s="71"/>
      <c r="Q112" s="71"/>
      <c r="R112" s="71"/>
      <c r="S112" t="s">
        <v>356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203</v>
      </c>
      <c r="G113" t="s">
        <v>366</v>
      </c>
      <c r="H113" s="71"/>
      <c r="I113" t="s">
        <v>360</v>
      </c>
      <c r="J113" s="187">
        <v>1</v>
      </c>
      <c r="K113" t="s">
        <v>1407</v>
      </c>
      <c r="L113" s="185"/>
      <c r="M113" s="188">
        <v>45769</v>
      </c>
      <c r="N113" s="71"/>
      <c r="O113" s="71"/>
      <c r="P113" s="71"/>
      <c r="Q113" s="71"/>
      <c r="R113" s="71"/>
      <c r="S113" t="s">
        <v>356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</v>
      </c>
      <c r="G114" t="s">
        <v>1337</v>
      </c>
      <c r="H114" s="71"/>
      <c r="I114" t="s">
        <v>220</v>
      </c>
      <c r="J114" s="187">
        <v>1</v>
      </c>
      <c r="K114" t="s">
        <v>1407</v>
      </c>
      <c r="L114" s="185"/>
      <c r="M114" s="188">
        <v>46184</v>
      </c>
      <c r="N114" s="71"/>
      <c r="Q114" s="71"/>
      <c r="R114" s="71"/>
      <c r="S114" t="s">
        <v>365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248</v>
      </c>
      <c r="G115" t="s">
        <v>367</v>
      </c>
      <c r="H115" s="71"/>
      <c r="I115" t="s">
        <v>220</v>
      </c>
      <c r="J115" s="187">
        <v>1</v>
      </c>
      <c r="K115" t="s">
        <v>1407</v>
      </c>
      <c r="L115" s="185"/>
      <c r="M115" s="188">
        <v>45938</v>
      </c>
      <c r="N115" s="71"/>
      <c r="O115" s="71"/>
      <c r="P115" s="71"/>
      <c r="Q115" s="71"/>
      <c r="R115" s="71"/>
      <c r="S115" t="s">
        <v>356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1220</v>
      </c>
      <c r="G116" t="s">
        <v>368</v>
      </c>
      <c r="H116" s="71"/>
      <c r="I116" t="s">
        <v>222</v>
      </c>
      <c r="J116" s="187">
        <v>1</v>
      </c>
      <c r="K116" t="s">
        <v>1407</v>
      </c>
      <c r="L116" s="185"/>
      <c r="M116" s="188">
        <v>42446</v>
      </c>
      <c r="N116" s="71"/>
      <c r="O116" s="71"/>
      <c r="P116" s="71"/>
      <c r="Q116" s="71"/>
      <c r="R116" s="71"/>
      <c r="S116" t="s">
        <v>361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LOJA</v>
      </c>
      <c r="C117" s="72" t="str">
        <f ca="1">IF(D117="Inativo","Inativo",IFERROR(VLOOKUP($G117,Conf!$O:$Q,3,0),IFERROR(VLOOKUP($G117,Conf!$E:$F,2,0),VLOOKUP($S117,Conf!$K:$M,3,0))))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290</v>
      </c>
      <c r="G117" t="s">
        <v>369</v>
      </c>
      <c r="H117" s="71"/>
      <c r="I117" t="s">
        <v>220</v>
      </c>
      <c r="J117" s="187">
        <v>1</v>
      </c>
      <c r="K117" t="s">
        <v>1407</v>
      </c>
      <c r="L117" s="185"/>
      <c r="M117" s="188">
        <v>46073</v>
      </c>
      <c r="N117" s="71"/>
      <c r="Q117" s="71"/>
      <c r="R117" s="71"/>
      <c r="S117" t="s">
        <v>356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25</v>
      </c>
      <c r="G118" t="s">
        <v>1354</v>
      </c>
      <c r="H118" s="71"/>
      <c r="I118" t="s">
        <v>304</v>
      </c>
      <c r="J118" s="187">
        <v>1</v>
      </c>
      <c r="K118" t="s">
        <v>1407</v>
      </c>
      <c r="L118" s="185"/>
      <c r="M118" s="188">
        <v>46190</v>
      </c>
      <c r="N118" s="71"/>
      <c r="Q118" s="71"/>
      <c r="R118" s="71"/>
      <c r="S118" t="s">
        <v>379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39</v>
      </c>
      <c r="G119" t="s">
        <v>1510</v>
      </c>
      <c r="H119" s="71"/>
      <c r="I119" t="s">
        <v>220</v>
      </c>
      <c r="J119" s="187">
        <v>1</v>
      </c>
      <c r="K119" t="s">
        <v>1407</v>
      </c>
      <c r="L119" s="185"/>
      <c r="M119" s="188">
        <v>46252</v>
      </c>
      <c r="N119" s="71"/>
      <c r="O119" s="71"/>
      <c r="P119" s="71"/>
      <c r="Q119" s="71"/>
      <c r="R119" s="71"/>
      <c r="S119" t="s">
        <v>379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ATENDENTE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50</v>
      </c>
      <c r="G120" t="s">
        <v>1626</v>
      </c>
      <c r="H120" s="71"/>
      <c r="I120" t="s">
        <v>304</v>
      </c>
      <c r="J120" s="187">
        <v>1</v>
      </c>
      <c r="K120" t="s">
        <v>1407</v>
      </c>
      <c r="L120" s="185"/>
      <c r="M120" s="188">
        <v>46287</v>
      </c>
      <c r="N120" s="71"/>
      <c r="Q120" s="71"/>
      <c r="R120" s="71"/>
      <c r="S120" t="s">
        <v>379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ATENDENTE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49</v>
      </c>
      <c r="G121" t="s">
        <v>1625</v>
      </c>
      <c r="H121" s="71"/>
      <c r="I121" t="s">
        <v>304</v>
      </c>
      <c r="J121" s="187">
        <v>1</v>
      </c>
      <c r="K121" t="s">
        <v>1407</v>
      </c>
      <c r="L121" s="185"/>
      <c r="M121" s="188">
        <v>46287</v>
      </c>
      <c r="N121" s="71"/>
      <c r="O121" s="71"/>
      <c r="P121" s="71"/>
      <c r="Q121" s="71"/>
      <c r="R121" s="71"/>
      <c r="S121" t="s">
        <v>379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ATENDENTE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14</v>
      </c>
      <c r="G122" t="s">
        <v>378</v>
      </c>
      <c r="H122" s="71"/>
      <c r="I122" t="s">
        <v>220</v>
      </c>
      <c r="J122" s="187">
        <v>1</v>
      </c>
      <c r="K122" t="s">
        <v>1407</v>
      </c>
      <c r="L122" s="185"/>
      <c r="M122" s="188">
        <v>46146</v>
      </c>
      <c r="N122" s="71"/>
      <c r="O122" s="71"/>
      <c r="P122" s="71"/>
      <c r="Q122" s="71"/>
      <c r="R122" s="71"/>
      <c r="S122" t="s">
        <v>379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41</v>
      </c>
      <c r="G123" t="s">
        <v>374</v>
      </c>
      <c r="H123" s="71"/>
      <c r="I123" t="s">
        <v>322</v>
      </c>
      <c r="J123" s="187">
        <v>1</v>
      </c>
      <c r="K123" t="s">
        <v>1407</v>
      </c>
      <c r="L123" s="185"/>
      <c r="M123" s="188">
        <v>45124</v>
      </c>
      <c r="N123" s="71"/>
      <c r="Q123" s="71"/>
      <c r="R123" s="71"/>
      <c r="S123" t="s">
        <v>373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52</v>
      </c>
      <c r="G124" t="s">
        <v>1638</v>
      </c>
      <c r="H124" s="71"/>
      <c r="I124" t="s">
        <v>222</v>
      </c>
      <c r="J124" s="187">
        <v>1</v>
      </c>
      <c r="K124" t="s">
        <v>1407</v>
      </c>
      <c r="L124" s="185"/>
      <c r="M124" s="188">
        <v>46288</v>
      </c>
      <c r="N124" s="71"/>
      <c r="Q124" s="71"/>
      <c r="R124" s="71"/>
      <c r="S124" t="s">
        <v>373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Férias</v>
      </c>
      <c r="E125" s="187">
        <v>1</v>
      </c>
      <c r="F125" s="187">
        <v>57</v>
      </c>
      <c r="G125" t="s">
        <v>377</v>
      </c>
      <c r="H125" s="71"/>
      <c r="I125" t="s">
        <v>220</v>
      </c>
      <c r="J125" s="187">
        <v>2</v>
      </c>
      <c r="K125" t="s">
        <v>1579</v>
      </c>
      <c r="L125" s="185"/>
      <c r="M125" s="188">
        <v>45180</v>
      </c>
      <c r="N125" s="71"/>
      <c r="Q125" s="71"/>
      <c r="R125" s="71"/>
      <c r="S125" t="s">
        <v>373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254</v>
      </c>
      <c r="G126" t="s">
        <v>380</v>
      </c>
      <c r="H126" s="71"/>
      <c r="I126" t="s">
        <v>247</v>
      </c>
      <c r="J126" s="187">
        <v>1</v>
      </c>
      <c r="K126" t="s">
        <v>1407</v>
      </c>
      <c r="L126" s="185"/>
      <c r="M126" s="188">
        <v>45966</v>
      </c>
      <c r="N126" s="71"/>
      <c r="O126" s="71"/>
      <c r="P126" s="71"/>
      <c r="Q126" s="71"/>
      <c r="R126" s="71"/>
      <c r="S126" t="s">
        <v>373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27</v>
      </c>
      <c r="G127" t="s">
        <v>1355</v>
      </c>
      <c r="H127" s="71"/>
      <c r="I127" t="s">
        <v>322</v>
      </c>
      <c r="J127" s="187">
        <v>1</v>
      </c>
      <c r="K127" t="s">
        <v>1407</v>
      </c>
      <c r="L127" s="185"/>
      <c r="M127" s="188">
        <v>46195</v>
      </c>
      <c r="N127" s="71"/>
      <c r="Q127" s="71"/>
      <c r="R127" s="71"/>
      <c r="S127" t="s">
        <v>373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278</v>
      </c>
      <c r="G128" t="s">
        <v>383</v>
      </c>
      <c r="H128" s="71"/>
      <c r="I128" t="s">
        <v>220</v>
      </c>
      <c r="J128" s="187">
        <v>1</v>
      </c>
      <c r="K128" t="s">
        <v>1407</v>
      </c>
      <c r="L128" s="185"/>
      <c r="M128" s="188">
        <v>46043</v>
      </c>
      <c r="N128" s="71"/>
      <c r="Q128" s="71"/>
      <c r="R128" s="71"/>
      <c r="S128" t="s">
        <v>373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ENCARREGADO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54</v>
      </c>
      <c r="G129" t="s">
        <v>385</v>
      </c>
      <c r="H129" s="71"/>
      <c r="I129" t="s">
        <v>236</v>
      </c>
      <c r="J129" s="187">
        <v>1</v>
      </c>
      <c r="K129" t="s">
        <v>1407</v>
      </c>
      <c r="L129" s="185"/>
      <c r="M129" s="188">
        <v>45170</v>
      </c>
      <c r="N129" s="71"/>
      <c r="O129" s="71"/>
      <c r="P129" s="71"/>
      <c r="Q129" s="71"/>
      <c r="R129" s="71"/>
      <c r="S129" t="s">
        <v>386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1677</v>
      </c>
      <c r="G130" t="s">
        <v>387</v>
      </c>
      <c r="H130" s="71"/>
      <c r="I130" t="s">
        <v>236</v>
      </c>
      <c r="J130" s="187">
        <v>1</v>
      </c>
      <c r="K130" t="s">
        <v>1407</v>
      </c>
      <c r="L130" s="185"/>
      <c r="M130" s="188">
        <v>44242</v>
      </c>
      <c r="N130" s="71"/>
      <c r="Q130" s="71"/>
      <c r="R130" s="71"/>
      <c r="S130" t="s">
        <v>388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257</v>
      </c>
      <c r="G131" t="s">
        <v>382</v>
      </c>
      <c r="H131" s="71"/>
      <c r="I131" t="s">
        <v>220</v>
      </c>
      <c r="J131" s="187">
        <v>7</v>
      </c>
      <c r="K131" t="s">
        <v>1549</v>
      </c>
      <c r="L131" s="185"/>
      <c r="M131" s="188">
        <v>45971</v>
      </c>
      <c r="N131" s="71"/>
      <c r="Q131" s="71"/>
      <c r="R131" s="71"/>
      <c r="S131" t="s">
        <v>390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467</v>
      </c>
      <c r="G132" t="s">
        <v>389</v>
      </c>
      <c r="H132" s="71"/>
      <c r="I132" t="s">
        <v>244</v>
      </c>
      <c r="J132" s="187">
        <v>1</v>
      </c>
      <c r="K132" t="s">
        <v>1407</v>
      </c>
      <c r="L132" s="185"/>
      <c r="M132" s="188">
        <v>40546</v>
      </c>
      <c r="N132" s="71"/>
      <c r="O132" s="71"/>
      <c r="P132" s="71"/>
      <c r="Q132" s="71"/>
      <c r="R132" s="71"/>
      <c r="S132" t="s">
        <v>388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Demitido</v>
      </c>
      <c r="E133" s="187">
        <v>1</v>
      </c>
      <c r="F133" s="187">
        <v>40</v>
      </c>
      <c r="G133" t="s">
        <v>1511</v>
      </c>
      <c r="H133" s="71"/>
      <c r="I133" t="s">
        <v>322</v>
      </c>
      <c r="J133" s="187">
        <v>7</v>
      </c>
      <c r="K133" t="s">
        <v>1564</v>
      </c>
      <c r="L133" s="185"/>
      <c r="M133" s="188">
        <v>46252</v>
      </c>
      <c r="N133" s="71"/>
      <c r="O133" s="71"/>
      <c r="P133" s="71"/>
      <c r="Q133" s="71"/>
      <c r="R133" s="71"/>
      <c r="S133" t="s">
        <v>373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33</v>
      </c>
      <c r="G134" t="s">
        <v>1476</v>
      </c>
      <c r="H134" s="71"/>
      <c r="I134" t="s">
        <v>222</v>
      </c>
      <c r="J134" s="187">
        <v>1</v>
      </c>
      <c r="K134" t="s">
        <v>1407</v>
      </c>
      <c r="L134" s="185"/>
      <c r="M134" s="188">
        <v>46238</v>
      </c>
      <c r="N134" s="71"/>
      <c r="O134" s="71"/>
      <c r="P134" s="71"/>
      <c r="Q134" s="71"/>
      <c r="R134" s="71"/>
      <c r="S134" t="s">
        <v>373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1632</v>
      </c>
      <c r="G135" t="s">
        <v>394</v>
      </c>
      <c r="H135" s="71"/>
      <c r="I135" t="s">
        <v>395</v>
      </c>
      <c r="J135" s="187">
        <v>1</v>
      </c>
      <c r="K135" t="s">
        <v>1407</v>
      </c>
      <c r="L135" s="185"/>
      <c r="M135" s="188">
        <v>44153</v>
      </c>
      <c r="N135" s="71"/>
      <c r="O135" s="71"/>
      <c r="P135" s="71"/>
      <c r="Q135" s="71"/>
      <c r="R135" s="71"/>
      <c r="S135" t="s">
        <v>396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Ativos</v>
      </c>
      <c r="E136" s="187">
        <v>1</v>
      </c>
      <c r="F136" s="187">
        <v>47</v>
      </c>
      <c r="G136" t="s">
        <v>1590</v>
      </c>
      <c r="H136" s="71"/>
      <c r="I136" t="s">
        <v>322</v>
      </c>
      <c r="J136" s="187">
        <v>1</v>
      </c>
      <c r="K136" t="s">
        <v>1407</v>
      </c>
      <c r="L136" s="185"/>
      <c r="M136" s="188">
        <v>46274</v>
      </c>
      <c r="N136" s="71"/>
      <c r="O136" s="71"/>
      <c r="P136" s="71"/>
      <c r="Q136" s="71"/>
      <c r="R136" s="71"/>
      <c r="S136" t="s">
        <v>393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1385</v>
      </c>
      <c r="G137" t="s">
        <v>398</v>
      </c>
      <c r="H137" s="71"/>
      <c r="I137" t="s">
        <v>278</v>
      </c>
      <c r="J137" s="187">
        <v>1</v>
      </c>
      <c r="K137" t="s">
        <v>1407</v>
      </c>
      <c r="L137" s="185"/>
      <c r="M137" s="188">
        <v>45203</v>
      </c>
      <c r="N137" s="71"/>
      <c r="O137" s="71"/>
      <c r="P137" s="71"/>
      <c r="Q137" s="71"/>
      <c r="R137" s="71"/>
      <c r="S137" t="s">
        <v>399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206</v>
      </c>
      <c r="G138" t="s">
        <v>1372</v>
      </c>
      <c r="H138" s="71"/>
      <c r="I138" t="s">
        <v>220</v>
      </c>
      <c r="J138" s="187">
        <v>1</v>
      </c>
      <c r="K138" t="s">
        <v>1407</v>
      </c>
      <c r="L138" s="185"/>
      <c r="M138" s="188">
        <v>46129</v>
      </c>
      <c r="N138" s="71"/>
      <c r="Q138" s="71"/>
      <c r="R138" s="71"/>
      <c r="S138" t="s">
        <v>397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Afastamento</v>
      </c>
      <c r="E139" s="187">
        <v>2</v>
      </c>
      <c r="F139" s="187">
        <v>141</v>
      </c>
      <c r="G139" t="s">
        <v>1376</v>
      </c>
      <c r="H139" s="71"/>
      <c r="I139" t="s">
        <v>220</v>
      </c>
      <c r="J139" s="187">
        <v>5</v>
      </c>
      <c r="K139" t="s">
        <v>1377</v>
      </c>
      <c r="L139" s="185"/>
      <c r="M139" s="188">
        <v>45909</v>
      </c>
      <c r="N139" s="71"/>
      <c r="Q139" s="71"/>
      <c r="R139" s="71"/>
      <c r="S139" t="s">
        <v>400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227</v>
      </c>
      <c r="G140" t="s">
        <v>1416</v>
      </c>
      <c r="H140" s="71"/>
      <c r="I140" t="s">
        <v>663</v>
      </c>
      <c r="J140" s="187">
        <v>1</v>
      </c>
      <c r="K140" t="s">
        <v>1407</v>
      </c>
      <c r="L140" s="185"/>
      <c r="M140" s="188">
        <v>46204</v>
      </c>
      <c r="N140" s="71"/>
      <c r="Q140" s="71"/>
      <c r="R140" s="71"/>
      <c r="S140" t="s">
        <v>400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212</v>
      </c>
      <c r="G141" t="s">
        <v>1375</v>
      </c>
      <c r="H141" s="71"/>
      <c r="I141" t="s">
        <v>401</v>
      </c>
      <c r="J141" s="187">
        <v>1</v>
      </c>
      <c r="K141" t="s">
        <v>1407</v>
      </c>
      <c r="L141" s="185"/>
      <c r="M141" s="188">
        <v>46151</v>
      </c>
      <c r="N141" s="71"/>
      <c r="O141" s="71"/>
      <c r="P141" s="71"/>
      <c r="Q141" s="71"/>
      <c r="R141" s="71"/>
      <c r="S141" t="s">
        <v>402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89</v>
      </c>
      <c r="G142" t="s">
        <v>1373</v>
      </c>
      <c r="H142" s="71"/>
      <c r="I142" t="s">
        <v>244</v>
      </c>
      <c r="J142" s="187">
        <v>1</v>
      </c>
      <c r="K142" t="s">
        <v>1407</v>
      </c>
      <c r="L142" s="185"/>
      <c r="M142" s="188">
        <v>45754</v>
      </c>
      <c r="N142" s="71"/>
      <c r="Q142" s="71"/>
      <c r="R142" s="71"/>
      <c r="S142" t="s">
        <v>402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173</v>
      </c>
      <c r="G143" t="s">
        <v>1374</v>
      </c>
      <c r="H143" s="71"/>
      <c r="I143" t="s">
        <v>244</v>
      </c>
      <c r="J143" s="187">
        <v>1</v>
      </c>
      <c r="K143" t="s">
        <v>1407</v>
      </c>
      <c r="L143" s="185"/>
      <c r="M143" s="188">
        <v>45996</v>
      </c>
      <c r="N143" s="71"/>
      <c r="O143" s="71"/>
      <c r="P143" s="71"/>
      <c r="Q143" s="71"/>
      <c r="R143" s="71"/>
      <c r="S143" t="s">
        <v>402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ENCARREGADO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192</v>
      </c>
      <c r="G144" t="s">
        <v>1371</v>
      </c>
      <c r="H144" s="71"/>
      <c r="I144" t="s">
        <v>278</v>
      </c>
      <c r="J144" s="187">
        <v>1</v>
      </c>
      <c r="K144" t="s">
        <v>1407</v>
      </c>
      <c r="L144" s="185"/>
      <c r="M144" s="188">
        <v>46069</v>
      </c>
      <c r="N144" s="71"/>
      <c r="O144" s="71"/>
      <c r="P144" s="71"/>
      <c r="Q144" s="71"/>
      <c r="R144" s="71"/>
      <c r="S144" t="s">
        <v>403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1710</v>
      </c>
      <c r="G145" t="s">
        <v>447</v>
      </c>
      <c r="H145" s="71"/>
      <c r="I145" t="s">
        <v>339</v>
      </c>
      <c r="J145" s="187">
        <v>1</v>
      </c>
      <c r="K145" t="s">
        <v>1407</v>
      </c>
      <c r="L145" s="185"/>
      <c r="M145" s="188">
        <v>46077</v>
      </c>
      <c r="N145" s="71"/>
      <c r="O145" s="71"/>
      <c r="P145" s="71"/>
      <c r="Q145" s="71"/>
      <c r="R145" s="71"/>
      <c r="S145" t="s">
        <v>340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Demitido</v>
      </c>
      <c r="E146" s="187">
        <v>2</v>
      </c>
      <c r="F146" s="187">
        <v>1708</v>
      </c>
      <c r="G146" t="s">
        <v>448</v>
      </c>
      <c r="H146" s="71"/>
      <c r="I146" t="s">
        <v>339</v>
      </c>
      <c r="J146" s="187">
        <v>7</v>
      </c>
      <c r="K146" t="s">
        <v>1597</v>
      </c>
      <c r="L146" s="185"/>
      <c r="M146" s="188">
        <v>46077</v>
      </c>
      <c r="N146" s="71"/>
      <c r="Q146" s="71"/>
      <c r="R146" s="71"/>
      <c r="S146" t="s">
        <v>340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193</v>
      </c>
      <c r="G147" t="s">
        <v>1361</v>
      </c>
      <c r="H147" s="71"/>
      <c r="I147" t="s">
        <v>339</v>
      </c>
      <c r="J147" s="187">
        <v>1</v>
      </c>
      <c r="K147" t="s">
        <v>1407</v>
      </c>
      <c r="L147" s="185"/>
      <c r="M147" s="188">
        <v>46077</v>
      </c>
      <c r="N147" s="71"/>
      <c r="O147" s="71"/>
      <c r="P147" s="71"/>
      <c r="Q147" s="71"/>
      <c r="R147" s="71"/>
      <c r="S147" t="s">
        <v>449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1713</v>
      </c>
      <c r="G148" t="s">
        <v>450</v>
      </c>
      <c r="H148" s="71"/>
      <c r="I148" t="s">
        <v>339</v>
      </c>
      <c r="J148" s="187">
        <v>1</v>
      </c>
      <c r="K148" t="s">
        <v>1407</v>
      </c>
      <c r="L148" s="185"/>
      <c r="M148" s="188">
        <v>46077</v>
      </c>
      <c r="N148" s="71"/>
      <c r="O148" s="71"/>
      <c r="P148" s="71"/>
      <c r="Q148" s="71"/>
      <c r="R148" s="71"/>
      <c r="S148" t="s">
        <v>340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CONTROLADORIA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703</v>
      </c>
      <c r="G149" t="s">
        <v>405</v>
      </c>
      <c r="H149" s="71"/>
      <c r="I149" t="s">
        <v>406</v>
      </c>
      <c r="J149" s="187">
        <v>1</v>
      </c>
      <c r="K149" t="s">
        <v>1407</v>
      </c>
      <c r="L149" s="185"/>
      <c r="M149" s="188">
        <v>42340</v>
      </c>
      <c r="N149" s="71"/>
      <c r="O149" s="71"/>
      <c r="P149" s="71"/>
      <c r="Q149" s="71"/>
      <c r="R149" s="71"/>
      <c r="S149" t="s">
        <v>256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GESTÃO PESSOAS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1763</v>
      </c>
      <c r="G150" t="s">
        <v>1458</v>
      </c>
      <c r="H150" s="71"/>
      <c r="I150" t="s">
        <v>239</v>
      </c>
      <c r="J150" s="187">
        <v>1</v>
      </c>
      <c r="K150" t="s">
        <v>1407</v>
      </c>
      <c r="L150" s="185"/>
      <c r="M150" s="188">
        <v>46226</v>
      </c>
      <c r="N150" s="71"/>
      <c r="Q150" s="71"/>
      <c r="R150" s="71"/>
      <c r="S150" t="s">
        <v>240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54</v>
      </c>
      <c r="G151" t="s">
        <v>444</v>
      </c>
      <c r="H151" s="71"/>
      <c r="I151" t="s">
        <v>244</v>
      </c>
      <c r="J151" s="187">
        <v>1</v>
      </c>
      <c r="K151" t="s">
        <v>1407</v>
      </c>
      <c r="L151" s="185"/>
      <c r="M151" s="188">
        <v>39358</v>
      </c>
      <c r="N151" s="71"/>
      <c r="O151" s="71"/>
      <c r="P151" s="71"/>
      <c r="Q151" s="71"/>
      <c r="R151" s="71"/>
      <c r="S151" t="s">
        <v>333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1142</v>
      </c>
      <c r="G152" t="s">
        <v>445</v>
      </c>
      <c r="H152" s="71"/>
      <c r="I152" t="s">
        <v>446</v>
      </c>
      <c r="J152" s="187">
        <v>1</v>
      </c>
      <c r="K152" t="s">
        <v>1407</v>
      </c>
      <c r="L152" s="185"/>
      <c r="M152" s="188">
        <v>44348</v>
      </c>
      <c r="N152" s="71"/>
      <c r="Q152" s="71"/>
      <c r="R152" s="71"/>
      <c r="S152" t="s">
        <v>333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PREVENÇÃO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238</v>
      </c>
      <c r="G153" t="s">
        <v>1478</v>
      </c>
      <c r="H153" s="71"/>
      <c r="I153" t="s">
        <v>657</v>
      </c>
      <c r="J153" s="187">
        <v>1</v>
      </c>
      <c r="K153" t="s">
        <v>1407</v>
      </c>
      <c r="L153" s="185"/>
      <c r="M153" s="188">
        <v>46239</v>
      </c>
      <c r="N153" s="71"/>
      <c r="Q153" s="71"/>
      <c r="R153" s="71"/>
      <c r="S153" t="s">
        <v>473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CONFEITARIA</v>
      </c>
      <c r="C154" s="72" t="str">
        <f ca="1">IF(D154="Inativo","Inativo",IFERROR(VLOOKUP($G154,Conf!$O:$Q,3,0),IFERROR(VLOOKUP($G154,Conf!$E:$F,2,0),VLOOKUP($S154,Conf!$K:$M,3,0))))</f>
        <v>CONFEITEIRO(A)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220</v>
      </c>
      <c r="G154" t="s">
        <v>1367</v>
      </c>
      <c r="H154" s="71"/>
      <c r="I154" t="s">
        <v>278</v>
      </c>
      <c r="J154" s="187">
        <v>1</v>
      </c>
      <c r="K154" t="s">
        <v>1407</v>
      </c>
      <c r="L154" s="185"/>
      <c r="M154" s="188">
        <v>46188</v>
      </c>
      <c r="N154" s="71"/>
      <c r="Q154" s="71"/>
      <c r="R154" s="71"/>
      <c r="S154" t="s">
        <v>1267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AUXILIAR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1510</v>
      </c>
      <c r="G155" t="s">
        <v>404</v>
      </c>
      <c r="H155" s="71"/>
      <c r="I155" t="s">
        <v>406</v>
      </c>
      <c r="J155" s="187">
        <v>1</v>
      </c>
      <c r="K155" t="s">
        <v>1407</v>
      </c>
      <c r="L155" s="185"/>
      <c r="M155" s="188">
        <v>45446</v>
      </c>
      <c r="N155" s="71"/>
      <c r="Q155" s="71"/>
      <c r="R155" s="71"/>
      <c r="S155" t="s">
        <v>248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CONFERENTE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1554</v>
      </c>
      <c r="G156" t="s">
        <v>417</v>
      </c>
      <c r="H156" s="71"/>
      <c r="I156" t="s">
        <v>1435</v>
      </c>
      <c r="J156" s="187">
        <v>1</v>
      </c>
      <c r="K156" t="s">
        <v>1407</v>
      </c>
      <c r="L156" s="185"/>
      <c r="M156" s="188">
        <v>45603</v>
      </c>
      <c r="N156" s="71"/>
      <c r="O156" s="71"/>
      <c r="P156" s="71"/>
      <c r="Q156" s="71"/>
      <c r="R156" s="71"/>
      <c r="S156" t="s">
        <v>251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DEPOSITO</v>
      </c>
      <c r="C157" s="72" t="str">
        <f ca="1">IF(D157="Inativo","Inativo",IFERROR(VLOOKUP($G157,Conf!$O:$Q,3,0),IFERROR(VLOOKUP($G157,Conf!$E:$F,2,0),VLOOKUP($S157,Conf!$K:$M,3,0))))</f>
        <v>ENCARREGADO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94</v>
      </c>
      <c r="G157" t="s">
        <v>1357</v>
      </c>
      <c r="H157" s="71"/>
      <c r="I157" t="s">
        <v>297</v>
      </c>
      <c r="J157" s="187">
        <v>1</v>
      </c>
      <c r="K157" t="s">
        <v>1407</v>
      </c>
      <c r="L157" s="185"/>
      <c r="M157" s="188">
        <v>45761</v>
      </c>
      <c r="N157" s="71"/>
      <c r="Q157" s="71"/>
      <c r="R157" s="71"/>
      <c r="S157" t="s">
        <v>453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EMPACOTADOR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44</v>
      </c>
      <c r="G158" t="s">
        <v>1356</v>
      </c>
      <c r="H158" s="71"/>
      <c r="I158" t="s">
        <v>297</v>
      </c>
      <c r="J158" s="187">
        <v>1</v>
      </c>
      <c r="K158" t="s">
        <v>1407</v>
      </c>
      <c r="L158" s="185"/>
      <c r="M158" s="188">
        <v>45608</v>
      </c>
      <c r="N158" s="71"/>
      <c r="Q158" s="71"/>
      <c r="R158" s="71"/>
      <c r="S158" t="s">
        <v>412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ENCARREGADO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1614</v>
      </c>
      <c r="G159" t="s">
        <v>413</v>
      </c>
      <c r="H159" s="71"/>
      <c r="I159" t="s">
        <v>414</v>
      </c>
      <c r="J159" s="187">
        <v>1</v>
      </c>
      <c r="K159" t="s">
        <v>1407</v>
      </c>
      <c r="L159" s="185"/>
      <c r="M159" s="188">
        <v>45749</v>
      </c>
      <c r="N159" s="71"/>
      <c r="O159" s="71"/>
      <c r="P159" s="71"/>
      <c r="Q159" s="71"/>
      <c r="R159" s="71"/>
      <c r="S159" t="s">
        <v>415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ENTREGADOR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1739</v>
      </c>
      <c r="G160" t="s">
        <v>408</v>
      </c>
      <c r="H160" s="71"/>
      <c r="I160" t="s">
        <v>290</v>
      </c>
      <c r="J160" s="187">
        <v>1</v>
      </c>
      <c r="K160" t="s">
        <v>1407</v>
      </c>
      <c r="L160" s="185"/>
      <c r="M160" s="188">
        <v>46120</v>
      </c>
      <c r="N160" s="71"/>
      <c r="O160" s="71"/>
      <c r="P160" s="71"/>
      <c r="Q160" s="71"/>
      <c r="R160" s="71"/>
      <c r="S160" t="s">
        <v>409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ESTACIONAMENTO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45</v>
      </c>
      <c r="G161" t="s">
        <v>1380</v>
      </c>
      <c r="H161" s="71"/>
      <c r="I161" t="s">
        <v>471</v>
      </c>
      <c r="J161" s="187">
        <v>1</v>
      </c>
      <c r="K161" t="s">
        <v>1407</v>
      </c>
      <c r="L161" s="185"/>
      <c r="M161" s="188">
        <v>45608</v>
      </c>
      <c r="N161" s="71"/>
      <c r="Q161" s="71"/>
      <c r="R161" s="71"/>
      <c r="S161" t="s">
        <v>472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1773</v>
      </c>
      <c r="G162" t="s">
        <v>1572</v>
      </c>
      <c r="H162" s="71"/>
      <c r="I162" t="s">
        <v>220</v>
      </c>
      <c r="J162" s="187">
        <v>1</v>
      </c>
      <c r="K162" t="s">
        <v>1407</v>
      </c>
      <c r="L162" s="185"/>
      <c r="M162" s="188">
        <v>46267</v>
      </c>
      <c r="N162" s="71"/>
      <c r="O162" s="71"/>
      <c r="P162" s="71"/>
      <c r="Q162" s="71"/>
      <c r="R162" s="71"/>
      <c r="S162" t="s">
        <v>279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1784</v>
      </c>
      <c r="G163" t="s">
        <v>1641</v>
      </c>
      <c r="H163" s="71"/>
      <c r="I163" t="s">
        <v>220</v>
      </c>
      <c r="J163" s="187">
        <v>1</v>
      </c>
      <c r="K163" t="s">
        <v>1407</v>
      </c>
      <c r="L163" s="185"/>
      <c r="M163" s="188">
        <v>46290</v>
      </c>
      <c r="N163" s="71"/>
      <c r="O163" s="71"/>
      <c r="P163" s="71"/>
      <c r="Q163" s="71"/>
      <c r="R163" s="71"/>
      <c r="S163" t="s">
        <v>279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FISCAL DE CAIXA</v>
      </c>
      <c r="D164" s="72" t="str">
        <f ca="1">IFERROR(IF(TODAY()-K164&gt;365,"Inativo",IF(J164=2,"Férias",IF(J164=7,"Demitido","Afastamento"))),VLOOKUP(J164,Conf!$H:$I,2,0))</f>
        <v>Férias</v>
      </c>
      <c r="E164" s="187">
        <v>2</v>
      </c>
      <c r="F164" s="187">
        <v>1357</v>
      </c>
      <c r="G164" t="s">
        <v>416</v>
      </c>
      <c r="H164" s="71"/>
      <c r="I164" t="s">
        <v>222</v>
      </c>
      <c r="J164" s="187">
        <v>2</v>
      </c>
      <c r="K164" t="s">
        <v>1649</v>
      </c>
      <c r="L164" s="185"/>
      <c r="M164" s="188">
        <v>45125</v>
      </c>
      <c r="N164" s="71"/>
      <c r="O164" s="71"/>
      <c r="P164" s="71"/>
      <c r="Q164" s="71"/>
      <c r="R164" s="71"/>
      <c r="S164" t="s">
        <v>279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1750</v>
      </c>
      <c r="G165" t="s">
        <v>418</v>
      </c>
      <c r="H165" s="71"/>
      <c r="I165" t="s">
        <v>220</v>
      </c>
      <c r="J165" s="187">
        <v>1</v>
      </c>
      <c r="K165" t="s">
        <v>1407</v>
      </c>
      <c r="L165" s="185"/>
      <c r="M165" s="188">
        <v>46174</v>
      </c>
      <c r="N165" s="71"/>
      <c r="Q165" s="71"/>
      <c r="R165" s="71"/>
      <c r="S165" t="s">
        <v>282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1759</v>
      </c>
      <c r="G166" t="s">
        <v>1411</v>
      </c>
      <c r="H166" s="71"/>
      <c r="I166" t="s">
        <v>220</v>
      </c>
      <c r="J166" s="187">
        <v>1</v>
      </c>
      <c r="K166" t="s">
        <v>1407</v>
      </c>
      <c r="L166" s="185"/>
      <c r="M166" s="188">
        <v>46210</v>
      </c>
      <c r="N166" s="71"/>
      <c r="O166" s="71"/>
      <c r="P166" s="71"/>
      <c r="Q166" s="71"/>
      <c r="R166" s="71"/>
      <c r="S166" t="s">
        <v>282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1524</v>
      </c>
      <c r="G167" t="s">
        <v>420</v>
      </c>
      <c r="H167" s="71"/>
      <c r="I167" t="s">
        <v>220</v>
      </c>
      <c r="J167" s="187">
        <v>1</v>
      </c>
      <c r="K167" t="s">
        <v>1407</v>
      </c>
      <c r="L167" s="185"/>
      <c r="M167" s="188">
        <v>45496</v>
      </c>
      <c r="N167" s="71"/>
      <c r="Q167" s="71"/>
      <c r="R167" s="71"/>
      <c r="S167" t="s">
        <v>282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1695</v>
      </c>
      <c r="G168" t="s">
        <v>421</v>
      </c>
      <c r="H168" s="71"/>
      <c r="I168" t="s">
        <v>220</v>
      </c>
      <c r="J168" s="187">
        <v>1</v>
      </c>
      <c r="K168" t="s">
        <v>1407</v>
      </c>
      <c r="L168" s="185"/>
      <c r="M168" s="188">
        <v>46009</v>
      </c>
      <c r="N168" s="71"/>
      <c r="Q168" s="71"/>
      <c r="R168" s="71"/>
      <c r="S168" t="s">
        <v>282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1741</v>
      </c>
      <c r="G169" t="s">
        <v>422</v>
      </c>
      <c r="H169" s="71"/>
      <c r="I169" t="s">
        <v>220</v>
      </c>
      <c r="J169" s="187">
        <v>1</v>
      </c>
      <c r="K169" t="s">
        <v>1407</v>
      </c>
      <c r="L169" s="185"/>
      <c r="M169" s="188">
        <v>46127</v>
      </c>
      <c r="N169" s="71"/>
      <c r="Q169" s="71"/>
      <c r="R169" s="71"/>
      <c r="S169" t="s">
        <v>282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1765</v>
      </c>
      <c r="G170" t="s">
        <v>1480</v>
      </c>
      <c r="H170" s="71"/>
      <c r="I170" t="s">
        <v>220</v>
      </c>
      <c r="J170" s="187">
        <v>1</v>
      </c>
      <c r="K170" t="s">
        <v>1407</v>
      </c>
      <c r="L170" s="185"/>
      <c r="M170" s="188">
        <v>46239</v>
      </c>
      <c r="N170" s="71"/>
      <c r="Q170" s="71"/>
      <c r="R170" s="71"/>
      <c r="S170" t="s">
        <v>282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Demitido</v>
      </c>
      <c r="E171" s="187">
        <v>2</v>
      </c>
      <c r="F171" s="187">
        <v>1702</v>
      </c>
      <c r="G171" t="s">
        <v>423</v>
      </c>
      <c r="H171" s="71"/>
      <c r="I171" t="s">
        <v>220</v>
      </c>
      <c r="J171" s="187">
        <v>7</v>
      </c>
      <c r="K171" t="s">
        <v>1637</v>
      </c>
      <c r="L171" s="185"/>
      <c r="M171" s="188">
        <v>46062</v>
      </c>
      <c r="N171" s="71"/>
      <c r="Q171" s="71"/>
      <c r="R171" s="71"/>
      <c r="S171" t="s">
        <v>282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1766</v>
      </c>
      <c r="G172" t="s">
        <v>1488</v>
      </c>
      <c r="H172" s="71"/>
      <c r="I172" t="s">
        <v>220</v>
      </c>
      <c r="J172" s="187">
        <v>7</v>
      </c>
      <c r="K172" t="s">
        <v>1594</v>
      </c>
      <c r="L172" s="185"/>
      <c r="M172" s="188">
        <v>46244</v>
      </c>
      <c r="N172" s="71"/>
      <c r="Q172" s="71"/>
      <c r="R172" s="71"/>
      <c r="S172" t="s">
        <v>282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1781</v>
      </c>
      <c r="G173" t="s">
        <v>1388</v>
      </c>
      <c r="H173" s="71"/>
      <c r="I173" t="s">
        <v>304</v>
      </c>
      <c r="J173" s="187">
        <v>1</v>
      </c>
      <c r="K173" t="s">
        <v>1407</v>
      </c>
      <c r="L173" s="185"/>
      <c r="M173" s="188">
        <v>46286</v>
      </c>
      <c r="N173" s="71"/>
      <c r="Q173" s="71"/>
      <c r="R173" s="71"/>
      <c r="S173" t="s">
        <v>282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1762</v>
      </c>
      <c r="G174" t="s">
        <v>1457</v>
      </c>
      <c r="H174" s="71"/>
      <c r="I174" t="s">
        <v>220</v>
      </c>
      <c r="J174" s="187">
        <v>1</v>
      </c>
      <c r="K174" t="s">
        <v>1407</v>
      </c>
      <c r="L174" s="185"/>
      <c r="M174" s="188">
        <v>46224</v>
      </c>
      <c r="N174" s="71"/>
      <c r="Q174" s="71"/>
      <c r="R174" s="71"/>
      <c r="S174" t="s">
        <v>282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1756</v>
      </c>
      <c r="G175" t="s">
        <v>1369</v>
      </c>
      <c r="H175" s="71"/>
      <c r="I175" t="s">
        <v>471</v>
      </c>
      <c r="J175" s="187">
        <v>1</v>
      </c>
      <c r="K175" t="s">
        <v>1407</v>
      </c>
      <c r="L175" s="185"/>
      <c r="M175" s="188">
        <v>46203</v>
      </c>
      <c r="N175" s="71"/>
      <c r="O175" s="71"/>
      <c r="P175" s="71"/>
      <c r="Q175" s="71"/>
      <c r="R175" s="71"/>
      <c r="S175" t="s">
        <v>282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Afastamento</v>
      </c>
      <c r="E176" s="187">
        <v>2</v>
      </c>
      <c r="F176" s="187">
        <v>899</v>
      </c>
      <c r="G176" t="s">
        <v>424</v>
      </c>
      <c r="H176" s="71"/>
      <c r="I176" t="s">
        <v>225</v>
      </c>
      <c r="J176" s="187">
        <v>3</v>
      </c>
      <c r="K176" t="s">
        <v>1309</v>
      </c>
      <c r="L176" s="185"/>
      <c r="M176" s="188">
        <v>43486</v>
      </c>
      <c r="N176" s="71"/>
      <c r="O176" s="71"/>
      <c r="P176" s="71"/>
      <c r="Q176" s="71"/>
      <c r="R176" s="71"/>
      <c r="S176" t="s">
        <v>282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1684</v>
      </c>
      <c r="G177" t="s">
        <v>425</v>
      </c>
      <c r="H177" s="71"/>
      <c r="I177" t="s">
        <v>220</v>
      </c>
      <c r="J177" s="187">
        <v>1</v>
      </c>
      <c r="K177" t="s">
        <v>1407</v>
      </c>
      <c r="L177" s="185"/>
      <c r="M177" s="188">
        <v>45974</v>
      </c>
      <c r="N177" s="71"/>
      <c r="O177" s="71"/>
      <c r="P177" s="71"/>
      <c r="Q177" s="71"/>
      <c r="R177" s="71"/>
      <c r="S177" t="s">
        <v>282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1768</v>
      </c>
      <c r="G178" t="s">
        <v>1517</v>
      </c>
      <c r="H178" s="71"/>
      <c r="I178" t="s">
        <v>220</v>
      </c>
      <c r="J178" s="187">
        <v>1</v>
      </c>
      <c r="K178" t="s">
        <v>1407</v>
      </c>
      <c r="L178" s="185"/>
      <c r="M178" s="188">
        <v>46253</v>
      </c>
      <c r="N178" s="71"/>
      <c r="Q178" s="71"/>
      <c r="R178" s="71"/>
      <c r="S178" t="s">
        <v>282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1770</v>
      </c>
      <c r="G179" t="s">
        <v>1534</v>
      </c>
      <c r="H179" s="71"/>
      <c r="I179" t="s">
        <v>220</v>
      </c>
      <c r="J179" s="187">
        <v>1</v>
      </c>
      <c r="K179" t="s">
        <v>1407</v>
      </c>
      <c r="L179" s="185"/>
      <c r="M179" s="188">
        <v>46258</v>
      </c>
      <c r="N179" s="71"/>
      <c r="O179" s="71"/>
      <c r="P179" s="71"/>
      <c r="Q179" s="71"/>
      <c r="R179" s="71"/>
      <c r="S179" t="s">
        <v>282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748</v>
      </c>
      <c r="G180" t="s">
        <v>426</v>
      </c>
      <c r="H180" s="71"/>
      <c r="I180" t="s">
        <v>225</v>
      </c>
      <c r="J180" s="187">
        <v>1</v>
      </c>
      <c r="K180" t="s">
        <v>1407</v>
      </c>
      <c r="L180" s="185"/>
      <c r="M180" s="188">
        <v>42618</v>
      </c>
      <c r="N180" s="71"/>
      <c r="O180" s="71"/>
      <c r="P180" s="71"/>
      <c r="Q180" s="71"/>
      <c r="R180" s="71"/>
      <c r="S180" t="s">
        <v>282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1731</v>
      </c>
      <c r="G181" t="s">
        <v>427</v>
      </c>
      <c r="H181" s="71"/>
      <c r="I181" t="s">
        <v>220</v>
      </c>
      <c r="J181" s="187">
        <v>1</v>
      </c>
      <c r="K181" t="s">
        <v>1407</v>
      </c>
      <c r="L181" s="185"/>
      <c r="M181" s="188">
        <v>46101</v>
      </c>
      <c r="N181" s="71"/>
      <c r="Q181" s="71"/>
      <c r="R181" s="71"/>
      <c r="S181" t="s">
        <v>282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1477</v>
      </c>
      <c r="G182" t="s">
        <v>428</v>
      </c>
      <c r="H182" s="71"/>
      <c r="I182" t="s">
        <v>429</v>
      </c>
      <c r="J182" s="187">
        <v>1</v>
      </c>
      <c r="K182" t="s">
        <v>1407</v>
      </c>
      <c r="L182" s="185"/>
      <c r="M182" s="188">
        <v>45371</v>
      </c>
      <c r="N182" s="71"/>
      <c r="O182" s="71"/>
      <c r="P182" s="71"/>
      <c r="Q182" s="71"/>
      <c r="R182" s="71"/>
      <c r="S182" t="s">
        <v>307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144</v>
      </c>
      <c r="G183" t="s">
        <v>1379</v>
      </c>
      <c r="H183" s="71"/>
      <c r="I183" t="s">
        <v>220</v>
      </c>
      <c r="J183" s="187">
        <v>1</v>
      </c>
      <c r="K183" t="s">
        <v>1407</v>
      </c>
      <c r="L183" s="185"/>
      <c r="M183" s="188">
        <v>45915</v>
      </c>
      <c r="N183" s="71"/>
      <c r="Q183" s="71"/>
      <c r="R183" s="71"/>
      <c r="S183" t="s">
        <v>430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253</v>
      </c>
      <c r="G184" t="s">
        <v>1605</v>
      </c>
      <c r="H184" s="71"/>
      <c r="I184" t="s">
        <v>220</v>
      </c>
      <c r="J184" s="187">
        <v>1</v>
      </c>
      <c r="K184" t="s">
        <v>1407</v>
      </c>
      <c r="L184" s="185"/>
      <c r="M184" s="188">
        <v>46279</v>
      </c>
      <c r="N184" s="71"/>
      <c r="Q184" s="71"/>
      <c r="R184" s="71"/>
      <c r="S184" t="s">
        <v>430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</v>
      </c>
      <c r="G185" t="s">
        <v>1378</v>
      </c>
      <c r="H185" s="71"/>
      <c r="I185" t="s">
        <v>220</v>
      </c>
      <c r="J185" s="187">
        <v>1</v>
      </c>
      <c r="K185" t="s">
        <v>1407</v>
      </c>
      <c r="L185" s="185"/>
      <c r="M185" s="188">
        <v>45446</v>
      </c>
      <c r="N185" s="71"/>
      <c r="Q185" s="71"/>
      <c r="R185" s="71"/>
      <c r="S185" t="s">
        <v>431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226</v>
      </c>
      <c r="G186" t="s">
        <v>1389</v>
      </c>
      <c r="H186" s="71"/>
      <c r="I186" t="s">
        <v>220</v>
      </c>
      <c r="J186" s="187">
        <v>1</v>
      </c>
      <c r="K186" t="s">
        <v>1407</v>
      </c>
      <c r="L186" s="185"/>
      <c r="M186" s="188">
        <v>46204</v>
      </c>
      <c r="N186" s="71"/>
      <c r="O186" s="71"/>
      <c r="P186" s="71"/>
      <c r="Q186" s="71"/>
      <c r="R186" s="71"/>
      <c r="S186" t="s">
        <v>1390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187">
        <v>6</v>
      </c>
      <c r="F187" s="187">
        <v>2195</v>
      </c>
      <c r="G187" t="s">
        <v>454</v>
      </c>
      <c r="H187" s="71"/>
      <c r="I187" t="s">
        <v>353</v>
      </c>
      <c r="J187" s="187">
        <v>1</v>
      </c>
      <c r="K187" t="s">
        <v>1407</v>
      </c>
      <c r="L187" s="185"/>
      <c r="M187" s="188">
        <v>45659</v>
      </c>
      <c r="N187" s="71"/>
      <c r="Q187" s="71"/>
      <c r="R187" s="71"/>
      <c r="S187" t="s">
        <v>354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SUBGERENTE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83</v>
      </c>
      <c r="G188" t="s">
        <v>588</v>
      </c>
      <c r="H188" s="71"/>
      <c r="I188" t="s">
        <v>353</v>
      </c>
      <c r="J188" s="187">
        <v>1</v>
      </c>
      <c r="K188" t="s">
        <v>1407</v>
      </c>
      <c r="L188" s="185"/>
      <c r="M188" s="188">
        <v>45735</v>
      </c>
      <c r="N188" s="71"/>
      <c r="O188" s="71"/>
      <c r="P188" s="71"/>
      <c r="Q188" s="71"/>
      <c r="R188" s="71"/>
      <c r="S188" t="s">
        <v>589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252</v>
      </c>
      <c r="G189" t="s">
        <v>1599</v>
      </c>
      <c r="H189" s="71"/>
      <c r="I189" t="s">
        <v>220</v>
      </c>
      <c r="J189" s="187">
        <v>1</v>
      </c>
      <c r="K189" t="s">
        <v>1407</v>
      </c>
      <c r="L189" s="185"/>
      <c r="M189" s="188">
        <v>46276</v>
      </c>
      <c r="N189" s="71"/>
      <c r="Q189" s="71"/>
      <c r="R189" s="71"/>
      <c r="S189" t="s">
        <v>1604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43</v>
      </c>
      <c r="G190" t="s">
        <v>1362</v>
      </c>
      <c r="H190" s="71"/>
      <c r="I190" t="s">
        <v>322</v>
      </c>
      <c r="J190" s="187">
        <v>1</v>
      </c>
      <c r="K190" t="s">
        <v>1407</v>
      </c>
      <c r="L190" s="185"/>
      <c r="M190" s="188">
        <v>45607</v>
      </c>
      <c r="N190" s="71"/>
      <c r="O190" s="71"/>
      <c r="P190" s="71"/>
      <c r="Q190" s="71"/>
      <c r="R190" s="71"/>
      <c r="S190" t="s">
        <v>435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245</v>
      </c>
      <c r="G191" t="s">
        <v>1536</v>
      </c>
      <c r="H191" s="71"/>
      <c r="I191" t="s">
        <v>220</v>
      </c>
      <c r="J191" s="187">
        <v>1</v>
      </c>
      <c r="K191" t="s">
        <v>1407</v>
      </c>
      <c r="L191" s="185"/>
      <c r="M191" s="188">
        <v>46260</v>
      </c>
      <c r="N191" s="71"/>
      <c r="O191" s="71"/>
      <c r="P191" s="71"/>
      <c r="Q191" s="71"/>
      <c r="R191" s="71"/>
      <c r="S191" t="s">
        <v>435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254</v>
      </c>
      <c r="G192" t="s">
        <v>1614</v>
      </c>
      <c r="H192" s="71"/>
      <c r="I192" t="s">
        <v>222</v>
      </c>
      <c r="J192" s="187">
        <v>1</v>
      </c>
      <c r="K192" t="s">
        <v>1407</v>
      </c>
      <c r="L192" s="185"/>
      <c r="M192" s="188">
        <v>46280</v>
      </c>
      <c r="N192" s="71"/>
      <c r="Q192" s="71"/>
      <c r="R192" s="71"/>
      <c r="S192" t="s">
        <v>435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187">
        <v>2</v>
      </c>
      <c r="F193" s="187">
        <v>236</v>
      </c>
      <c r="G193" t="s">
        <v>1463</v>
      </c>
      <c r="H193" s="71"/>
      <c r="I193" t="s">
        <v>220</v>
      </c>
      <c r="J193" s="187">
        <v>7</v>
      </c>
      <c r="K193" t="s">
        <v>1581</v>
      </c>
      <c r="L193" s="185"/>
      <c r="M193" s="188">
        <v>46238</v>
      </c>
      <c r="N193" s="71"/>
      <c r="Q193" s="71"/>
      <c r="R193" s="71"/>
      <c r="S193" t="s">
        <v>435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237</v>
      </c>
      <c r="G194" t="s">
        <v>1477</v>
      </c>
      <c r="H194" s="71"/>
      <c r="I194" t="s">
        <v>220</v>
      </c>
      <c r="J194" s="187">
        <v>1</v>
      </c>
      <c r="K194" t="s">
        <v>1407</v>
      </c>
      <c r="L194" s="185"/>
      <c r="M194" s="188">
        <v>46238</v>
      </c>
      <c r="N194" s="71"/>
      <c r="Q194" s="71"/>
      <c r="R194" s="71"/>
      <c r="S194" t="s">
        <v>435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HORTIFRUTI</v>
      </c>
      <c r="C195" s="72" t="str">
        <f ca="1">IF(D195="Inativo","Inativo",IFERROR(VLOOKUP($G195,Conf!$O:$Q,3,0),IFERROR(VLOOKUP($G195,Conf!$E:$F,2,0),VLOOKUP($S195,Conf!$K:$M,3,0))))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187">
        <v>2</v>
      </c>
      <c r="F195" s="187">
        <v>228</v>
      </c>
      <c r="G195" t="s">
        <v>1417</v>
      </c>
      <c r="H195" s="71"/>
      <c r="I195" t="s">
        <v>220</v>
      </c>
      <c r="J195" s="187">
        <v>7</v>
      </c>
      <c r="K195" t="s">
        <v>1598</v>
      </c>
      <c r="L195" s="185"/>
      <c r="M195" s="188">
        <v>46204</v>
      </c>
      <c r="N195" s="71"/>
      <c r="O195" s="71"/>
      <c r="P195" s="71"/>
      <c r="Q195" s="71"/>
      <c r="R195" s="71"/>
      <c r="S195" t="s">
        <v>435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HORTIFRUTI</v>
      </c>
      <c r="C196" s="72" t="str">
        <f ca="1">IF(D196="Inativo","Inativo",IFERROR(VLOOKUP($G196,Conf!$O:$Q,3,0),IFERROR(VLOOKUP($G196,Conf!$E:$F,2,0),VLOOKUP($S196,Conf!$K:$M,3,0))))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200</v>
      </c>
      <c r="G196" t="s">
        <v>1363</v>
      </c>
      <c r="H196" s="71"/>
      <c r="I196" t="s">
        <v>781</v>
      </c>
      <c r="J196" s="187">
        <v>7</v>
      </c>
      <c r="K196" t="s">
        <v>1636</v>
      </c>
      <c r="L196" s="185"/>
      <c r="M196" s="188">
        <v>46093</v>
      </c>
      <c r="N196" s="71"/>
      <c r="O196" s="71"/>
      <c r="P196" s="71"/>
      <c r="Q196" s="71"/>
      <c r="R196" s="71"/>
      <c r="S196" t="s">
        <v>435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Inativo</v>
      </c>
      <c r="C197" s="72" t="str">
        <f ca="1">IF(D197="Inativo","Inativo",IFERROR(VLOOKUP($G197,Conf!$O:$Q,3,0),IFERROR(VLOOKUP($G197,Conf!$E:$F,2,0),VLOOKUP($S197,Conf!$K:$M,3,0))))</f>
        <v>Inativo</v>
      </c>
      <c r="D197" s="72" t="str">
        <f ca="1">IFERROR(IF(TODAY()-K197&gt;365,"Inativo",IF(J197=2,"Férias",IF(J197=7,"Demitido","Afastamento"))),VLOOKUP(J197,Conf!$H:$I,2,0))</f>
        <v>Inativo</v>
      </c>
      <c r="E197" s="187">
        <v>2</v>
      </c>
      <c r="F197" s="187">
        <v>665</v>
      </c>
      <c r="G197" t="s">
        <v>436</v>
      </c>
      <c r="H197" s="71"/>
      <c r="I197" t="s">
        <v>437</v>
      </c>
      <c r="J197" s="187">
        <v>3</v>
      </c>
      <c r="K197" t="s">
        <v>438</v>
      </c>
      <c r="L197" s="185"/>
      <c r="M197" s="188">
        <v>42156</v>
      </c>
      <c r="N197" s="71"/>
      <c r="O197" s="71"/>
      <c r="P197" s="71"/>
      <c r="Q197" s="71"/>
      <c r="R197" s="71"/>
      <c r="S197" t="s">
        <v>282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Inativo</v>
      </c>
      <c r="C198" s="72" t="str">
        <f ca="1">IF(D198="Inativo","Inativo",IFERROR(VLOOKUP($G198,Conf!$O:$Q,3,0),IFERROR(VLOOKUP($G198,Conf!$E:$F,2,0),VLOOKUP($S198,Conf!$K:$M,3,0))))</f>
        <v>Inativo</v>
      </c>
      <c r="D198" s="72" t="str">
        <f ca="1">IFERROR(IF(TODAY()-K198&gt;365,"Inativo",IF(J198=2,"Férias",IF(J198=7,"Demitido","Afastamento"))),VLOOKUP(J198,Conf!$H:$I,2,0))</f>
        <v>Inativo</v>
      </c>
      <c r="E198" s="187">
        <v>2</v>
      </c>
      <c r="F198" s="187">
        <v>685</v>
      </c>
      <c r="G198" t="s">
        <v>439</v>
      </c>
      <c r="H198" s="71"/>
      <c r="I198" t="s">
        <v>440</v>
      </c>
      <c r="J198" s="187">
        <v>3</v>
      </c>
      <c r="K198" t="s">
        <v>441</v>
      </c>
      <c r="L198" s="185"/>
      <c r="M198" s="188">
        <v>42257</v>
      </c>
      <c r="N198" s="71"/>
      <c r="Q198" s="71"/>
      <c r="R198" s="71"/>
      <c r="S198" t="s">
        <v>442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CARTAZISTA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1620</v>
      </c>
      <c r="G199" t="s">
        <v>419</v>
      </c>
      <c r="H199" s="71"/>
      <c r="I199" t="s">
        <v>471</v>
      </c>
      <c r="J199" s="187">
        <v>1</v>
      </c>
      <c r="K199" t="s">
        <v>1407</v>
      </c>
      <c r="L199" s="185"/>
      <c r="M199" s="188">
        <v>45758</v>
      </c>
      <c r="N199" s="71"/>
      <c r="O199" s="71"/>
      <c r="P199" s="71"/>
      <c r="Q199" s="71"/>
      <c r="R199" s="71"/>
      <c r="S199" t="s">
        <v>349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ENCARREGADO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1723</v>
      </c>
      <c r="G200" t="s">
        <v>432</v>
      </c>
      <c r="H200" s="71"/>
      <c r="I200" t="s">
        <v>220</v>
      </c>
      <c r="J200" s="187">
        <v>1</v>
      </c>
      <c r="K200" t="s">
        <v>1407</v>
      </c>
      <c r="L200" s="185"/>
      <c r="M200" s="188">
        <v>46094</v>
      </c>
      <c r="N200" s="71"/>
      <c r="Q200" s="71"/>
      <c r="R200" s="71"/>
      <c r="S200" t="s">
        <v>351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221</v>
      </c>
      <c r="G201" t="s">
        <v>1359</v>
      </c>
      <c r="H201" s="71"/>
      <c r="I201" t="s">
        <v>220</v>
      </c>
      <c r="J201" s="187">
        <v>7</v>
      </c>
      <c r="K201" t="s">
        <v>1595</v>
      </c>
      <c r="L201" s="185"/>
      <c r="M201" s="188">
        <v>46188</v>
      </c>
      <c r="N201" s="71"/>
      <c r="Q201" s="71"/>
      <c r="R201" s="71"/>
      <c r="S201" t="s">
        <v>455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240</v>
      </c>
      <c r="G202" t="s">
        <v>1487</v>
      </c>
      <c r="H202" s="71"/>
      <c r="I202" t="s">
        <v>220</v>
      </c>
      <c r="J202" s="187">
        <v>1</v>
      </c>
      <c r="K202" t="s">
        <v>1407</v>
      </c>
      <c r="L202" s="185"/>
      <c r="M202" s="188">
        <v>46244</v>
      </c>
      <c r="N202" s="71"/>
      <c r="O202" s="71"/>
      <c r="P202" s="71"/>
      <c r="Q202" s="71"/>
      <c r="R202" s="71"/>
      <c r="S202" t="s">
        <v>455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255</v>
      </c>
      <c r="G203" t="s">
        <v>1615</v>
      </c>
      <c r="H203" s="71"/>
      <c r="I203" t="s">
        <v>360</v>
      </c>
      <c r="J203" s="187">
        <v>1</v>
      </c>
      <c r="K203" t="s">
        <v>1407</v>
      </c>
      <c r="L203" s="185"/>
      <c r="M203" s="188">
        <v>46281</v>
      </c>
      <c r="N203" s="71"/>
      <c r="Q203" s="71"/>
      <c r="R203" s="71"/>
      <c r="S203" t="s">
        <v>455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239</v>
      </c>
      <c r="G204" t="s">
        <v>1479</v>
      </c>
      <c r="H204" s="71"/>
      <c r="I204" t="s">
        <v>220</v>
      </c>
      <c r="J204" s="187">
        <v>7</v>
      </c>
      <c r="K204" t="s">
        <v>1565</v>
      </c>
      <c r="L204" s="185"/>
      <c r="M204" s="188">
        <v>46239</v>
      </c>
      <c r="N204" s="71"/>
      <c r="Q204" s="71"/>
      <c r="R204" s="71"/>
      <c r="S204" t="s">
        <v>455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258</v>
      </c>
      <c r="G205" t="s">
        <v>1642</v>
      </c>
      <c r="H205" s="71"/>
      <c r="I205" t="s">
        <v>220</v>
      </c>
      <c r="J205" s="187">
        <v>1</v>
      </c>
      <c r="K205" t="s">
        <v>1407</v>
      </c>
      <c r="L205" s="185"/>
      <c r="M205" s="188">
        <v>46289</v>
      </c>
      <c r="N205" s="71"/>
      <c r="O205" s="71"/>
      <c r="P205" s="71"/>
      <c r="Q205" s="71"/>
      <c r="R205" s="71"/>
      <c r="S205" t="s">
        <v>455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154</v>
      </c>
      <c r="G206" t="s">
        <v>1358</v>
      </c>
      <c r="H206" s="71"/>
      <c r="I206" t="s">
        <v>395</v>
      </c>
      <c r="J206" s="187">
        <v>7</v>
      </c>
      <c r="K206" t="s">
        <v>1579</v>
      </c>
      <c r="L206" s="185"/>
      <c r="M206" s="188">
        <v>45951</v>
      </c>
      <c r="N206" s="71"/>
      <c r="Q206" s="71"/>
      <c r="R206" s="71"/>
      <c r="S206" t="s">
        <v>455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247</v>
      </c>
      <c r="G207" t="s">
        <v>1554</v>
      </c>
      <c r="H207" s="71"/>
      <c r="I207" t="s">
        <v>222</v>
      </c>
      <c r="J207" s="187">
        <v>1</v>
      </c>
      <c r="K207" t="s">
        <v>1407</v>
      </c>
      <c r="L207" s="185"/>
      <c r="M207" s="188">
        <v>46266</v>
      </c>
      <c r="N207" s="71"/>
      <c r="Q207" s="71"/>
      <c r="R207" s="71"/>
      <c r="S207" t="s">
        <v>455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LOJA</v>
      </c>
      <c r="C208" s="72" t="str">
        <f ca="1">IF(D208="Inativo","Inativo",IFERROR(VLOOKUP($G208,Conf!$O:$Q,3,0),IFERROR(VLOOKUP($G208,Conf!$E:$F,2,0),VLOOKUP($S208,Conf!$K:$M,3,0))))</f>
        <v>REPOSITOR</v>
      </c>
      <c r="D208" s="72" t="str">
        <f ca="1">IFERROR(IF(TODAY()-K208&gt;365,"Inativo",IF(J208=2,"Férias",IF(J208=7,"Demitido","Afastamento"))),VLOOKUP(J208,Conf!$H:$I,2,0))</f>
        <v>Demitido</v>
      </c>
      <c r="E208" s="187">
        <v>2</v>
      </c>
      <c r="F208" s="187">
        <v>225</v>
      </c>
      <c r="G208" t="s">
        <v>1388</v>
      </c>
      <c r="H208" s="71"/>
      <c r="I208" t="s">
        <v>220</v>
      </c>
      <c r="J208" s="187">
        <v>7</v>
      </c>
      <c r="K208" t="s">
        <v>1648</v>
      </c>
      <c r="L208" s="185"/>
      <c r="M208" s="188">
        <v>46196</v>
      </c>
      <c r="N208" s="71"/>
      <c r="O208" s="71"/>
      <c r="P208" s="71"/>
      <c r="Q208" s="71"/>
      <c r="R208" s="71"/>
      <c r="S208" t="s">
        <v>455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REPOSITOR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222</v>
      </c>
      <c r="G209" t="s">
        <v>1360</v>
      </c>
      <c r="H209" s="71"/>
      <c r="I209" t="s">
        <v>220</v>
      </c>
      <c r="J209" s="187">
        <v>7</v>
      </c>
      <c r="K209" t="s">
        <v>1594</v>
      </c>
      <c r="L209" s="185"/>
      <c r="M209" s="188">
        <v>46195</v>
      </c>
      <c r="N209" s="71"/>
      <c r="O209" s="71"/>
      <c r="P209" s="71"/>
      <c r="Q209" s="71"/>
      <c r="R209" s="71"/>
      <c r="S209" t="s">
        <v>455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LOJA</v>
      </c>
      <c r="C210" s="72" t="str">
        <f ca="1">IF(D210="Inativo","Inativo",IFERROR(VLOOKUP($G210,Conf!$O:$Q,3,0),IFERROR(VLOOKUP($G210,Conf!$E:$F,2,0),VLOOKUP($S210,Conf!$K:$M,3,0))))</f>
        <v>REPOSITOR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251</v>
      </c>
      <c r="G210" t="s">
        <v>1584</v>
      </c>
      <c r="H210" s="71"/>
      <c r="I210" t="s">
        <v>304</v>
      </c>
      <c r="J210" s="187">
        <v>1</v>
      </c>
      <c r="K210" t="s">
        <v>1407</v>
      </c>
      <c r="L210" s="185"/>
      <c r="M210" s="188">
        <v>46269</v>
      </c>
      <c r="N210" s="71"/>
      <c r="O210" s="71"/>
      <c r="P210" s="71"/>
      <c r="Q210" s="71"/>
      <c r="R210" s="71"/>
      <c r="S210" t="s">
        <v>455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LOJA</v>
      </c>
      <c r="C211" s="72" t="str">
        <f ca="1">IF(D211="Inativo","Inativo",IFERROR(VLOOKUP($G211,Conf!$O:$Q,3,0),IFERROR(VLOOKUP($G211,Conf!$E:$F,2,0),VLOOKUP($S211,Conf!$K:$M,3,0))))</f>
        <v>REPOSITOR</v>
      </c>
      <c r="D211" s="72" t="str">
        <f ca="1">IFERROR(IF(TODAY()-K211&gt;365,"Inativo",IF(J211=2,"Férias",IF(J211=7,"Demitido","Afastamento"))),VLOOKUP(J211,Conf!$H:$I,2,0))</f>
        <v>Demitido</v>
      </c>
      <c r="E211" s="187">
        <v>2</v>
      </c>
      <c r="F211" s="187">
        <v>230</v>
      </c>
      <c r="G211" t="s">
        <v>1418</v>
      </c>
      <c r="H211" s="71"/>
      <c r="I211" t="s">
        <v>220</v>
      </c>
      <c r="J211" s="187">
        <v>7</v>
      </c>
      <c r="K211" t="s">
        <v>1579</v>
      </c>
      <c r="L211" s="185"/>
      <c r="M211" s="188">
        <v>46204</v>
      </c>
      <c r="N211" s="71"/>
      <c r="Q211" s="71"/>
      <c r="R211" s="71"/>
      <c r="S211" t="s">
        <v>455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256</v>
      </c>
      <c r="G212" t="s">
        <v>1616</v>
      </c>
      <c r="H212" s="71"/>
      <c r="I212" t="s">
        <v>304</v>
      </c>
      <c r="J212" s="187">
        <v>1</v>
      </c>
      <c r="K212" t="s">
        <v>1407</v>
      </c>
      <c r="L212" s="185"/>
      <c r="M212" s="188">
        <v>46281</v>
      </c>
      <c r="N212" s="71"/>
      <c r="Q212" s="71"/>
      <c r="R212" s="71"/>
      <c r="S212" t="s">
        <v>464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Afastamento</v>
      </c>
      <c r="E213" s="187">
        <v>2</v>
      </c>
      <c r="F213" s="187">
        <v>232</v>
      </c>
      <c r="G213" t="s">
        <v>461</v>
      </c>
      <c r="H213" s="71"/>
      <c r="I213" t="s">
        <v>225</v>
      </c>
      <c r="J213" s="187">
        <v>3</v>
      </c>
      <c r="K213" t="s">
        <v>1424</v>
      </c>
      <c r="L213" s="185"/>
      <c r="M213" s="188">
        <v>40378</v>
      </c>
      <c r="N213" s="71"/>
      <c r="Q213" s="71"/>
      <c r="R213" s="71"/>
      <c r="S213" t="s">
        <v>462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Demitido</v>
      </c>
      <c r="E214" s="187">
        <v>2</v>
      </c>
      <c r="F214" s="187">
        <v>223</v>
      </c>
      <c r="G214" t="s">
        <v>1370</v>
      </c>
      <c r="H214" s="71"/>
      <c r="I214" t="s">
        <v>360</v>
      </c>
      <c r="J214" s="187">
        <v>7</v>
      </c>
      <c r="K214" t="s">
        <v>1594</v>
      </c>
      <c r="L214" s="185"/>
      <c r="M214" s="188">
        <v>46195</v>
      </c>
      <c r="N214" s="71"/>
      <c r="Q214" s="71"/>
      <c r="R214" s="71"/>
      <c r="S214" t="s">
        <v>464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242</v>
      </c>
      <c r="G215" t="s">
        <v>1493</v>
      </c>
      <c r="H215" s="71"/>
      <c r="I215" t="s">
        <v>220</v>
      </c>
      <c r="J215" s="187">
        <v>1</v>
      </c>
      <c r="K215" t="s">
        <v>1407</v>
      </c>
      <c r="L215" s="185"/>
      <c r="M215" s="188">
        <v>46248</v>
      </c>
      <c r="N215" s="71"/>
      <c r="Q215" s="71"/>
      <c r="R215" s="71"/>
      <c r="S215" t="s">
        <v>464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ATENDENTE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257</v>
      </c>
      <c r="G216" t="s">
        <v>1617</v>
      </c>
      <c r="H216" s="71"/>
      <c r="I216" t="s">
        <v>220</v>
      </c>
      <c r="J216" s="187">
        <v>1</v>
      </c>
      <c r="K216" t="s">
        <v>1407</v>
      </c>
      <c r="L216" s="185"/>
      <c r="M216" s="188">
        <v>46281</v>
      </c>
      <c r="N216" s="71"/>
      <c r="Q216" s="71"/>
      <c r="R216" s="71"/>
      <c r="S216" t="s">
        <v>464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ATENDENTE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241</v>
      </c>
      <c r="G217" t="s">
        <v>1492</v>
      </c>
      <c r="H217" s="71"/>
      <c r="I217" t="s">
        <v>220</v>
      </c>
      <c r="J217" s="187">
        <v>1</v>
      </c>
      <c r="K217" t="s">
        <v>1407</v>
      </c>
      <c r="L217" s="185"/>
      <c r="M217" s="188">
        <v>46248</v>
      </c>
      <c r="N217" s="71"/>
      <c r="Q217" s="71"/>
      <c r="R217" s="71"/>
      <c r="S217" t="s">
        <v>464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ATENDENTE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233</v>
      </c>
      <c r="G218" t="s">
        <v>1456</v>
      </c>
      <c r="H218" s="71"/>
      <c r="I218" t="s">
        <v>222</v>
      </c>
      <c r="J218" s="187">
        <v>1</v>
      </c>
      <c r="K218" t="s">
        <v>1407</v>
      </c>
      <c r="L218" s="185"/>
      <c r="M218" s="188">
        <v>46226</v>
      </c>
      <c r="N218" s="71"/>
      <c r="O218" s="71"/>
      <c r="P218" s="71"/>
      <c r="Q218" s="71"/>
      <c r="R218" s="71"/>
      <c r="S218" t="s">
        <v>464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ATENDENTE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246</v>
      </c>
      <c r="G219" t="s">
        <v>1553</v>
      </c>
      <c r="H219" s="71"/>
      <c r="I219" t="s">
        <v>304</v>
      </c>
      <c r="J219" s="187">
        <v>1</v>
      </c>
      <c r="K219" t="s">
        <v>1407</v>
      </c>
      <c r="L219" s="185"/>
      <c r="M219" s="188">
        <v>46266</v>
      </c>
      <c r="N219" s="71"/>
      <c r="O219" s="71"/>
      <c r="P219" s="71"/>
      <c r="Q219" s="71"/>
      <c r="R219" s="71"/>
      <c r="S219" t="s">
        <v>464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ATENDENTE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249</v>
      </c>
      <c r="G220" t="s">
        <v>1567</v>
      </c>
      <c r="H220" s="71"/>
      <c r="I220" t="s">
        <v>220</v>
      </c>
      <c r="J220" s="187">
        <v>1</v>
      </c>
      <c r="K220" t="s">
        <v>1407</v>
      </c>
      <c r="L220" s="185"/>
      <c r="M220" s="188">
        <v>46267</v>
      </c>
      <c r="N220" s="71"/>
      <c r="O220" s="71"/>
      <c r="P220" s="71"/>
      <c r="Q220" s="71"/>
      <c r="R220" s="71"/>
      <c r="S220" t="s">
        <v>464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AUXILIAR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213</v>
      </c>
      <c r="G221" t="s">
        <v>1368</v>
      </c>
      <c r="H221" s="71"/>
      <c r="I221" t="s">
        <v>322</v>
      </c>
      <c r="J221" s="187">
        <v>1</v>
      </c>
      <c r="K221" t="s">
        <v>1407</v>
      </c>
      <c r="L221" s="185"/>
      <c r="M221" s="188">
        <v>46154</v>
      </c>
      <c r="N221" s="71"/>
      <c r="Q221" s="71"/>
      <c r="R221" s="71"/>
      <c r="S221" t="s">
        <v>463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AUXILIAR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244</v>
      </c>
      <c r="G222" t="s">
        <v>1533</v>
      </c>
      <c r="H222" s="71"/>
      <c r="I222" t="s">
        <v>322</v>
      </c>
      <c r="J222" s="187">
        <v>1</v>
      </c>
      <c r="K222" t="s">
        <v>1407</v>
      </c>
      <c r="L222" s="185"/>
      <c r="M222" s="188">
        <v>46258</v>
      </c>
      <c r="N222" s="71"/>
      <c r="Q222" s="71"/>
      <c r="R222" s="71"/>
      <c r="S222" t="s">
        <v>463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AUXILIAR</v>
      </c>
      <c r="D223" s="72" t="str">
        <f ca="1">IFERROR(IF(TODAY()-K223&gt;365,"Inativo",IF(J223=2,"Férias",IF(J223=7,"Demitido","Afastamento"))),VLOOKUP(J223,Conf!$H:$I,2,0))</f>
        <v>Demitido</v>
      </c>
      <c r="E223" s="187">
        <v>2</v>
      </c>
      <c r="F223" s="187">
        <v>243</v>
      </c>
      <c r="G223" t="s">
        <v>1516</v>
      </c>
      <c r="H223" s="71"/>
      <c r="I223" t="s">
        <v>244</v>
      </c>
      <c r="J223" s="187">
        <v>7</v>
      </c>
      <c r="K223" t="s">
        <v>1549</v>
      </c>
      <c r="L223" s="185"/>
      <c r="M223" s="188">
        <v>46254</v>
      </c>
      <c r="N223" s="71"/>
      <c r="Q223" s="71"/>
      <c r="R223" s="71"/>
      <c r="S223" t="s">
        <v>463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ENCARREGADO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198</v>
      </c>
      <c r="G224" t="s">
        <v>465</v>
      </c>
      <c r="H224" s="71"/>
      <c r="I224" t="s">
        <v>395</v>
      </c>
      <c r="J224" s="187">
        <v>1</v>
      </c>
      <c r="K224" t="s">
        <v>1407</v>
      </c>
      <c r="L224" s="185"/>
      <c r="M224" s="188">
        <v>40210</v>
      </c>
      <c r="N224" s="71"/>
      <c r="O224" s="71"/>
      <c r="P224" s="71"/>
      <c r="Q224" s="71"/>
      <c r="R224" s="71"/>
      <c r="S224" t="s">
        <v>466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170</v>
      </c>
      <c r="G225" t="s">
        <v>1364</v>
      </c>
      <c r="H225" s="71"/>
      <c r="I225" t="s">
        <v>222</v>
      </c>
      <c r="J225" s="187">
        <v>1</v>
      </c>
      <c r="K225" t="s">
        <v>1407</v>
      </c>
      <c r="L225" s="185"/>
      <c r="M225" s="188">
        <v>45980</v>
      </c>
      <c r="N225" s="71"/>
      <c r="Q225" s="71"/>
      <c r="R225" s="71"/>
      <c r="S225" t="s">
        <v>467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PADARIA</v>
      </c>
      <c r="C226" s="72" t="str">
        <f ca="1">IF(D226="Inativo","Inativo",IFERROR(VLOOKUP($G226,Conf!$O:$Q,3,0),IFERROR(VLOOKUP($G226,Conf!$E:$F,2,0),VLOOKUP($S226,Conf!$K:$M,3,0))))</f>
        <v>PADEIRO(A)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633</v>
      </c>
      <c r="G226" t="s">
        <v>468</v>
      </c>
      <c r="H226" s="71"/>
      <c r="I226" t="s">
        <v>222</v>
      </c>
      <c r="J226" s="187">
        <v>1</v>
      </c>
      <c r="K226" t="s">
        <v>1407</v>
      </c>
      <c r="L226" s="185"/>
      <c r="M226" s="188">
        <v>42037</v>
      </c>
      <c r="N226" s="71"/>
      <c r="O226" s="71"/>
      <c r="P226" s="71"/>
      <c r="Q226" s="71"/>
      <c r="R226" s="71"/>
      <c r="S226" t="s">
        <v>469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PADARIA</v>
      </c>
      <c r="C227" s="72" t="str">
        <f ca="1">IF(D227="Inativo","Inativo",IFERROR(VLOOKUP($G227,Conf!$O:$Q,3,0),IFERROR(VLOOKUP($G227,Conf!$E:$F,2,0),VLOOKUP($S227,Conf!$K:$M,3,0))))</f>
        <v>PADEIRO(A)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202</v>
      </c>
      <c r="G227" t="s">
        <v>1365</v>
      </c>
      <c r="H227" s="71"/>
      <c r="I227" t="s">
        <v>401</v>
      </c>
      <c r="J227" s="187">
        <v>3</v>
      </c>
      <c r="K227" t="s">
        <v>1475</v>
      </c>
      <c r="L227" s="185"/>
      <c r="M227" s="188">
        <v>46101</v>
      </c>
      <c r="N227" s="71"/>
      <c r="Q227" s="71"/>
      <c r="R227" s="71"/>
      <c r="S227" t="s">
        <v>470</v>
      </c>
      <c r="T227" s="71"/>
    </row>
    <row r="228" spans="1:20" x14ac:dyDescent="0.3">
      <c r="A228" s="72">
        <f>IFERROR(VLOOKUP($G228,Conf!$B:$C,2,0),E228)</f>
        <v>2</v>
      </c>
      <c r="B228" s="72" t="str">
        <f ca="1">IF(D228="Inativo","Inativo",IFERROR(VLOOKUP($G228,Conf!$O:$Q,2,0),VLOOKUP($S228,Conf!$K:$M,2,0)))</f>
        <v>PADARIA</v>
      </c>
      <c r="C228" s="72" t="str">
        <f ca="1">IF(D228="Inativo","Inativo",IFERROR(VLOOKUP($G228,Conf!$O:$Q,3,0),IFERROR(VLOOKUP($G228,Conf!$E:$F,2,0),VLOOKUP($S228,Conf!$K:$M,3,0))))</f>
        <v>PADEIRO(A)</v>
      </c>
      <c r="D228" s="72" t="str">
        <f ca="1">IFERROR(IF(TODAY()-K228&gt;365,"Inativo",IF(J228=2,"Férias",IF(J228=7,"Demitido","Afastamento"))),VLOOKUP(J228,Conf!$H:$I,2,0))</f>
        <v>Demitido</v>
      </c>
      <c r="E228" s="187">
        <v>2</v>
      </c>
      <c r="F228" s="187">
        <v>209</v>
      </c>
      <c r="G228" t="s">
        <v>1366</v>
      </c>
      <c r="H228" s="71"/>
      <c r="I228" t="s">
        <v>258</v>
      </c>
      <c r="J228" s="187">
        <v>7</v>
      </c>
      <c r="K228" t="s">
        <v>1636</v>
      </c>
      <c r="L228" s="185"/>
      <c r="M228" s="188">
        <v>46146</v>
      </c>
      <c r="N228" s="71"/>
      <c r="O228" s="71"/>
      <c r="P228" s="71"/>
      <c r="Q228" s="71"/>
      <c r="R228" s="71"/>
      <c r="S228" t="s">
        <v>470</v>
      </c>
      <c r="T228" s="71"/>
    </row>
    <row r="229" spans="1:20" x14ac:dyDescent="0.3">
      <c r="A229" s="72">
        <f>IFERROR(VLOOKUP($G229,Conf!$B:$C,2,0),E229)</f>
        <v>2</v>
      </c>
      <c r="B229" s="72" t="str">
        <f ca="1">IF(D229="Inativo","Inativo",IFERROR(VLOOKUP($G229,Conf!$O:$Q,2,0),VLOOKUP($S229,Conf!$K:$M,2,0)))</f>
        <v>ROTISSERIA</v>
      </c>
      <c r="C229" s="72" t="str">
        <f ca="1">IF(D229="Inativo","Inativo",IFERROR(VLOOKUP($G229,Conf!$O:$Q,3,0),IFERROR(VLOOKUP($G229,Conf!$E:$F,2,0),VLOOKUP($S229,Conf!$K:$M,3,0))))</f>
        <v>AUXILIAR</v>
      </c>
      <c r="D229" s="72" t="str">
        <f ca="1">IFERROR(IF(TODAY()-K229&gt;365,"Inativo",IF(J229=2,"Férias",IF(J229=7,"Demitido","Afastamento"))),VLOOKUP(J229,Conf!$H:$I,2,0))</f>
        <v>Ativos</v>
      </c>
      <c r="E229" s="187">
        <v>2</v>
      </c>
      <c r="F229" s="187">
        <v>1349</v>
      </c>
      <c r="G229" t="s">
        <v>459</v>
      </c>
      <c r="H229" s="71"/>
      <c r="I229" t="s">
        <v>236</v>
      </c>
      <c r="J229" s="187">
        <v>1</v>
      </c>
      <c r="K229" t="s">
        <v>1407</v>
      </c>
      <c r="L229" s="185"/>
      <c r="M229" s="188">
        <v>45108</v>
      </c>
      <c r="N229" s="71"/>
      <c r="Q229" s="71"/>
      <c r="R229" s="71"/>
      <c r="S229" t="s">
        <v>460</v>
      </c>
      <c r="T229" s="71"/>
    </row>
    <row r="230" spans="1:20" x14ac:dyDescent="0.3">
      <c r="A230" s="72">
        <f>IFERROR(VLOOKUP($G230,Conf!$B:$C,2,0),E230)</f>
        <v>2</v>
      </c>
      <c r="B230" s="72" t="str">
        <f ca="1">IF(D230="Inativo","Inativo",IFERROR(VLOOKUP($G230,Conf!$O:$Q,2,0),VLOOKUP($S230,Conf!$K:$M,2,0)))</f>
        <v>ROTISSERIA</v>
      </c>
      <c r="C230" s="72" t="str">
        <f ca="1">IF(D230="Inativo","Inativo",IFERROR(VLOOKUP($G230,Conf!$O:$Q,3,0),IFERROR(VLOOKUP($G230,Conf!$E:$F,2,0),VLOOKUP($S230,Conf!$K:$M,3,0))))</f>
        <v>COZINHEIRO</v>
      </c>
      <c r="D230" s="72" t="str">
        <f ca="1">IFERROR(IF(TODAY()-K230&gt;365,"Inativo",IF(J230=2,"Férias",IF(J230=7,"Demitido","Afastamento"))),VLOOKUP(J230,Conf!$H:$I,2,0))</f>
        <v>Afastamento</v>
      </c>
      <c r="E230" s="187">
        <v>2</v>
      </c>
      <c r="F230" s="187">
        <v>1281</v>
      </c>
      <c r="G230" t="s">
        <v>474</v>
      </c>
      <c r="H230" s="71"/>
      <c r="I230" t="s">
        <v>247</v>
      </c>
      <c r="J230" s="187">
        <v>3</v>
      </c>
      <c r="K230" t="s">
        <v>1408</v>
      </c>
      <c r="L230" s="185"/>
      <c r="M230" s="188">
        <v>44883</v>
      </c>
      <c r="N230" s="71"/>
      <c r="O230" s="71"/>
      <c r="P230" s="71"/>
      <c r="Q230" s="71"/>
      <c r="R230" s="71"/>
      <c r="S230" t="s">
        <v>396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AÇOUGUEIRO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27</v>
      </c>
      <c r="G231" t="s">
        <v>1405</v>
      </c>
      <c r="H231" s="71"/>
      <c r="I231" t="s">
        <v>220</v>
      </c>
      <c r="J231" s="187">
        <v>1</v>
      </c>
      <c r="K231" t="s">
        <v>1407</v>
      </c>
      <c r="L231" s="185"/>
      <c r="M231" s="188">
        <v>45537</v>
      </c>
      <c r="N231" s="71"/>
      <c r="Q231" s="71"/>
      <c r="R231" s="71"/>
      <c r="S231" t="s">
        <v>1502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AÇOUGUEIRO</v>
      </c>
      <c r="D232" s="72" t="str">
        <f ca="1">IFERROR(IF(TODAY()-K232&gt;365,"Inativo",IF(J232=2,"Férias",IF(J232=7,"Demitido","Afastamento"))),VLOOKUP(J232,Conf!$H:$I,2,0))</f>
        <v>Férias</v>
      </c>
      <c r="E232" s="187">
        <v>3</v>
      </c>
      <c r="F232" s="187">
        <v>679</v>
      </c>
      <c r="G232" t="s">
        <v>475</v>
      </c>
      <c r="H232" s="71"/>
      <c r="I232" t="s">
        <v>233</v>
      </c>
      <c r="J232" s="187">
        <v>2</v>
      </c>
      <c r="K232" t="s">
        <v>1579</v>
      </c>
      <c r="L232" s="185"/>
      <c r="M232" s="188">
        <v>44714</v>
      </c>
      <c r="N232" s="71"/>
      <c r="O232" s="71"/>
      <c r="P232" s="71"/>
      <c r="Q232" s="71"/>
      <c r="R232" s="71"/>
      <c r="S232" t="s">
        <v>399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804</v>
      </c>
      <c r="G233" t="s">
        <v>476</v>
      </c>
      <c r="H233" s="71"/>
      <c r="I233" t="s">
        <v>220</v>
      </c>
      <c r="J233" s="187">
        <v>1</v>
      </c>
      <c r="K233" t="s">
        <v>1407</v>
      </c>
      <c r="L233" s="185"/>
      <c r="M233" s="188">
        <v>45432</v>
      </c>
      <c r="N233" s="71"/>
      <c r="Q233" s="71"/>
      <c r="R233" s="71"/>
      <c r="S233" t="s">
        <v>399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BALCONISTA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28</v>
      </c>
      <c r="G234" t="s">
        <v>1585</v>
      </c>
      <c r="H234" s="71"/>
      <c r="I234" t="s">
        <v>220</v>
      </c>
      <c r="J234" s="187">
        <v>1</v>
      </c>
      <c r="K234" t="s">
        <v>1407</v>
      </c>
      <c r="L234" s="185"/>
      <c r="M234" s="188">
        <v>46273</v>
      </c>
      <c r="N234" s="71"/>
      <c r="O234" s="71"/>
      <c r="P234" s="71"/>
      <c r="Q234" s="71"/>
      <c r="R234" s="71"/>
      <c r="S234" t="s">
        <v>477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DESOSSADOR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490</v>
      </c>
      <c r="G235" t="s">
        <v>478</v>
      </c>
      <c r="H235" s="71"/>
      <c r="I235" t="s">
        <v>236</v>
      </c>
      <c r="J235" s="187">
        <v>1</v>
      </c>
      <c r="K235" t="s">
        <v>1407</v>
      </c>
      <c r="L235" s="185"/>
      <c r="M235" s="188">
        <v>43537</v>
      </c>
      <c r="N235" s="71"/>
      <c r="Q235" s="71"/>
      <c r="R235" s="71"/>
      <c r="S235" t="s">
        <v>479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AÇOUGUE</v>
      </c>
      <c r="C236" s="72" t="str">
        <f ca="1">IF(D236="Inativo","Inativo",IFERROR(VLOOKUP($G236,Conf!$O:$Q,3,0),IFERROR(VLOOKUP($G236,Conf!$E:$F,2,0),VLOOKUP($S236,Conf!$K:$M,3,0))))</f>
        <v>DESOSSADOR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10</v>
      </c>
      <c r="G236" t="s">
        <v>480</v>
      </c>
      <c r="H236" s="71"/>
      <c r="I236" t="s">
        <v>481</v>
      </c>
      <c r="J236" s="187">
        <v>1</v>
      </c>
      <c r="K236" t="s">
        <v>1407</v>
      </c>
      <c r="L236" s="185"/>
      <c r="M236" s="188">
        <v>46164</v>
      </c>
      <c r="N236" s="71"/>
      <c r="Q236" s="71"/>
      <c r="R236" s="71"/>
      <c r="S236" t="s">
        <v>482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AÇOUGUE</v>
      </c>
      <c r="C237" s="72" t="str">
        <f ca="1">IF(D237="Inativo","Inativo",IFERROR(VLOOKUP($G237,Conf!$O:$Q,3,0),IFERROR(VLOOKUP($G237,Conf!$E:$F,2,0),VLOOKUP($S237,Conf!$K:$M,3,0))))</f>
        <v>DESOSSADOR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174</v>
      </c>
      <c r="G237" t="s">
        <v>1404</v>
      </c>
      <c r="H237" s="71"/>
      <c r="I237" t="s">
        <v>225</v>
      </c>
      <c r="J237" s="187">
        <v>1</v>
      </c>
      <c r="K237" t="s">
        <v>1407</v>
      </c>
      <c r="L237" s="185"/>
      <c r="M237" s="188">
        <v>46001</v>
      </c>
      <c r="N237" s="71"/>
      <c r="Q237" s="71"/>
      <c r="R237" s="71"/>
      <c r="S237" t="s">
        <v>482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AÇOUGUE</v>
      </c>
      <c r="C238" s="72" t="str">
        <f ca="1">IF(D238="Inativo","Inativo",IFERROR(VLOOKUP($G238,Conf!$O:$Q,3,0),IFERROR(VLOOKUP($G238,Conf!$E:$F,2,0),VLOOKUP($S238,Conf!$K:$M,3,0))))</f>
        <v>ENCARREGADO</v>
      </c>
      <c r="D238" s="72" t="str">
        <f ca="1">IFERROR(IF(TODAY()-K238&gt;365,"Inativo",IF(J238=2,"Férias",IF(J238=7,"Demitido","Afastamento"))),VLOOKUP(J238,Conf!$H:$I,2,0))</f>
        <v>Afastamento</v>
      </c>
      <c r="E238" s="187">
        <v>3</v>
      </c>
      <c r="F238" s="187">
        <v>171</v>
      </c>
      <c r="G238" t="s">
        <v>1403</v>
      </c>
      <c r="H238" s="71"/>
      <c r="I238" t="s">
        <v>322</v>
      </c>
      <c r="J238" s="187">
        <v>3</v>
      </c>
      <c r="K238" t="s">
        <v>1321</v>
      </c>
      <c r="L238" s="185"/>
      <c r="M238" s="188">
        <v>45992</v>
      </c>
      <c r="N238" s="71"/>
      <c r="Q238" s="71"/>
      <c r="R238" s="71"/>
      <c r="S238" t="s">
        <v>483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Afastamento</v>
      </c>
      <c r="E239" s="187">
        <v>3</v>
      </c>
      <c r="F239" s="187">
        <v>860</v>
      </c>
      <c r="G239" t="s">
        <v>518</v>
      </c>
      <c r="H239" s="71"/>
      <c r="I239" t="s">
        <v>339</v>
      </c>
      <c r="J239" s="187">
        <v>3</v>
      </c>
      <c r="K239" t="s">
        <v>1486</v>
      </c>
      <c r="L239" s="185"/>
      <c r="M239" s="188">
        <v>46077</v>
      </c>
      <c r="N239" s="71"/>
      <c r="Q239" s="71"/>
      <c r="R239" s="71"/>
      <c r="S239" t="s">
        <v>340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APRENDIZ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194</v>
      </c>
      <c r="G240" t="s">
        <v>1394</v>
      </c>
      <c r="H240" s="71"/>
      <c r="I240" t="s">
        <v>339</v>
      </c>
      <c r="J240" s="187">
        <v>1</v>
      </c>
      <c r="K240" t="s">
        <v>1407</v>
      </c>
      <c r="L240" s="185"/>
      <c r="M240" s="188">
        <v>46077</v>
      </c>
      <c r="N240" s="71"/>
      <c r="Q240" s="71"/>
      <c r="R240" s="71"/>
      <c r="S240" t="s">
        <v>519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APRENDIZ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859</v>
      </c>
      <c r="G241" t="s">
        <v>520</v>
      </c>
      <c r="H241" s="71"/>
      <c r="I241" t="s">
        <v>339</v>
      </c>
      <c r="J241" s="187">
        <v>1</v>
      </c>
      <c r="K241" t="s">
        <v>1407</v>
      </c>
      <c r="L241" s="185"/>
      <c r="M241" s="188">
        <v>46077</v>
      </c>
      <c r="N241" s="71"/>
      <c r="O241" s="71"/>
      <c r="P241" s="71"/>
      <c r="Q241" s="71"/>
      <c r="R241" s="71"/>
      <c r="S241" t="s">
        <v>340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APRENDIZ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195</v>
      </c>
      <c r="G242" t="s">
        <v>1395</v>
      </c>
      <c r="H242" s="71"/>
      <c r="I242" t="s">
        <v>339</v>
      </c>
      <c r="J242" s="187">
        <v>1</v>
      </c>
      <c r="K242" t="s">
        <v>1407</v>
      </c>
      <c r="L242" s="185"/>
      <c r="M242" s="188">
        <v>46077</v>
      </c>
      <c r="N242" s="71"/>
      <c r="Q242" s="71"/>
      <c r="R242" s="71"/>
      <c r="S242" t="s">
        <v>519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Demitido</v>
      </c>
      <c r="E243" s="187">
        <v>3</v>
      </c>
      <c r="F243" s="187">
        <v>74</v>
      </c>
      <c r="G243" t="s">
        <v>1391</v>
      </c>
      <c r="H243" s="71"/>
      <c r="I243" t="s">
        <v>220</v>
      </c>
      <c r="J243" s="187">
        <v>7</v>
      </c>
      <c r="K243" t="s">
        <v>1581</v>
      </c>
      <c r="L243" s="185"/>
      <c r="M243" s="188">
        <v>45706</v>
      </c>
      <c r="N243" s="71"/>
      <c r="O243" s="71"/>
      <c r="P243" s="71"/>
      <c r="Q243" s="71"/>
      <c r="R243" s="71"/>
      <c r="S243" t="s">
        <v>517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18</v>
      </c>
      <c r="G244" t="s">
        <v>1412</v>
      </c>
      <c r="H244" s="71"/>
      <c r="I244" t="s">
        <v>220</v>
      </c>
      <c r="J244" s="187">
        <v>1</v>
      </c>
      <c r="K244" t="s">
        <v>1407</v>
      </c>
      <c r="L244" s="185"/>
      <c r="M244" s="188">
        <v>46209</v>
      </c>
      <c r="N244" s="71"/>
      <c r="Q244" s="71"/>
      <c r="R244" s="71"/>
      <c r="S244" t="s">
        <v>1329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ADMINISTRATIVO</v>
      </c>
      <c r="C245" s="72" t="str">
        <f ca="1">IF(D245="Inativo","Inativo",IFERROR(VLOOKUP($G245,Conf!$O:$Q,3,0),IFERROR(VLOOKUP($G245,Conf!$E:$F,2,0),VLOOKUP($S245,Conf!$K:$M,3,0))))</f>
        <v>LIMPEZA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29</v>
      </c>
      <c r="G245" t="s">
        <v>1606</v>
      </c>
      <c r="H245" s="71"/>
      <c r="I245" t="s">
        <v>220</v>
      </c>
      <c r="J245" s="187">
        <v>1</v>
      </c>
      <c r="K245" t="s">
        <v>1407</v>
      </c>
      <c r="L245" s="185"/>
      <c r="M245" s="188">
        <v>46279</v>
      </c>
      <c r="N245" s="71"/>
      <c r="O245" s="71"/>
      <c r="P245" s="71"/>
      <c r="Q245" s="71"/>
      <c r="R245" s="71"/>
      <c r="S245" t="s">
        <v>1329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ADMINISTRATIVO</v>
      </c>
      <c r="C246" s="72" t="str">
        <f ca="1">IF(D246="Inativo","Inativo",IFERROR(VLOOKUP($G246,Conf!$O:$Q,3,0),IFERROR(VLOOKUP($G246,Conf!$E:$F,2,0),VLOOKUP($S246,Conf!$K:$M,3,0))))</f>
        <v>LIMPEZA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</v>
      </c>
      <c r="G246" t="s">
        <v>1334</v>
      </c>
      <c r="H246" s="71"/>
      <c r="I246" t="s">
        <v>220</v>
      </c>
      <c r="J246" s="187">
        <v>1</v>
      </c>
      <c r="K246" t="s">
        <v>1407</v>
      </c>
      <c r="L246" s="185"/>
      <c r="M246" s="188">
        <v>46184</v>
      </c>
      <c r="N246" s="71"/>
      <c r="Q246" s="71"/>
      <c r="R246" s="71"/>
      <c r="S246" t="s">
        <v>1329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ADMINISTRATIVO</v>
      </c>
      <c r="C247" s="72" t="str">
        <f ca="1">IF(D247="Inativo","Inativo",IFERROR(VLOOKUP($G247,Conf!$O:$Q,3,0),IFERROR(VLOOKUP($G247,Conf!$E:$F,2,0),VLOOKUP($S247,Conf!$K:$M,3,0))))</f>
        <v>LIMPEZA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23</v>
      </c>
      <c r="G247" t="s">
        <v>1494</v>
      </c>
      <c r="H247" s="71"/>
      <c r="I247" t="s">
        <v>220</v>
      </c>
      <c r="J247" s="187">
        <v>7</v>
      </c>
      <c r="K247" t="s">
        <v>1622</v>
      </c>
      <c r="L247" s="185"/>
      <c r="M247" s="188">
        <v>46247</v>
      </c>
      <c r="N247" s="71"/>
      <c r="O247" s="71"/>
      <c r="P247" s="71"/>
      <c r="Q247" s="71"/>
      <c r="R247" s="71"/>
      <c r="S247" t="s">
        <v>1329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CONFEITARIA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135</v>
      </c>
      <c r="G248" t="s">
        <v>484</v>
      </c>
      <c r="H248" s="71"/>
      <c r="I248" t="s">
        <v>485</v>
      </c>
      <c r="J248" s="187">
        <v>1</v>
      </c>
      <c r="K248" t="s">
        <v>1407</v>
      </c>
      <c r="L248" s="185"/>
      <c r="M248" s="188">
        <v>40360</v>
      </c>
      <c r="N248" s="71"/>
      <c r="Q248" s="71"/>
      <c r="R248" s="71"/>
      <c r="S248" t="s">
        <v>486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DEPOSITO</v>
      </c>
      <c r="C249" s="72" t="str">
        <f ca="1">IF(D249="Inativo","Inativo",IFERROR(VLOOKUP($G249,Conf!$O:$Q,3,0),IFERROR(VLOOKUP($G249,Conf!$E:$F,2,0),VLOOKUP($S249,Conf!$K:$M,3,0))))</f>
        <v>CONFERENTE</v>
      </c>
      <c r="D249" s="72" t="str">
        <f ca="1">IFERROR(IF(TODAY()-K249&gt;365,"Inativo",IF(J249=2,"Férias",IF(J249=7,"Demitido","Afastamento"))),VLOOKUP(J249,Conf!$H:$I,2,0))</f>
        <v>Férias</v>
      </c>
      <c r="E249" s="187">
        <v>3</v>
      </c>
      <c r="F249" s="187">
        <v>799</v>
      </c>
      <c r="G249" t="s">
        <v>487</v>
      </c>
      <c r="H249" s="71"/>
      <c r="I249" t="s">
        <v>488</v>
      </c>
      <c r="J249" s="187">
        <v>2</v>
      </c>
      <c r="K249" t="s">
        <v>1579</v>
      </c>
      <c r="L249" s="185"/>
      <c r="M249" s="188">
        <v>45415</v>
      </c>
      <c r="N249" s="71"/>
      <c r="Q249" s="71"/>
      <c r="R249" s="71"/>
      <c r="S249" t="s">
        <v>489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DEPOSITO</v>
      </c>
      <c r="C250" s="72" t="str">
        <f ca="1">IF(D250="Inativo","Inativo",IFERROR(VLOOKUP($G250,Conf!$O:$Q,3,0),IFERROR(VLOOKUP($G250,Conf!$E:$F,2,0),VLOOKUP($S250,Conf!$K:$M,3,0))))</f>
        <v>CONFERENTE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3</v>
      </c>
      <c r="G250" t="s">
        <v>490</v>
      </c>
      <c r="H250" s="71"/>
      <c r="I250" t="s">
        <v>440</v>
      </c>
      <c r="J250" s="187">
        <v>1</v>
      </c>
      <c r="K250" t="s">
        <v>1407</v>
      </c>
      <c r="L250" s="185"/>
      <c r="M250" s="188">
        <v>37592</v>
      </c>
      <c r="N250" s="71"/>
      <c r="O250" s="71"/>
      <c r="P250" s="71"/>
      <c r="Q250" s="71"/>
      <c r="R250" s="71"/>
      <c r="S250" t="s">
        <v>251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E-COMMERCE</v>
      </c>
      <c r="D251" s="72" t="str">
        <f ca="1">IFERROR(IF(TODAY()-K251&gt;365,"Inativo",IF(J251=2,"Férias",IF(J251=7,"Demitido","Afastamento"))),VLOOKUP(J251,Conf!$H:$I,2,0))</f>
        <v>Férias</v>
      </c>
      <c r="E251" s="187">
        <v>3</v>
      </c>
      <c r="F251" s="187">
        <v>458</v>
      </c>
      <c r="G251" t="s">
        <v>522</v>
      </c>
      <c r="H251" s="71"/>
      <c r="I251" t="s">
        <v>481</v>
      </c>
      <c r="J251" s="187">
        <v>2</v>
      </c>
      <c r="K251" t="s">
        <v>1579</v>
      </c>
      <c r="L251" s="185"/>
      <c r="M251" s="188">
        <v>43319</v>
      </c>
      <c r="N251" s="71"/>
      <c r="Q251" s="71"/>
      <c r="R251" s="71"/>
      <c r="S251" t="s">
        <v>523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ENCARREGADO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664</v>
      </c>
      <c r="G252" t="s">
        <v>494</v>
      </c>
      <c r="H252" s="71"/>
      <c r="I252" t="s">
        <v>516</v>
      </c>
      <c r="J252" s="187">
        <v>1</v>
      </c>
      <c r="K252" t="s">
        <v>1407</v>
      </c>
      <c r="L252" s="185"/>
      <c r="M252" s="188">
        <v>44615</v>
      </c>
      <c r="N252" s="71"/>
      <c r="O252" s="71"/>
      <c r="P252" s="71"/>
      <c r="Q252" s="71"/>
      <c r="R252" s="71"/>
      <c r="S252" t="s">
        <v>275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492</v>
      </c>
      <c r="H253" s="71"/>
      <c r="I253" t="s">
        <v>493</v>
      </c>
      <c r="J253" s="187">
        <v>1</v>
      </c>
      <c r="K253" t="s">
        <v>1407</v>
      </c>
      <c r="L253" s="185"/>
      <c r="M253" s="188">
        <v>42696</v>
      </c>
      <c r="N253" s="71"/>
      <c r="O253" s="71"/>
      <c r="P253" s="71"/>
      <c r="Q253" s="71"/>
      <c r="R253" s="71"/>
      <c r="S253" t="s">
        <v>409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FISCAL DE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858</v>
      </c>
      <c r="G254" t="s">
        <v>495</v>
      </c>
      <c r="H254" s="71"/>
      <c r="I254" t="s">
        <v>414</v>
      </c>
      <c r="J254" s="187">
        <v>1</v>
      </c>
      <c r="K254" t="s">
        <v>1407</v>
      </c>
      <c r="L254" s="185"/>
      <c r="M254" s="188">
        <v>46073</v>
      </c>
      <c r="N254" s="71"/>
      <c r="Q254" s="71"/>
      <c r="R254" s="71"/>
      <c r="S254" t="s">
        <v>279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FISCAL DE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797</v>
      </c>
      <c r="G255" t="s">
        <v>496</v>
      </c>
      <c r="H255" s="71"/>
      <c r="I255" t="s">
        <v>220</v>
      </c>
      <c r="J255" s="187">
        <v>1</v>
      </c>
      <c r="K255" t="s">
        <v>1407</v>
      </c>
      <c r="L255" s="185"/>
      <c r="M255" s="188">
        <v>45414</v>
      </c>
      <c r="N255" s="71"/>
      <c r="Q255" s="71"/>
      <c r="R255" s="71"/>
      <c r="S255" t="s">
        <v>279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FISCAL DE CAIXA</v>
      </c>
      <c r="D256" s="72" t="str">
        <f ca="1">IFERROR(IF(TODAY()-K256&gt;365,"Inativo",IF(J256=2,"Férias",IF(J256=7,"Demitido","Afastamento"))),VLOOKUP(J256,Conf!$H:$I,2,0))</f>
        <v>Demitido</v>
      </c>
      <c r="E256" s="187">
        <v>3</v>
      </c>
      <c r="F256" s="187">
        <v>862</v>
      </c>
      <c r="G256" t="s">
        <v>497</v>
      </c>
      <c r="H256" s="71"/>
      <c r="I256" t="s">
        <v>220</v>
      </c>
      <c r="J256" s="187">
        <v>7</v>
      </c>
      <c r="K256" t="s">
        <v>1635</v>
      </c>
      <c r="L256" s="185"/>
      <c r="M256" s="188">
        <v>46083</v>
      </c>
      <c r="N256" s="71"/>
      <c r="Q256" s="71"/>
      <c r="R256" s="71"/>
      <c r="S256" t="s">
        <v>279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833</v>
      </c>
      <c r="G257" t="s">
        <v>498</v>
      </c>
      <c r="H257" s="71"/>
      <c r="I257" t="s">
        <v>220</v>
      </c>
      <c r="J257" s="187">
        <v>1</v>
      </c>
      <c r="K257" t="s">
        <v>1407</v>
      </c>
      <c r="L257" s="185"/>
      <c r="M257" s="188">
        <v>45782</v>
      </c>
      <c r="N257" s="71"/>
      <c r="O257" s="71"/>
      <c r="P257" s="71"/>
      <c r="Q257" s="71"/>
      <c r="R257" s="71"/>
      <c r="S257" t="s">
        <v>282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866</v>
      </c>
      <c r="G258" t="s">
        <v>499</v>
      </c>
      <c r="H258" s="71"/>
      <c r="I258" t="s">
        <v>220</v>
      </c>
      <c r="J258" s="187">
        <v>1</v>
      </c>
      <c r="K258" t="s">
        <v>1407</v>
      </c>
      <c r="L258" s="185"/>
      <c r="M258" s="188">
        <v>46146</v>
      </c>
      <c r="N258" s="71"/>
      <c r="O258" s="71"/>
      <c r="P258" s="71"/>
      <c r="Q258" s="71"/>
      <c r="R258" s="71"/>
      <c r="S258" t="s">
        <v>282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869</v>
      </c>
      <c r="G259" t="s">
        <v>1335</v>
      </c>
      <c r="H259" s="71"/>
      <c r="I259" t="s">
        <v>220</v>
      </c>
      <c r="J259" s="187">
        <v>1</v>
      </c>
      <c r="K259" t="s">
        <v>1407</v>
      </c>
      <c r="L259" s="185"/>
      <c r="M259" s="188">
        <v>46184</v>
      </c>
      <c r="N259" s="71"/>
      <c r="Q259" s="71"/>
      <c r="R259" s="71"/>
      <c r="S259" t="s">
        <v>282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854</v>
      </c>
      <c r="G260" t="s">
        <v>500</v>
      </c>
      <c r="H260" s="71"/>
      <c r="I260" t="s">
        <v>220</v>
      </c>
      <c r="J260" s="187">
        <v>1</v>
      </c>
      <c r="K260" t="s">
        <v>1407</v>
      </c>
      <c r="L260" s="185"/>
      <c r="M260" s="188">
        <v>46034</v>
      </c>
      <c r="N260" s="71"/>
      <c r="O260" s="71"/>
      <c r="P260" s="71"/>
      <c r="Q260" s="71"/>
      <c r="R260" s="71"/>
      <c r="S260" t="s">
        <v>282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871</v>
      </c>
      <c r="G261" t="s">
        <v>1459</v>
      </c>
      <c r="H261" s="71"/>
      <c r="I261" t="s">
        <v>220</v>
      </c>
      <c r="J261" s="187">
        <v>1</v>
      </c>
      <c r="K261" t="s">
        <v>1407</v>
      </c>
      <c r="L261" s="185"/>
      <c r="M261" s="188">
        <v>46225</v>
      </c>
      <c r="N261" s="71"/>
      <c r="Q261" s="71"/>
      <c r="R261" s="71"/>
      <c r="S261" t="s">
        <v>282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849</v>
      </c>
      <c r="G262" t="s">
        <v>501</v>
      </c>
      <c r="H262" s="71"/>
      <c r="I262" t="s">
        <v>220</v>
      </c>
      <c r="J262" s="187">
        <v>1</v>
      </c>
      <c r="K262" t="s">
        <v>1407</v>
      </c>
      <c r="L262" s="185"/>
      <c r="M262" s="188">
        <v>45964</v>
      </c>
      <c r="N262" s="71"/>
      <c r="Q262" s="71"/>
      <c r="R262" s="71"/>
      <c r="S262" t="s">
        <v>282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868</v>
      </c>
      <c r="G263" t="s">
        <v>502</v>
      </c>
      <c r="H263" s="71"/>
      <c r="I263" t="s">
        <v>220</v>
      </c>
      <c r="J263" s="187">
        <v>1</v>
      </c>
      <c r="K263" t="s">
        <v>1407</v>
      </c>
      <c r="L263" s="185"/>
      <c r="M263" s="188">
        <v>46164</v>
      </c>
      <c r="N263" s="71"/>
      <c r="Q263" s="71"/>
      <c r="R263" s="71"/>
      <c r="S263" t="s">
        <v>282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Demitido</v>
      </c>
      <c r="E264" s="187">
        <v>3</v>
      </c>
      <c r="F264" s="187">
        <v>857</v>
      </c>
      <c r="G264" t="s">
        <v>503</v>
      </c>
      <c r="H264" s="71"/>
      <c r="I264" t="s">
        <v>220</v>
      </c>
      <c r="J264" s="187">
        <v>7</v>
      </c>
      <c r="K264" t="s">
        <v>1636</v>
      </c>
      <c r="L264" s="185"/>
      <c r="M264" s="188">
        <v>46062</v>
      </c>
      <c r="N264" s="71"/>
      <c r="O264" s="71"/>
      <c r="P264" s="71"/>
      <c r="Q264" s="71"/>
      <c r="R264" s="71"/>
      <c r="S264" t="s">
        <v>282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872</v>
      </c>
      <c r="G265" t="s">
        <v>1465</v>
      </c>
      <c r="H265" s="71"/>
      <c r="I265" t="s">
        <v>220</v>
      </c>
      <c r="J265" s="187">
        <v>1</v>
      </c>
      <c r="K265" t="s">
        <v>1407</v>
      </c>
      <c r="L265" s="185"/>
      <c r="M265" s="188">
        <v>46237</v>
      </c>
      <c r="N265" s="71"/>
      <c r="O265" s="71"/>
      <c r="P265" s="71"/>
      <c r="Q265" s="71"/>
      <c r="R265" s="71"/>
      <c r="S265" t="s">
        <v>282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874</v>
      </c>
      <c r="G266" t="s">
        <v>1600</v>
      </c>
      <c r="H266" s="71"/>
      <c r="I266" t="s">
        <v>220</v>
      </c>
      <c r="J266" s="187">
        <v>1</v>
      </c>
      <c r="K266" t="s">
        <v>1407</v>
      </c>
      <c r="L266" s="185"/>
      <c r="M266" s="188">
        <v>46279</v>
      </c>
      <c r="N266" s="71"/>
      <c r="Q266" s="71"/>
      <c r="R266" s="71"/>
      <c r="S266" t="s">
        <v>282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850</v>
      </c>
      <c r="G267" t="s">
        <v>504</v>
      </c>
      <c r="H267" s="71"/>
      <c r="I267" t="s">
        <v>220</v>
      </c>
      <c r="J267" s="187">
        <v>1</v>
      </c>
      <c r="K267" t="s">
        <v>1407</v>
      </c>
      <c r="L267" s="185"/>
      <c r="M267" s="188">
        <v>45968</v>
      </c>
      <c r="N267" s="71"/>
      <c r="O267" s="71"/>
      <c r="P267" s="71"/>
      <c r="Q267" s="71"/>
      <c r="R267" s="71"/>
      <c r="S267" t="s">
        <v>282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875</v>
      </c>
      <c r="G268" t="s">
        <v>1628</v>
      </c>
      <c r="H268" s="71"/>
      <c r="I268" t="s">
        <v>220</v>
      </c>
      <c r="J268" s="187">
        <v>1</v>
      </c>
      <c r="K268" t="s">
        <v>1407</v>
      </c>
      <c r="L268" s="185"/>
      <c r="M268" s="188">
        <v>46286</v>
      </c>
      <c r="N268" s="71"/>
      <c r="Q268" s="71"/>
      <c r="R268" s="71"/>
      <c r="S268" t="s">
        <v>282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FRENTE DE CAIXA</v>
      </c>
      <c r="C269" s="72" t="str">
        <f ca="1">IF(D269="Inativo","Inativo",IFERROR(VLOOKUP($G269,Conf!$O:$Q,3,0),IFERROR(VLOOKUP($G269,Conf!$E:$F,2,0),VLOOKUP($S269,Conf!$K:$M,3,0))))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853</v>
      </c>
      <c r="G269" t="s">
        <v>505</v>
      </c>
      <c r="H269" s="71"/>
      <c r="I269" t="s">
        <v>220</v>
      </c>
      <c r="J269" s="187">
        <v>1</v>
      </c>
      <c r="K269" t="s">
        <v>1407</v>
      </c>
      <c r="L269" s="185"/>
      <c r="M269" s="188">
        <v>46010</v>
      </c>
      <c r="N269" s="71"/>
      <c r="O269" s="71"/>
      <c r="P269" s="71"/>
      <c r="Q269" s="71"/>
      <c r="R269" s="71"/>
      <c r="S269" t="s">
        <v>282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Demitido</v>
      </c>
      <c r="E270" s="187">
        <v>3</v>
      </c>
      <c r="F270" s="187">
        <v>843</v>
      </c>
      <c r="G270" t="s">
        <v>506</v>
      </c>
      <c r="H270" s="71"/>
      <c r="I270" t="s">
        <v>220</v>
      </c>
      <c r="J270" s="187">
        <v>7</v>
      </c>
      <c r="K270" t="s">
        <v>1636</v>
      </c>
      <c r="L270" s="185"/>
      <c r="M270" s="188">
        <v>45955</v>
      </c>
      <c r="N270" s="71"/>
      <c r="Q270" s="71"/>
      <c r="R270" s="71"/>
      <c r="S270" t="s">
        <v>282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867</v>
      </c>
      <c r="G271" t="s">
        <v>507</v>
      </c>
      <c r="H271" s="71"/>
      <c r="I271" t="s">
        <v>220</v>
      </c>
      <c r="J271" s="187">
        <v>1</v>
      </c>
      <c r="K271" t="s">
        <v>1407</v>
      </c>
      <c r="L271" s="185"/>
      <c r="M271" s="188">
        <v>46150</v>
      </c>
      <c r="N271" s="71"/>
      <c r="Q271" s="71"/>
      <c r="R271" s="71"/>
      <c r="S271" t="s">
        <v>282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830</v>
      </c>
      <c r="G272" t="s">
        <v>508</v>
      </c>
      <c r="H272" s="71"/>
      <c r="I272" t="s">
        <v>220</v>
      </c>
      <c r="J272" s="187">
        <v>1</v>
      </c>
      <c r="K272" t="s">
        <v>1407</v>
      </c>
      <c r="L272" s="185"/>
      <c r="M272" s="188">
        <v>45741</v>
      </c>
      <c r="N272" s="71"/>
      <c r="Q272" s="71"/>
      <c r="R272" s="71"/>
      <c r="S272" t="s">
        <v>282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Demitido</v>
      </c>
      <c r="E273" s="187">
        <v>3</v>
      </c>
      <c r="F273" s="187">
        <v>873</v>
      </c>
      <c r="G273" t="s">
        <v>1495</v>
      </c>
      <c r="H273" s="71"/>
      <c r="I273" t="s">
        <v>220</v>
      </c>
      <c r="J273" s="187">
        <v>7</v>
      </c>
      <c r="K273" t="s">
        <v>1566</v>
      </c>
      <c r="L273" s="185"/>
      <c r="M273" s="188">
        <v>46246</v>
      </c>
      <c r="N273" s="71"/>
      <c r="Q273" s="71"/>
      <c r="R273" s="71"/>
      <c r="S273" t="s">
        <v>282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FRIOS</v>
      </c>
      <c r="C274" s="72" t="str">
        <f ca="1">IF(D274="Inativo","Inativo",IFERROR(VLOOKUP($G274,Conf!$O:$Q,3,0),IFERROR(VLOOKUP($G274,Conf!$E:$F,2,0),VLOOKUP($S274,Conf!$K:$M,3,0))))</f>
        <v>ATENDENTE</v>
      </c>
      <c r="D274" s="72" t="str">
        <f ca="1">IFERROR(IF(TODAY()-K274&gt;365,"Inativo",IF(J274=2,"Férias",IF(J274=7,"Demitido","Afastamento"))),VLOOKUP(J274,Conf!$H:$I,2,0))</f>
        <v>Demitido</v>
      </c>
      <c r="E274" s="187">
        <v>3</v>
      </c>
      <c r="F274" s="187">
        <v>709</v>
      </c>
      <c r="G274" t="s">
        <v>509</v>
      </c>
      <c r="H274" s="71"/>
      <c r="I274" t="s">
        <v>220</v>
      </c>
      <c r="J274" s="187">
        <v>7</v>
      </c>
      <c r="K274" t="s">
        <v>1637</v>
      </c>
      <c r="L274" s="185"/>
      <c r="M274" s="188">
        <v>44951</v>
      </c>
      <c r="N274" s="71"/>
      <c r="O274" s="71"/>
      <c r="P274" s="71"/>
      <c r="Q274" s="71"/>
      <c r="R274" s="71"/>
      <c r="S274" t="s">
        <v>307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FRIOS</v>
      </c>
      <c r="C275" s="72" t="str">
        <f ca="1">IF(D275="Inativo","Inativo",IFERROR(VLOOKUP($G275,Conf!$O:$Q,3,0),IFERROR(VLOOKUP($G275,Conf!$E:$F,2,0),VLOOKUP($S275,Conf!$K:$M,3,0))))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9</v>
      </c>
      <c r="G275" t="s">
        <v>510</v>
      </c>
      <c r="H275" s="71"/>
      <c r="I275" t="s">
        <v>322</v>
      </c>
      <c r="J275" s="187">
        <v>1</v>
      </c>
      <c r="K275" t="s">
        <v>1407</v>
      </c>
      <c r="L275" s="185"/>
      <c r="M275" s="188">
        <v>46153</v>
      </c>
      <c r="N275" s="71"/>
      <c r="Q275" s="71"/>
      <c r="R275" s="71"/>
      <c r="S275" t="s">
        <v>511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FRIOS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14</v>
      </c>
      <c r="G276" t="s">
        <v>1330</v>
      </c>
      <c r="H276" s="71"/>
      <c r="I276" t="s">
        <v>220</v>
      </c>
      <c r="J276" s="187">
        <v>1</v>
      </c>
      <c r="K276" t="s">
        <v>1407</v>
      </c>
      <c r="L276" s="185"/>
      <c r="M276" s="188">
        <v>46176</v>
      </c>
      <c r="N276" s="71"/>
      <c r="O276" s="71"/>
      <c r="P276" s="71"/>
      <c r="Q276" s="71"/>
      <c r="R276" s="71"/>
      <c r="S276" t="s">
        <v>1331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FRIOS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15</v>
      </c>
      <c r="G277" t="s">
        <v>1332</v>
      </c>
      <c r="H277" s="71"/>
      <c r="I277" t="s">
        <v>220</v>
      </c>
      <c r="J277" s="187">
        <v>1</v>
      </c>
      <c r="K277" t="s">
        <v>1407</v>
      </c>
      <c r="L277" s="185"/>
      <c r="M277" s="188">
        <v>46181</v>
      </c>
      <c r="N277" s="71"/>
      <c r="Q277" s="71"/>
      <c r="R277" s="71"/>
      <c r="S277" t="s">
        <v>1331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FRIOS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705</v>
      </c>
      <c r="G278" t="s">
        <v>512</v>
      </c>
      <c r="H278" s="71"/>
      <c r="I278" t="s">
        <v>220</v>
      </c>
      <c r="J278" s="187">
        <v>1</v>
      </c>
      <c r="K278" t="s">
        <v>1407</v>
      </c>
      <c r="L278" s="185"/>
      <c r="M278" s="188">
        <v>44908</v>
      </c>
      <c r="N278" s="71"/>
      <c r="Q278" s="71"/>
      <c r="R278" s="71"/>
      <c r="S278" t="s">
        <v>513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GERÊNCIA</v>
      </c>
      <c r="C279" s="72" t="str">
        <f ca="1">IF(D279="Inativo","Inativo",IFERROR(VLOOKUP($G279,Conf!$O:$Q,3,0),IFERROR(VLOOKUP($G279,Conf!$E:$F,2,0),VLOOKUP($S279,Conf!$K:$M,3,0))))</f>
        <v>GERENTE</v>
      </c>
      <c r="D279" s="72" t="str">
        <f ca="1">IFERROR(IF(TODAY()-K279&gt;365,"Inativo",IF(J279=2,"Férias",IF(J279=7,"Demitido","Afastamento"))),VLOOKUP(J279,Conf!$H:$I,2,0))</f>
        <v>Ativos</v>
      </c>
      <c r="E279" s="187">
        <v>6</v>
      </c>
      <c r="F279" s="187">
        <v>2404</v>
      </c>
      <c r="G279" t="s">
        <v>746</v>
      </c>
      <c r="H279" s="71"/>
      <c r="I279" t="s">
        <v>353</v>
      </c>
      <c r="J279" s="187">
        <v>1</v>
      </c>
      <c r="K279" t="s">
        <v>1407</v>
      </c>
      <c r="L279" s="185"/>
      <c r="M279" s="188">
        <v>46087</v>
      </c>
      <c r="N279" s="71"/>
      <c r="Q279" s="71"/>
      <c r="R279" s="71"/>
      <c r="S279" t="s">
        <v>354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GERÊNCIA</v>
      </c>
      <c r="C280" s="72" t="str">
        <f ca="1">IF(D280="Inativo","Inativo",IFERROR(VLOOKUP($G280,Conf!$O:$Q,3,0),IFERROR(VLOOKUP($G280,Conf!$E:$F,2,0),VLOOKUP($S280,Conf!$K:$M,3,0))))</f>
        <v>SUBGERENTE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21</v>
      </c>
      <c r="G280" t="s">
        <v>1464</v>
      </c>
      <c r="H280" s="71"/>
      <c r="I280" t="s">
        <v>353</v>
      </c>
      <c r="J280" s="187">
        <v>1</v>
      </c>
      <c r="K280" t="s">
        <v>1407</v>
      </c>
      <c r="L280" s="185"/>
      <c r="M280" s="188">
        <v>46237</v>
      </c>
      <c r="N280" s="71"/>
      <c r="O280" s="71"/>
      <c r="P280" s="71"/>
      <c r="Q280" s="71"/>
      <c r="R280" s="71"/>
      <c r="S280" t="s">
        <v>532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HORTIFRUTI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46</v>
      </c>
      <c r="G281" t="s">
        <v>1396</v>
      </c>
      <c r="H281" s="71"/>
      <c r="I281" t="s">
        <v>222</v>
      </c>
      <c r="J281" s="187">
        <v>1</v>
      </c>
      <c r="K281" t="s">
        <v>1407</v>
      </c>
      <c r="L281" s="185"/>
      <c r="M281" s="188">
        <v>45617</v>
      </c>
      <c r="N281" s="71"/>
      <c r="O281" s="71"/>
      <c r="P281" s="71"/>
      <c r="Q281" s="71"/>
      <c r="R281" s="71"/>
      <c r="S281" t="s">
        <v>514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HORTIFRUTI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196</v>
      </c>
      <c r="G282" t="s">
        <v>1399</v>
      </c>
      <c r="H282" s="71"/>
      <c r="I282" t="s">
        <v>220</v>
      </c>
      <c r="J282" s="187">
        <v>1</v>
      </c>
      <c r="K282" t="s">
        <v>1407</v>
      </c>
      <c r="L282" s="185"/>
      <c r="M282" s="188">
        <v>46077</v>
      </c>
      <c r="N282" s="71"/>
      <c r="Q282" s="71"/>
      <c r="R282" s="71"/>
      <c r="S282" t="s">
        <v>515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HORTIFRUTI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112</v>
      </c>
      <c r="G283" t="s">
        <v>1398</v>
      </c>
      <c r="H283" s="71"/>
      <c r="I283" t="s">
        <v>297</v>
      </c>
      <c r="J283" s="187">
        <v>1</v>
      </c>
      <c r="K283" t="s">
        <v>1407</v>
      </c>
      <c r="L283" s="185"/>
      <c r="M283" s="188">
        <v>45818</v>
      </c>
      <c r="N283" s="71"/>
      <c r="O283" s="71"/>
      <c r="P283" s="71"/>
      <c r="Q283" s="71"/>
      <c r="R283" s="71"/>
      <c r="S283" t="s">
        <v>515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HORTIFRUTI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96</v>
      </c>
      <c r="G284" t="s">
        <v>1397</v>
      </c>
      <c r="H284" s="71"/>
      <c r="I284" t="s">
        <v>220</v>
      </c>
      <c r="J284" s="187">
        <v>1</v>
      </c>
      <c r="K284" t="s">
        <v>1407</v>
      </c>
      <c r="L284" s="185"/>
      <c r="M284" s="188">
        <v>45762</v>
      </c>
      <c r="N284" s="71"/>
      <c r="Q284" s="71"/>
      <c r="R284" s="71"/>
      <c r="S284" t="s">
        <v>515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Inativo</v>
      </c>
      <c r="C285" s="72" t="str">
        <f ca="1">IF(D285="Inativo","Inativo",IFERROR(VLOOKUP($G285,Conf!$O:$Q,3,0),IFERROR(VLOOKUP($G285,Conf!$E:$F,2,0),VLOOKUP($S285,Conf!$K:$M,3,0))))</f>
        <v>Inativo</v>
      </c>
      <c r="D285" s="72" t="str">
        <f ca="1">IFERROR(IF(TODAY()-K285&gt;365,"Inativo",IF(J285=2,"Férias",IF(J285=7,"Demitido","Afastamento"))),VLOOKUP(J285,Conf!$H:$I,2,0))</f>
        <v>Inativo</v>
      </c>
      <c r="E285" s="187">
        <v>3</v>
      </c>
      <c r="F285" s="187">
        <v>273</v>
      </c>
      <c r="G285" t="s">
        <v>534</v>
      </c>
      <c r="H285" s="71"/>
      <c r="I285" t="s">
        <v>220</v>
      </c>
      <c r="J285" s="187">
        <v>3</v>
      </c>
      <c r="K285" t="s">
        <v>535</v>
      </c>
      <c r="L285" s="185"/>
      <c r="M285" s="188">
        <v>41709</v>
      </c>
      <c r="N285" s="71"/>
      <c r="O285" s="71"/>
      <c r="P285" s="71"/>
      <c r="Q285" s="71"/>
      <c r="R285" s="71"/>
      <c r="S285" t="s">
        <v>462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CARTAZISTA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672</v>
      </c>
      <c r="G286" t="s">
        <v>521</v>
      </c>
      <c r="H286" s="71"/>
      <c r="I286" t="s">
        <v>322</v>
      </c>
      <c r="J286" s="187">
        <v>1</v>
      </c>
      <c r="K286" t="s">
        <v>1407</v>
      </c>
      <c r="L286" s="185"/>
      <c r="M286" s="188">
        <v>44643</v>
      </c>
      <c r="N286" s="71"/>
      <c r="Q286" s="71"/>
      <c r="R286" s="71"/>
      <c r="S286" t="s">
        <v>349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ENCARREGADO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24</v>
      </c>
      <c r="G287" t="s">
        <v>1519</v>
      </c>
      <c r="H287" s="71"/>
      <c r="I287" t="s">
        <v>220</v>
      </c>
      <c r="J287" s="187">
        <v>1</v>
      </c>
      <c r="K287" t="s">
        <v>1407</v>
      </c>
      <c r="L287" s="185"/>
      <c r="M287" s="188">
        <v>46254</v>
      </c>
      <c r="N287" s="71"/>
      <c r="O287" s="71"/>
      <c r="P287" s="71"/>
      <c r="Q287" s="71"/>
      <c r="R287" s="71"/>
      <c r="S287" t="s">
        <v>1531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ENCARREGADO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737</v>
      </c>
      <c r="G288" t="s">
        <v>524</v>
      </c>
      <c r="H288" s="71"/>
      <c r="I288" t="s">
        <v>220</v>
      </c>
      <c r="J288" s="187">
        <v>1</v>
      </c>
      <c r="K288" t="s">
        <v>1407</v>
      </c>
      <c r="L288" s="185"/>
      <c r="M288" s="188">
        <v>45121</v>
      </c>
      <c r="N288" s="71"/>
      <c r="Q288" s="71"/>
      <c r="R288" s="71"/>
      <c r="S288" t="s">
        <v>351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142</v>
      </c>
      <c r="G289" t="s">
        <v>1393</v>
      </c>
      <c r="H289" s="71"/>
      <c r="I289" t="s">
        <v>360</v>
      </c>
      <c r="J289" s="187">
        <v>1</v>
      </c>
      <c r="K289" t="s">
        <v>1407</v>
      </c>
      <c r="L289" s="185"/>
      <c r="M289" s="188">
        <v>45909</v>
      </c>
      <c r="N289" s="71"/>
      <c r="O289" s="71"/>
      <c r="P289" s="71"/>
      <c r="Q289" s="71"/>
      <c r="R289" s="71"/>
      <c r="S289" t="s">
        <v>526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27</v>
      </c>
      <c r="G290" t="s">
        <v>1573</v>
      </c>
      <c r="H290" s="71"/>
      <c r="I290" t="s">
        <v>220</v>
      </c>
      <c r="J290" s="187">
        <v>1</v>
      </c>
      <c r="K290" t="s">
        <v>1407</v>
      </c>
      <c r="L290" s="185"/>
      <c r="M290" s="188">
        <v>46267</v>
      </c>
      <c r="N290" s="71"/>
      <c r="Q290" s="71"/>
      <c r="R290" s="71"/>
      <c r="S290" t="s">
        <v>527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Demitido</v>
      </c>
      <c r="E291" s="187">
        <v>3</v>
      </c>
      <c r="F291" s="187">
        <v>26</v>
      </c>
      <c r="G291" t="s">
        <v>1555</v>
      </c>
      <c r="H291" s="71"/>
      <c r="I291" t="s">
        <v>220</v>
      </c>
      <c r="J291" s="187">
        <v>7</v>
      </c>
      <c r="K291" t="s">
        <v>1597</v>
      </c>
      <c r="L291" s="185"/>
      <c r="M291" s="188">
        <v>46266</v>
      </c>
      <c r="N291" s="71"/>
      <c r="Q291" s="71"/>
      <c r="R291" s="71"/>
      <c r="S291" t="s">
        <v>527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LOJA</v>
      </c>
      <c r="C292" s="72" t="str">
        <f ca="1">IF(D292="Inativo","Inativo",IFERROR(VLOOKUP($G292,Conf!$O:$Q,3,0),IFERROR(VLOOKUP($G292,Conf!$E:$F,2,0),VLOOKUP($S292,Conf!$K:$M,3,0))))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780</v>
      </c>
      <c r="G292" t="s">
        <v>528</v>
      </c>
      <c r="H292" s="71"/>
      <c r="I292" t="s">
        <v>220</v>
      </c>
      <c r="J292" s="187">
        <v>1</v>
      </c>
      <c r="K292" t="s">
        <v>1407</v>
      </c>
      <c r="L292" s="185"/>
      <c r="M292" s="188">
        <v>45327</v>
      </c>
      <c r="N292" s="71"/>
      <c r="Q292" s="71"/>
      <c r="R292" s="71"/>
      <c r="S292" t="s">
        <v>529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LOJA</v>
      </c>
      <c r="C293" s="72" t="str">
        <f ca="1">IF(D293="Inativo","Inativo",IFERROR(VLOOKUP($G293,Conf!$O:$Q,3,0),IFERROR(VLOOKUP($G293,Conf!$E:$F,2,0),VLOOKUP($S293,Conf!$K:$M,3,0))))</f>
        <v>REPOSITOR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102</v>
      </c>
      <c r="G293" t="s">
        <v>1392</v>
      </c>
      <c r="H293" s="71"/>
      <c r="I293" t="s">
        <v>220</v>
      </c>
      <c r="J293" s="187">
        <v>1</v>
      </c>
      <c r="K293" t="s">
        <v>1407</v>
      </c>
      <c r="L293" s="185"/>
      <c r="M293" s="188">
        <v>45783</v>
      </c>
      <c r="N293" s="71"/>
      <c r="O293" s="71"/>
      <c r="P293" s="71"/>
      <c r="Q293" s="71"/>
      <c r="R293" s="71"/>
      <c r="S293" t="s">
        <v>526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LOJA</v>
      </c>
      <c r="C294" s="72" t="str">
        <f ca="1">IF(D294="Inativo","Inativo",IFERROR(VLOOKUP($G294,Conf!$O:$Q,3,0),IFERROR(VLOOKUP($G294,Conf!$E:$F,2,0),VLOOKUP($S294,Conf!$K:$M,3,0))))</f>
        <v>REPOSITOR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8</v>
      </c>
      <c r="G294" t="s">
        <v>530</v>
      </c>
      <c r="H294" s="71"/>
      <c r="I294" t="s">
        <v>220</v>
      </c>
      <c r="J294" s="187">
        <v>1</v>
      </c>
      <c r="K294" t="s">
        <v>1407</v>
      </c>
      <c r="L294" s="185"/>
      <c r="M294" s="188">
        <v>46147</v>
      </c>
      <c r="N294" s="71"/>
      <c r="O294" s="71"/>
      <c r="P294" s="71"/>
      <c r="Q294" s="71"/>
      <c r="R294" s="71"/>
      <c r="S294" t="s">
        <v>527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178</v>
      </c>
      <c r="G295" t="s">
        <v>1402</v>
      </c>
      <c r="H295" s="71"/>
      <c r="I295" t="s">
        <v>220</v>
      </c>
      <c r="J295" s="187">
        <v>1</v>
      </c>
      <c r="K295" t="s">
        <v>1407</v>
      </c>
      <c r="L295" s="185"/>
      <c r="M295" s="188">
        <v>46009</v>
      </c>
      <c r="N295" s="71"/>
      <c r="O295" s="71"/>
      <c r="P295" s="71"/>
      <c r="Q295" s="71"/>
      <c r="R295" s="71"/>
      <c r="S295" t="s">
        <v>533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ATENDENTE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19</v>
      </c>
      <c r="G296" t="s">
        <v>1436</v>
      </c>
      <c r="H296" s="71"/>
      <c r="I296" t="s">
        <v>220</v>
      </c>
      <c r="J296" s="187">
        <v>1</v>
      </c>
      <c r="K296" t="s">
        <v>1407</v>
      </c>
      <c r="L296" s="185"/>
      <c r="M296" s="188">
        <v>46218</v>
      </c>
      <c r="N296" s="71"/>
      <c r="Q296" s="71"/>
      <c r="R296" s="71"/>
      <c r="S296" t="s">
        <v>533</v>
      </c>
      <c r="T296" s="71"/>
    </row>
    <row r="297" spans="1:20" x14ac:dyDescent="0.3">
      <c r="A297" s="72">
        <f>IFERROR(VLOOKUP($G297,Conf!$B:$C,2,0),E297)</f>
        <v>3</v>
      </c>
      <c r="B297" s="72" t="str">
        <f ca="1">IF(D297="Inativo","Inativo",IFERROR(VLOOKUP($G297,Conf!$O:$Q,2,0),VLOOKUP($S297,Conf!$K:$M,2,0)))</f>
        <v>PADARIA</v>
      </c>
      <c r="C297" s="72" t="str">
        <f ca="1">IF(D297="Inativo","Inativo",IFERROR(VLOOKUP($G297,Conf!$O:$Q,3,0),IFERROR(VLOOKUP($G297,Conf!$E:$F,2,0),VLOOKUP($S297,Conf!$K:$M,3,0))))</f>
        <v>ENCARREGADO</v>
      </c>
      <c r="D297" s="72" t="str">
        <f ca="1">IFERROR(IF(TODAY()-K297&gt;365,"Inativo",IF(J297=2,"Férias",IF(J297=7,"Demitido","Afastamento"))),VLOOKUP(J297,Conf!$H:$I,2,0))</f>
        <v>Ativos</v>
      </c>
      <c r="E297" s="187">
        <v>3</v>
      </c>
      <c r="F297" s="187">
        <v>38</v>
      </c>
      <c r="G297" t="s">
        <v>1400</v>
      </c>
      <c r="H297" s="71"/>
      <c r="I297" t="s">
        <v>220</v>
      </c>
      <c r="J297" s="187">
        <v>1</v>
      </c>
      <c r="K297" t="s">
        <v>1407</v>
      </c>
      <c r="L297" s="185"/>
      <c r="M297" s="188">
        <v>45576</v>
      </c>
      <c r="N297" s="71"/>
      <c r="O297" s="71"/>
      <c r="P297" s="71"/>
      <c r="Q297" s="71"/>
      <c r="R297" s="71"/>
      <c r="S297" t="s">
        <v>536</v>
      </c>
      <c r="T297" s="71"/>
    </row>
    <row r="298" spans="1:20" x14ac:dyDescent="0.3">
      <c r="A298" s="72">
        <f>IFERROR(VLOOKUP($G298,Conf!$B:$C,2,0),E298)</f>
        <v>3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PADEIRO(A)</v>
      </c>
      <c r="D298" s="72" t="str">
        <f ca="1">IFERROR(IF(TODAY()-K298&gt;365,"Inativo",IF(J298=2,"Férias",IF(J298=7,"Demitido","Afastamento"))),VLOOKUP(J298,Conf!$H:$I,2,0))</f>
        <v>Ativos</v>
      </c>
      <c r="E298" s="187">
        <v>3</v>
      </c>
      <c r="F298" s="187">
        <v>53</v>
      </c>
      <c r="G298" t="s">
        <v>1401</v>
      </c>
      <c r="H298" s="71"/>
      <c r="I298" t="s">
        <v>220</v>
      </c>
      <c r="J298" s="187">
        <v>1</v>
      </c>
      <c r="K298" t="s">
        <v>1407</v>
      </c>
      <c r="L298" s="185"/>
      <c r="M298" s="188">
        <v>45630</v>
      </c>
      <c r="N298" s="71"/>
      <c r="Q298" s="71"/>
      <c r="R298" s="71"/>
      <c r="S298" t="s">
        <v>537</v>
      </c>
      <c r="T298" s="71"/>
    </row>
    <row r="299" spans="1:20" x14ac:dyDescent="0.3">
      <c r="A299" s="72">
        <f>IFERROR(VLOOKUP($G299,Conf!$B:$C,2,0),E299)</f>
        <v>3</v>
      </c>
      <c r="B299" s="72" t="str">
        <f ca="1">IF(D299="Inativo","Inativo",IFERROR(VLOOKUP($G299,Conf!$O:$Q,2,0),VLOOKUP($S299,Conf!$K:$M,2,0)))</f>
        <v>PADARIA</v>
      </c>
      <c r="C299" s="72" t="str">
        <f ca="1">IF(D299="Inativo","Inativo",IFERROR(VLOOKUP($G299,Conf!$O:$Q,3,0),IFERROR(VLOOKUP($G299,Conf!$E:$F,2,0),VLOOKUP($S299,Conf!$K:$M,3,0))))</f>
        <v>PADEIRO(A)</v>
      </c>
      <c r="D299" s="72" t="str">
        <f ca="1">IFERROR(IF(TODAY()-K299&gt;365,"Inativo",IF(J299=2,"Férias",IF(J299=7,"Demitido","Afastamento"))),VLOOKUP(J299,Conf!$H:$I,2,0))</f>
        <v>Ativos</v>
      </c>
      <c r="E299" s="187">
        <v>3</v>
      </c>
      <c r="F299" s="187">
        <v>765</v>
      </c>
      <c r="G299" t="s">
        <v>538</v>
      </c>
      <c r="H299" s="71"/>
      <c r="I299" t="s">
        <v>322</v>
      </c>
      <c r="J299" s="187">
        <v>1</v>
      </c>
      <c r="K299" t="s">
        <v>1407</v>
      </c>
      <c r="L299" s="185"/>
      <c r="M299" s="188">
        <v>45282</v>
      </c>
      <c r="N299" s="71"/>
      <c r="O299" s="71"/>
      <c r="P299" s="71"/>
      <c r="Q299" s="71"/>
      <c r="R299" s="71"/>
      <c r="S299" t="s">
        <v>388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178</v>
      </c>
      <c r="G300" t="s">
        <v>539</v>
      </c>
      <c r="H300" s="71"/>
      <c r="I300" t="s">
        <v>220</v>
      </c>
      <c r="J300" s="187">
        <v>1</v>
      </c>
      <c r="K300" t="s">
        <v>1407</v>
      </c>
      <c r="L300" s="185"/>
      <c r="M300" s="188">
        <v>45702</v>
      </c>
      <c r="N300" s="71"/>
      <c r="Q300" s="71"/>
      <c r="R300" s="71"/>
      <c r="S300" t="s">
        <v>540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386</v>
      </c>
      <c r="G301" t="s">
        <v>541</v>
      </c>
      <c r="H301" s="71"/>
      <c r="I301" t="s">
        <v>446</v>
      </c>
      <c r="J301" s="187">
        <v>1</v>
      </c>
      <c r="K301" t="s">
        <v>1407</v>
      </c>
      <c r="L301" s="185"/>
      <c r="M301" s="188">
        <v>44599</v>
      </c>
      <c r="N301" s="71"/>
      <c r="O301" s="71"/>
      <c r="P301" s="71"/>
      <c r="Q301" s="71"/>
      <c r="R301" s="71"/>
      <c r="S301" t="s">
        <v>223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AÇOUGUEIRO</v>
      </c>
      <c r="D302" s="72" t="str">
        <f ca="1">IFERROR(IF(TODAY()-K302&gt;365,"Inativo",IF(J302=2,"Férias",IF(J302=7,"Demitido","Afastamento"))),VLOOKUP(J302,Conf!$H:$I,2,0))</f>
        <v>Férias</v>
      </c>
      <c r="E302" s="187">
        <v>4</v>
      </c>
      <c r="F302" s="187">
        <v>44</v>
      </c>
      <c r="G302" t="s">
        <v>542</v>
      </c>
      <c r="H302" s="71"/>
      <c r="I302" t="s">
        <v>220</v>
      </c>
      <c r="J302" s="187">
        <v>2</v>
      </c>
      <c r="K302" t="s">
        <v>1579</v>
      </c>
      <c r="L302" s="185"/>
      <c r="M302" s="188">
        <v>45127</v>
      </c>
      <c r="N302" s="71"/>
      <c r="Q302" s="71"/>
      <c r="R302" s="71"/>
      <c r="S302" t="s">
        <v>540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AÇOUGUEIRO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205</v>
      </c>
      <c r="G303" t="s">
        <v>543</v>
      </c>
      <c r="H303" s="71"/>
      <c r="I303" t="s">
        <v>395</v>
      </c>
      <c r="J303" s="187">
        <v>1</v>
      </c>
      <c r="K303" t="s">
        <v>1407</v>
      </c>
      <c r="L303" s="185"/>
      <c r="M303" s="188">
        <v>45782</v>
      </c>
      <c r="N303" s="71"/>
      <c r="Q303" s="71"/>
      <c r="R303" s="71"/>
      <c r="S303" t="s">
        <v>540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BALCONISTA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8</v>
      </c>
      <c r="G304" t="s">
        <v>1574</v>
      </c>
      <c r="H304" s="71"/>
      <c r="I304" t="s">
        <v>220</v>
      </c>
      <c r="J304" s="187">
        <v>1</v>
      </c>
      <c r="K304" t="s">
        <v>1407</v>
      </c>
      <c r="L304" s="185"/>
      <c r="M304" s="188">
        <v>46267</v>
      </c>
      <c r="N304" s="71"/>
      <c r="Q304" s="71"/>
      <c r="R304" s="71"/>
      <c r="S304" t="s">
        <v>1265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AÇOUGUE</v>
      </c>
      <c r="C305" s="72" t="str">
        <f ca="1">IF(D305="Inativo","Inativo",IFERROR(VLOOKUP($G305,Conf!$O:$Q,3,0),IFERROR(VLOOKUP($G305,Conf!$E:$F,2,0),VLOOKUP($S305,Conf!$K:$M,3,0))))</f>
        <v>DESOSSADOR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5</v>
      </c>
      <c r="G305" t="s">
        <v>1422</v>
      </c>
      <c r="H305" s="71"/>
      <c r="I305" t="s">
        <v>220</v>
      </c>
      <c r="J305" s="187">
        <v>1</v>
      </c>
      <c r="K305" t="s">
        <v>1407</v>
      </c>
      <c r="L305" s="185"/>
      <c r="M305" s="188">
        <v>46210</v>
      </c>
      <c r="N305" s="71"/>
      <c r="O305" s="71"/>
      <c r="P305" s="71"/>
      <c r="Q305" s="71"/>
      <c r="R305" s="71"/>
      <c r="S305" t="s">
        <v>544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AÇOUGUE</v>
      </c>
      <c r="C306" s="72" t="str">
        <f ca="1">IF(D306="Inativo","Inativo",IFERROR(VLOOKUP($G306,Conf!$O:$Q,3,0),IFERROR(VLOOKUP($G306,Conf!$E:$F,2,0),VLOOKUP($S306,Conf!$K:$M,3,0))))</f>
        <v>DESOSSADOR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274</v>
      </c>
      <c r="G306" t="s">
        <v>545</v>
      </c>
      <c r="H306" s="71"/>
      <c r="I306" t="s">
        <v>322</v>
      </c>
      <c r="J306" s="187">
        <v>1</v>
      </c>
      <c r="K306" t="s">
        <v>1407</v>
      </c>
      <c r="L306" s="185"/>
      <c r="M306" s="188">
        <v>46034</v>
      </c>
      <c r="N306" s="71"/>
      <c r="Q306" s="71"/>
      <c r="R306" s="71"/>
      <c r="S306" t="s">
        <v>544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499</v>
      </c>
      <c r="G307" t="s">
        <v>573</v>
      </c>
      <c r="H307" s="71"/>
      <c r="I307" t="s">
        <v>574</v>
      </c>
      <c r="J307" s="187">
        <v>1</v>
      </c>
      <c r="K307" t="s">
        <v>1407</v>
      </c>
      <c r="L307" s="185"/>
      <c r="M307" s="188">
        <v>46077</v>
      </c>
      <c r="N307" s="71"/>
      <c r="Q307" s="71"/>
      <c r="R307" s="71"/>
      <c r="S307" t="s">
        <v>340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APRENDIZ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295</v>
      </c>
      <c r="G308" t="s">
        <v>575</v>
      </c>
      <c r="H308" s="71"/>
      <c r="I308" t="s">
        <v>574</v>
      </c>
      <c r="J308" s="187">
        <v>1</v>
      </c>
      <c r="K308" t="s">
        <v>1407</v>
      </c>
      <c r="L308" s="185"/>
      <c r="M308" s="188">
        <v>46077</v>
      </c>
      <c r="N308" s="71"/>
      <c r="O308" s="71"/>
      <c r="P308" s="71"/>
      <c r="Q308" s="71"/>
      <c r="R308" s="71"/>
      <c r="S308" t="s">
        <v>576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ADMINISTRATIVO</v>
      </c>
      <c r="C309" s="72" t="str">
        <f ca="1">IF(D309="Inativo","Inativo",IFERROR(VLOOKUP($G309,Conf!$O:$Q,3,0),IFERROR(VLOOKUP($G309,Conf!$E:$F,2,0),VLOOKUP($S309,Conf!$K:$M,3,0))))</f>
        <v>APRENDIZ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293</v>
      </c>
      <c r="G309" t="s">
        <v>577</v>
      </c>
      <c r="H309" s="71"/>
      <c r="I309" t="s">
        <v>574</v>
      </c>
      <c r="J309" s="187">
        <v>1</v>
      </c>
      <c r="K309" t="s">
        <v>1407</v>
      </c>
      <c r="L309" s="185"/>
      <c r="M309" s="188">
        <v>46077</v>
      </c>
      <c r="N309" s="71"/>
      <c r="O309" s="71"/>
      <c r="P309" s="71"/>
      <c r="Q309" s="71"/>
      <c r="R309" s="71"/>
      <c r="S309" t="s">
        <v>576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ADMINISTRATIVO</v>
      </c>
      <c r="C310" s="72" t="str">
        <f ca="1">IF(D310="Inativo","Inativo",IFERROR(VLOOKUP($G310,Conf!$O:$Q,3,0),IFERROR(VLOOKUP($G310,Conf!$E:$F,2,0),VLOOKUP($S310,Conf!$K:$M,3,0))))</f>
        <v>APRENDIZ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498</v>
      </c>
      <c r="G310" t="s">
        <v>578</v>
      </c>
      <c r="H310" s="71"/>
      <c r="I310" t="s">
        <v>574</v>
      </c>
      <c r="J310" s="187">
        <v>1</v>
      </c>
      <c r="K310" t="s">
        <v>1407</v>
      </c>
      <c r="L310" s="185"/>
      <c r="M310" s="188">
        <v>46077</v>
      </c>
      <c r="N310" s="71"/>
      <c r="O310" s="71"/>
      <c r="P310" s="71"/>
      <c r="Q310" s="71"/>
      <c r="R310" s="71"/>
      <c r="S310" t="s">
        <v>340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ADMINISTRATIVO</v>
      </c>
      <c r="C311" s="72" t="str">
        <f ca="1">IF(D311="Inativo","Inativo",IFERROR(VLOOKUP($G311,Conf!$O:$Q,3,0),IFERROR(VLOOKUP($G311,Conf!$E:$F,2,0),VLOOKUP($S311,Conf!$K:$M,3,0))))</f>
        <v>LIMPEZA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220</v>
      </c>
      <c r="G311" t="s">
        <v>572</v>
      </c>
      <c r="H311" s="71"/>
      <c r="I311" t="s">
        <v>220</v>
      </c>
      <c r="J311" s="187">
        <v>1</v>
      </c>
      <c r="K311" t="s">
        <v>1407</v>
      </c>
      <c r="L311" s="185"/>
      <c r="M311" s="188">
        <v>45848</v>
      </c>
      <c r="N311" s="71"/>
      <c r="Q311" s="71"/>
      <c r="R311" s="71"/>
      <c r="S311" t="s">
        <v>571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CONFEITARIA</v>
      </c>
      <c r="C312" s="72" t="str">
        <f ca="1">IF(D312="Inativo","Inativo",IFERROR(VLOOKUP($G312,Conf!$O:$Q,3,0),IFERROR(VLOOKUP($G312,Conf!$E:$F,2,0),VLOOKUP($S312,Conf!$K:$M,3,0))))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270</v>
      </c>
      <c r="G312" t="s">
        <v>592</v>
      </c>
      <c r="H312" s="71"/>
      <c r="I312" t="s">
        <v>222</v>
      </c>
      <c r="J312" s="187">
        <v>1</v>
      </c>
      <c r="K312" t="s">
        <v>1407</v>
      </c>
      <c r="L312" s="185"/>
      <c r="M312" s="188">
        <v>46009</v>
      </c>
      <c r="N312" s="71"/>
      <c r="Q312" s="71"/>
      <c r="R312" s="71"/>
      <c r="S312" t="s">
        <v>548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CONFEITARIA</v>
      </c>
      <c r="C313" s="72" t="str">
        <f ca="1">IF(D313="Inativo","Inativo",IFERROR(VLOOKUP($G313,Conf!$O:$Q,3,0),IFERROR(VLOOKUP($G313,Conf!$E:$F,2,0),VLOOKUP($S313,Conf!$K:$M,3,0))))</f>
        <v>CONFEITEIRO(A)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88</v>
      </c>
      <c r="G313" t="s">
        <v>547</v>
      </c>
      <c r="H313" s="71"/>
      <c r="I313" t="s">
        <v>297</v>
      </c>
      <c r="J313" s="187">
        <v>1</v>
      </c>
      <c r="K313" t="s">
        <v>1407</v>
      </c>
      <c r="L313" s="185"/>
      <c r="M313" s="188">
        <v>45355</v>
      </c>
      <c r="N313" s="71"/>
      <c r="O313" s="71"/>
      <c r="P313" s="71"/>
      <c r="Q313" s="71"/>
      <c r="R313" s="71"/>
      <c r="S313" t="s">
        <v>548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AUXILIAR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6</v>
      </c>
      <c r="G314" t="s">
        <v>1450</v>
      </c>
      <c r="H314" s="71"/>
      <c r="I314" t="s">
        <v>297</v>
      </c>
      <c r="J314" s="187">
        <v>1</v>
      </c>
      <c r="K314" t="s">
        <v>1407</v>
      </c>
      <c r="L314" s="185"/>
      <c r="M314" s="188">
        <v>46220</v>
      </c>
      <c r="N314" s="71"/>
      <c r="Q314" s="71"/>
      <c r="R314" s="71"/>
      <c r="S314" t="s">
        <v>551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AUXILIAR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184</v>
      </c>
      <c r="G315" t="s">
        <v>550</v>
      </c>
      <c r="H315" s="71"/>
      <c r="I315" t="s">
        <v>220</v>
      </c>
      <c r="J315" s="187">
        <v>1</v>
      </c>
      <c r="K315" t="s">
        <v>1407</v>
      </c>
      <c r="L315" s="185"/>
      <c r="M315" s="188">
        <v>45719</v>
      </c>
      <c r="N315" s="71"/>
      <c r="Q315" s="71"/>
      <c r="R315" s="71"/>
      <c r="S315" t="s">
        <v>551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DEPOSITO</v>
      </c>
      <c r="C316" s="72" t="str">
        <f ca="1">IF(D316="Inativo","Inativo",IFERROR(VLOOKUP($G316,Conf!$O:$Q,3,0),IFERROR(VLOOKUP($G316,Conf!$E:$F,2,0),VLOOKUP($S316,Conf!$K:$M,3,0))))</f>
        <v>AUXILIAR</v>
      </c>
      <c r="D316" s="72" t="str">
        <f ca="1">IFERROR(IF(TODAY()-K316&gt;365,"Inativo",IF(J316=2,"Férias",IF(J316=7,"Demitido","Afastamento"))),VLOOKUP(J316,Conf!$H:$I,2,0))</f>
        <v>Demitido</v>
      </c>
      <c r="E316" s="187">
        <v>4</v>
      </c>
      <c r="F316" s="187">
        <v>261</v>
      </c>
      <c r="G316" t="s">
        <v>552</v>
      </c>
      <c r="H316" s="71"/>
      <c r="I316" t="s">
        <v>297</v>
      </c>
      <c r="J316" s="187">
        <v>7</v>
      </c>
      <c r="K316" t="s">
        <v>1564</v>
      </c>
      <c r="L316" s="185"/>
      <c r="M316" s="188">
        <v>45982</v>
      </c>
      <c r="N316" s="71"/>
      <c r="O316" s="71"/>
      <c r="P316" s="71"/>
      <c r="Q316" s="71"/>
      <c r="R316" s="71"/>
      <c r="S316" t="s">
        <v>551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DEPOSITO</v>
      </c>
      <c r="C317" s="72" t="str">
        <f ca="1">IF(D317="Inativo","Inativo",IFERROR(VLOOKUP($G317,Conf!$O:$Q,3,0),IFERROR(VLOOKUP($G317,Conf!$E:$F,2,0),VLOOKUP($S317,Conf!$K:$M,3,0))))</f>
        <v>CONFERENTE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486</v>
      </c>
      <c r="G317" t="s">
        <v>549</v>
      </c>
      <c r="H317" s="71"/>
      <c r="I317" t="s">
        <v>247</v>
      </c>
      <c r="J317" s="187">
        <v>1</v>
      </c>
      <c r="K317" t="s">
        <v>1407</v>
      </c>
      <c r="L317" s="185"/>
      <c r="M317" s="188">
        <v>45952</v>
      </c>
      <c r="N317" s="71"/>
      <c r="Q317" s="71"/>
      <c r="R317" s="71"/>
      <c r="S317" t="s">
        <v>251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DEPOSITO</v>
      </c>
      <c r="C318" s="72" t="str">
        <f ca="1">IF(D318="Inativo","Inativo",IFERROR(VLOOKUP($G318,Conf!$O:$Q,3,0),IFERROR(VLOOKUP($G318,Conf!$E:$F,2,0),VLOOKUP($S318,Conf!$K:$M,3,0))))</f>
        <v>ENCARREGADO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429</v>
      </c>
      <c r="G318" t="s">
        <v>553</v>
      </c>
      <c r="H318" s="71"/>
      <c r="I318" t="s">
        <v>401</v>
      </c>
      <c r="J318" s="187">
        <v>1</v>
      </c>
      <c r="K318" t="s">
        <v>1407</v>
      </c>
      <c r="L318" s="185"/>
      <c r="M318" s="188">
        <v>44972</v>
      </c>
      <c r="N318" s="71"/>
      <c r="Q318" s="71"/>
      <c r="R318" s="71"/>
      <c r="S318" t="s">
        <v>260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ENTREGADOR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451</v>
      </c>
      <c r="G319" t="s">
        <v>554</v>
      </c>
      <c r="H319" s="71"/>
      <c r="I319" t="s">
        <v>410</v>
      </c>
      <c r="J319" s="187">
        <v>1</v>
      </c>
      <c r="K319" t="s">
        <v>1407</v>
      </c>
      <c r="L319" s="185"/>
      <c r="M319" s="188">
        <v>45338</v>
      </c>
      <c r="N319" s="71"/>
      <c r="Q319" s="71"/>
      <c r="R319" s="71"/>
      <c r="S319" t="s">
        <v>409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FISCAL DE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457</v>
      </c>
      <c r="G320" t="s">
        <v>555</v>
      </c>
      <c r="H320" s="71"/>
      <c r="I320" t="s">
        <v>220</v>
      </c>
      <c r="J320" s="187">
        <v>1</v>
      </c>
      <c r="K320" t="s">
        <v>1407</v>
      </c>
      <c r="L320" s="185"/>
      <c r="M320" s="188">
        <v>45383</v>
      </c>
      <c r="N320" s="71"/>
      <c r="Q320" s="71"/>
      <c r="R320" s="71"/>
      <c r="S320" t="s">
        <v>279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504</v>
      </c>
      <c r="G321" t="s">
        <v>556</v>
      </c>
      <c r="H321" s="71"/>
      <c r="I321" t="s">
        <v>220</v>
      </c>
      <c r="J321" s="187">
        <v>1</v>
      </c>
      <c r="K321" t="s">
        <v>1407</v>
      </c>
      <c r="L321" s="185"/>
      <c r="M321" s="188">
        <v>46113</v>
      </c>
      <c r="N321" s="71"/>
      <c r="O321" s="71"/>
      <c r="P321" s="71"/>
      <c r="Q321" s="71"/>
      <c r="R321" s="71"/>
      <c r="S321" t="s">
        <v>282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Demitido</v>
      </c>
      <c r="E322" s="187">
        <v>4</v>
      </c>
      <c r="F322" s="187">
        <v>516</v>
      </c>
      <c r="G322" t="s">
        <v>1482</v>
      </c>
      <c r="H322" s="71"/>
      <c r="I322" t="s">
        <v>220</v>
      </c>
      <c r="J322" s="187">
        <v>7</v>
      </c>
      <c r="K322" t="s">
        <v>1597</v>
      </c>
      <c r="L322" s="185"/>
      <c r="M322" s="188">
        <v>46241</v>
      </c>
      <c r="N322" s="71"/>
      <c r="Q322" s="71"/>
      <c r="R322" s="71"/>
      <c r="S322" t="s">
        <v>282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519</v>
      </c>
      <c r="G323" t="s">
        <v>1630</v>
      </c>
      <c r="H323" s="71"/>
      <c r="I323" t="s">
        <v>220</v>
      </c>
      <c r="J323" s="187">
        <v>1</v>
      </c>
      <c r="K323" t="s">
        <v>1407</v>
      </c>
      <c r="L323" s="185"/>
      <c r="M323" s="188">
        <v>46286</v>
      </c>
      <c r="N323" s="71"/>
      <c r="O323" s="71"/>
      <c r="P323" s="71"/>
      <c r="Q323" s="71"/>
      <c r="R323" s="71"/>
      <c r="S323" t="s">
        <v>282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471</v>
      </c>
      <c r="G324" t="s">
        <v>557</v>
      </c>
      <c r="H324" s="71"/>
      <c r="I324" t="s">
        <v>220</v>
      </c>
      <c r="J324" s="187">
        <v>1</v>
      </c>
      <c r="K324" t="s">
        <v>1407</v>
      </c>
      <c r="L324" s="185"/>
      <c r="M324" s="188">
        <v>45674</v>
      </c>
      <c r="N324" s="71"/>
      <c r="Q324" s="71"/>
      <c r="R324" s="71"/>
      <c r="S324" t="s">
        <v>282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511</v>
      </c>
      <c r="G325" t="s">
        <v>1346</v>
      </c>
      <c r="H325" s="71"/>
      <c r="I325" t="s">
        <v>220</v>
      </c>
      <c r="J325" s="187">
        <v>1</v>
      </c>
      <c r="K325" t="s">
        <v>1407</v>
      </c>
      <c r="L325" s="185"/>
      <c r="M325" s="188">
        <v>46190</v>
      </c>
      <c r="N325" s="71"/>
      <c r="Q325" s="71"/>
      <c r="R325" s="71"/>
      <c r="S325" t="s">
        <v>282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446</v>
      </c>
      <c r="G326" t="s">
        <v>558</v>
      </c>
      <c r="H326" s="71"/>
      <c r="I326" t="s">
        <v>225</v>
      </c>
      <c r="J326" s="187">
        <v>1</v>
      </c>
      <c r="K326" t="s">
        <v>1407</v>
      </c>
      <c r="L326" s="185"/>
      <c r="M326" s="188">
        <v>45261</v>
      </c>
      <c r="N326" s="71"/>
      <c r="O326" s="71"/>
      <c r="P326" s="71"/>
      <c r="Q326" s="71"/>
      <c r="R326" s="71"/>
      <c r="S326" t="s">
        <v>282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514</v>
      </c>
      <c r="G327" t="s">
        <v>1467</v>
      </c>
      <c r="H327" s="71"/>
      <c r="I327" t="s">
        <v>220</v>
      </c>
      <c r="J327" s="187">
        <v>1</v>
      </c>
      <c r="K327" t="s">
        <v>1407</v>
      </c>
      <c r="L327" s="185"/>
      <c r="M327" s="188">
        <v>46237</v>
      </c>
      <c r="N327" s="71"/>
      <c r="O327" s="71"/>
      <c r="P327" s="71"/>
      <c r="Q327" s="71"/>
      <c r="R327" s="71"/>
      <c r="S327" t="s">
        <v>282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517</v>
      </c>
      <c r="G328" t="s">
        <v>1575</v>
      </c>
      <c r="H328" s="71"/>
      <c r="I328" t="s">
        <v>220</v>
      </c>
      <c r="J328" s="187">
        <v>1</v>
      </c>
      <c r="K328" t="s">
        <v>1407</v>
      </c>
      <c r="L328" s="185"/>
      <c r="M328" s="188">
        <v>46267</v>
      </c>
      <c r="N328" s="71"/>
      <c r="O328" s="71"/>
      <c r="P328" s="71"/>
      <c r="Q328" s="71"/>
      <c r="R328" s="71"/>
      <c r="S328" t="s">
        <v>282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492</v>
      </c>
      <c r="G329" t="s">
        <v>559</v>
      </c>
      <c r="H329" s="71"/>
      <c r="I329" t="s">
        <v>225</v>
      </c>
      <c r="J329" s="187">
        <v>1</v>
      </c>
      <c r="K329" t="s">
        <v>1407</v>
      </c>
      <c r="L329" s="185"/>
      <c r="M329" s="188">
        <v>46038</v>
      </c>
      <c r="N329" s="71"/>
      <c r="Q329" s="71"/>
      <c r="R329" s="71"/>
      <c r="S329" t="s">
        <v>282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445</v>
      </c>
      <c r="G330" t="s">
        <v>560</v>
      </c>
      <c r="H330" s="71"/>
      <c r="I330" t="s">
        <v>233</v>
      </c>
      <c r="J330" s="187">
        <v>5</v>
      </c>
      <c r="K330" t="s">
        <v>561</v>
      </c>
      <c r="L330" s="185"/>
      <c r="M330" s="188">
        <v>45261</v>
      </c>
      <c r="N330" s="71"/>
      <c r="O330" s="71"/>
      <c r="P330" s="71"/>
      <c r="Q330" s="71"/>
      <c r="R330" s="71"/>
      <c r="S330" t="s">
        <v>282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491</v>
      </c>
      <c r="G331" t="s">
        <v>562</v>
      </c>
      <c r="H331" s="71"/>
      <c r="I331" t="s">
        <v>516</v>
      </c>
      <c r="J331" s="187">
        <v>1</v>
      </c>
      <c r="K331" t="s">
        <v>1407</v>
      </c>
      <c r="L331" s="185"/>
      <c r="M331" s="188">
        <v>46036</v>
      </c>
      <c r="N331" s="71"/>
      <c r="Q331" s="71"/>
      <c r="R331" s="71"/>
      <c r="S331" t="s">
        <v>282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509</v>
      </c>
      <c r="G332" t="s">
        <v>1312</v>
      </c>
      <c r="H332" s="71"/>
      <c r="I332" t="s">
        <v>220</v>
      </c>
      <c r="J332" s="187">
        <v>1</v>
      </c>
      <c r="K332" t="s">
        <v>1407</v>
      </c>
      <c r="L332" s="185"/>
      <c r="M332" s="188">
        <v>46183</v>
      </c>
      <c r="N332" s="71"/>
      <c r="Q332" s="71"/>
      <c r="R332" s="71"/>
      <c r="S332" t="s">
        <v>282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513</v>
      </c>
      <c r="G333" t="s">
        <v>1381</v>
      </c>
      <c r="H333" s="71"/>
      <c r="I333" t="s">
        <v>220</v>
      </c>
      <c r="J333" s="187">
        <v>1</v>
      </c>
      <c r="K333" t="s">
        <v>1407</v>
      </c>
      <c r="L333" s="185"/>
      <c r="M333" s="188">
        <v>46205</v>
      </c>
      <c r="N333" s="71"/>
      <c r="Q333" s="71"/>
      <c r="R333" s="71"/>
      <c r="S333" t="s">
        <v>282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FRENTE DE CAIXA</v>
      </c>
      <c r="C334" s="72" t="str">
        <f ca="1">IF(D334="Inativo","Inativo",IFERROR(VLOOKUP($G334,Conf!$O:$Q,3,0),IFERROR(VLOOKUP($G334,Conf!$E:$F,2,0),VLOOKUP($S334,Conf!$K:$M,3,0))))</f>
        <v>OPERADOR CAIXA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518</v>
      </c>
      <c r="G334" t="s">
        <v>1586</v>
      </c>
      <c r="H334" s="71"/>
      <c r="I334" t="s">
        <v>220</v>
      </c>
      <c r="J334" s="187">
        <v>1</v>
      </c>
      <c r="K334" t="s">
        <v>1407</v>
      </c>
      <c r="L334" s="185"/>
      <c r="M334" s="188">
        <v>46274</v>
      </c>
      <c r="N334" s="71"/>
      <c r="O334" s="71"/>
      <c r="P334" s="71"/>
      <c r="Q334" s="71"/>
      <c r="R334" s="71"/>
      <c r="S334" t="s">
        <v>282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515</v>
      </c>
      <c r="G335" t="s">
        <v>1481</v>
      </c>
      <c r="H335" s="71"/>
      <c r="I335" t="s">
        <v>220</v>
      </c>
      <c r="J335" s="187">
        <v>1</v>
      </c>
      <c r="K335" t="s">
        <v>1407</v>
      </c>
      <c r="L335" s="185"/>
      <c r="M335" s="188">
        <v>46239</v>
      </c>
      <c r="N335" s="71"/>
      <c r="Q335" s="71"/>
      <c r="R335" s="71"/>
      <c r="S335" t="s">
        <v>282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Afastamento</v>
      </c>
      <c r="E336" s="187">
        <v>4</v>
      </c>
      <c r="F336" s="187">
        <v>456</v>
      </c>
      <c r="G336" t="s">
        <v>563</v>
      </c>
      <c r="H336" s="71"/>
      <c r="I336" t="s">
        <v>429</v>
      </c>
      <c r="J336" s="187">
        <v>3</v>
      </c>
      <c r="K336" t="s">
        <v>1635</v>
      </c>
      <c r="L336" s="185"/>
      <c r="M336" s="188">
        <v>45371</v>
      </c>
      <c r="N336" s="71"/>
      <c r="Q336" s="71"/>
      <c r="R336" s="71"/>
      <c r="S336" t="s">
        <v>282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FRIOS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210</v>
      </c>
      <c r="G337" t="s">
        <v>564</v>
      </c>
      <c r="H337" s="71"/>
      <c r="I337" t="s">
        <v>220</v>
      </c>
      <c r="J337" s="187">
        <v>1</v>
      </c>
      <c r="K337" t="s">
        <v>1407</v>
      </c>
      <c r="L337" s="185"/>
      <c r="M337" s="188">
        <v>42437</v>
      </c>
      <c r="N337" s="71"/>
      <c r="Q337" s="71"/>
      <c r="R337" s="71"/>
      <c r="S337" t="s">
        <v>513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GERÊNCIA</v>
      </c>
      <c r="C338" s="72" t="str">
        <f ca="1">IF(D338="Inativo","Inativo",IFERROR(VLOOKUP($G338,Conf!$O:$Q,3,0),IFERROR(VLOOKUP($G338,Conf!$E:$F,2,0),VLOOKUP($S338,Conf!$K:$M,3,0))))</f>
        <v>GERENTE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448</v>
      </c>
      <c r="G338" t="s">
        <v>582</v>
      </c>
      <c r="H338" s="71"/>
      <c r="I338" t="s">
        <v>353</v>
      </c>
      <c r="J338" s="187">
        <v>1</v>
      </c>
      <c r="K338" t="s">
        <v>1407</v>
      </c>
      <c r="L338" s="185"/>
      <c r="M338" s="188">
        <v>45293</v>
      </c>
      <c r="N338" s="71"/>
      <c r="Q338" s="71"/>
      <c r="R338" s="71"/>
      <c r="S338" t="s">
        <v>354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GERÊNCIA</v>
      </c>
      <c r="C339" s="72" t="str">
        <f ca="1">IF(D339="Inativo","Inativo",IFERROR(VLOOKUP($G339,Conf!$O:$Q,3,0),IFERROR(VLOOKUP($G339,Conf!$E:$F,2,0),VLOOKUP($S339,Conf!$K:$M,3,0))))</f>
        <v>SUBGERENTE</v>
      </c>
      <c r="D339" s="72" t="str">
        <f ca="1">IFERROR(IF(TODAY()-K339&gt;365,"Inativo",IF(J339=2,"Férias",IF(J339=7,"Demitido","Afastamento"))),VLOOKUP(J339,Conf!$H:$I,2,0))</f>
        <v>Ativos</v>
      </c>
      <c r="E339" s="187">
        <v>3</v>
      </c>
      <c r="F339" s="187">
        <v>20</v>
      </c>
      <c r="G339" t="s">
        <v>1449</v>
      </c>
      <c r="H339" s="71"/>
      <c r="I339" t="s">
        <v>353</v>
      </c>
      <c r="J339" s="187">
        <v>1</v>
      </c>
      <c r="K339" t="s">
        <v>1407</v>
      </c>
      <c r="L339" s="185"/>
      <c r="M339" s="188">
        <v>46219</v>
      </c>
      <c r="N339" s="71"/>
      <c r="O339" s="71"/>
      <c r="P339" s="71"/>
      <c r="Q339" s="71"/>
      <c r="R339" s="71"/>
      <c r="S339" t="s">
        <v>532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HORTIFRUTI</v>
      </c>
      <c r="C340" s="72" t="str">
        <f ca="1">IF(D340="Inativo","Inativo",IFERROR(VLOOKUP($G340,Conf!$O:$Q,3,0),IFERROR(VLOOKUP($G340,Conf!$E:$F,2,0),VLOOKUP($S340,Conf!$K:$M,3,0))))</f>
        <v>ENCARREGADO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130</v>
      </c>
      <c r="G340" t="s">
        <v>565</v>
      </c>
      <c r="H340" s="71"/>
      <c r="I340" t="s">
        <v>406</v>
      </c>
      <c r="J340" s="187">
        <v>1</v>
      </c>
      <c r="K340" t="s">
        <v>1407</v>
      </c>
      <c r="L340" s="185"/>
      <c r="M340" s="188">
        <v>45531</v>
      </c>
      <c r="N340" s="71"/>
      <c r="O340" s="71"/>
      <c r="P340" s="71"/>
      <c r="Q340" s="71"/>
      <c r="R340" s="71"/>
      <c r="S340" t="s">
        <v>566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HORTIFRUTI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188</v>
      </c>
      <c r="G341" t="s">
        <v>568</v>
      </c>
      <c r="H341" s="71"/>
      <c r="I341" t="s">
        <v>322</v>
      </c>
      <c r="J341" s="187">
        <v>1</v>
      </c>
      <c r="K341" t="s">
        <v>1407</v>
      </c>
      <c r="L341" s="185"/>
      <c r="M341" s="188">
        <v>45728</v>
      </c>
      <c r="N341" s="71"/>
      <c r="O341" s="71"/>
      <c r="P341" s="71"/>
      <c r="Q341" s="71"/>
      <c r="R341" s="71"/>
      <c r="S341" t="s">
        <v>567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HORTIFRUTI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24</v>
      </c>
      <c r="G342" t="s">
        <v>569</v>
      </c>
      <c r="H342" s="71"/>
      <c r="I342" t="s">
        <v>414</v>
      </c>
      <c r="J342" s="187">
        <v>1</v>
      </c>
      <c r="K342" t="s">
        <v>1407</v>
      </c>
      <c r="L342" s="185"/>
      <c r="M342" s="188">
        <v>45048</v>
      </c>
      <c r="N342" s="71"/>
      <c r="Q342" s="71"/>
      <c r="R342" s="71"/>
      <c r="S342" t="s">
        <v>567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CARTAZISTA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228</v>
      </c>
      <c r="G343" t="s">
        <v>579</v>
      </c>
      <c r="H343" s="71"/>
      <c r="I343" t="s">
        <v>401</v>
      </c>
      <c r="J343" s="187">
        <v>1</v>
      </c>
      <c r="K343" t="s">
        <v>1407</v>
      </c>
      <c r="L343" s="185"/>
      <c r="M343" s="188">
        <v>45881</v>
      </c>
      <c r="N343" s="71"/>
      <c r="O343" s="71"/>
      <c r="P343" s="71"/>
      <c r="Q343" s="71"/>
      <c r="R343" s="71"/>
      <c r="S343" t="s">
        <v>580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ENCARREGADO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358</v>
      </c>
      <c r="G344" t="s">
        <v>581</v>
      </c>
      <c r="H344" s="71"/>
      <c r="I344" t="s">
        <v>471</v>
      </c>
      <c r="J344" s="187">
        <v>1</v>
      </c>
      <c r="K344" t="s">
        <v>1407</v>
      </c>
      <c r="L344" s="185"/>
      <c r="M344" s="188">
        <v>44169</v>
      </c>
      <c r="N344" s="71"/>
      <c r="Q344" s="71"/>
      <c r="R344" s="71"/>
      <c r="S344" t="s">
        <v>351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Demitido</v>
      </c>
      <c r="E345" s="187">
        <v>4</v>
      </c>
      <c r="F345" s="187">
        <v>4</v>
      </c>
      <c r="G345" t="s">
        <v>1333</v>
      </c>
      <c r="H345" s="71"/>
      <c r="I345" t="s">
        <v>220</v>
      </c>
      <c r="J345" s="187">
        <v>7</v>
      </c>
      <c r="K345" t="s">
        <v>1623</v>
      </c>
      <c r="L345" s="185"/>
      <c r="M345" s="188">
        <v>46191</v>
      </c>
      <c r="N345" s="71"/>
      <c r="Q345" s="71"/>
      <c r="R345" s="71"/>
      <c r="S345" t="s">
        <v>587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226</v>
      </c>
      <c r="G346" t="s">
        <v>583</v>
      </c>
      <c r="H346" s="71"/>
      <c r="I346" t="s">
        <v>220</v>
      </c>
      <c r="J346" s="187">
        <v>1</v>
      </c>
      <c r="K346" t="s">
        <v>1407</v>
      </c>
      <c r="L346" s="185"/>
      <c r="M346" s="188">
        <v>45873</v>
      </c>
      <c r="N346" s="71"/>
      <c r="Q346" s="71"/>
      <c r="R346" s="71"/>
      <c r="S346" t="s">
        <v>584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LOJA</v>
      </c>
      <c r="C347" s="72" t="str">
        <f ca="1">IF(D347="Inativo","Inativo",IFERROR(VLOOKUP($G347,Conf!$O:$Q,3,0),IFERROR(VLOOKUP($G347,Conf!$E:$F,2,0),VLOOKUP($S347,Conf!$K:$M,3,0))))</f>
        <v>REPOSITOR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3</v>
      </c>
      <c r="G347" t="s">
        <v>1345</v>
      </c>
      <c r="H347" s="71"/>
      <c r="I347" t="s">
        <v>220</v>
      </c>
      <c r="J347" s="187">
        <v>7</v>
      </c>
      <c r="K347" t="s">
        <v>1622</v>
      </c>
      <c r="L347" s="185"/>
      <c r="M347" s="188">
        <v>46189</v>
      </c>
      <c r="N347" s="71"/>
      <c r="Q347" s="71"/>
      <c r="R347" s="71"/>
      <c r="S347" t="s">
        <v>587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LOJA</v>
      </c>
      <c r="C348" s="72" t="str">
        <f ca="1">IF(D348="Inativo","Inativo",IFERROR(VLOOKUP($G348,Conf!$O:$Q,3,0),IFERROR(VLOOKUP($G348,Conf!$E:$F,2,0),VLOOKUP($S348,Conf!$K:$M,3,0))))</f>
        <v>REPOSITOR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9</v>
      </c>
      <c r="G348" t="s">
        <v>1629</v>
      </c>
      <c r="H348" s="71"/>
      <c r="I348" t="s">
        <v>220</v>
      </c>
      <c r="J348" s="187">
        <v>1</v>
      </c>
      <c r="K348" t="s">
        <v>1407</v>
      </c>
      <c r="L348" s="185"/>
      <c r="M348" s="188">
        <v>46283</v>
      </c>
      <c r="N348" s="71"/>
      <c r="Q348" s="71"/>
      <c r="R348" s="71"/>
      <c r="S348" t="s">
        <v>587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LOJA</v>
      </c>
      <c r="C349" s="72" t="str">
        <f ca="1">IF(D349="Inativo","Inativo",IFERROR(VLOOKUP($G349,Conf!$O:$Q,3,0),IFERROR(VLOOKUP($G349,Conf!$E:$F,2,0),VLOOKUP($S349,Conf!$K:$M,3,0))))</f>
        <v>REPOSITOR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384</v>
      </c>
      <c r="G349" t="s">
        <v>585</v>
      </c>
      <c r="H349" s="71"/>
      <c r="I349" t="s">
        <v>322</v>
      </c>
      <c r="J349" s="187">
        <v>1</v>
      </c>
      <c r="K349" t="s">
        <v>1407</v>
      </c>
      <c r="L349" s="185"/>
      <c r="M349" s="188">
        <v>44580</v>
      </c>
      <c r="N349" s="71"/>
      <c r="Q349" s="71"/>
      <c r="R349" s="71"/>
      <c r="S349" t="s">
        <v>586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7</v>
      </c>
      <c r="G350" t="s">
        <v>1466</v>
      </c>
      <c r="H350" s="71"/>
      <c r="I350" t="s">
        <v>220</v>
      </c>
      <c r="J350" s="187">
        <v>1</v>
      </c>
      <c r="K350" t="s">
        <v>1407</v>
      </c>
      <c r="L350" s="185"/>
      <c r="M350" s="188">
        <v>46237</v>
      </c>
      <c r="N350" s="71"/>
      <c r="Q350" s="71"/>
      <c r="R350" s="71"/>
      <c r="S350" t="s">
        <v>594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285</v>
      </c>
      <c r="G351" t="s">
        <v>593</v>
      </c>
      <c r="H351" s="71"/>
      <c r="I351" t="s">
        <v>322</v>
      </c>
      <c r="J351" s="187">
        <v>1</v>
      </c>
      <c r="K351" t="s">
        <v>1407</v>
      </c>
      <c r="L351" s="185"/>
      <c r="M351" s="188">
        <v>46057</v>
      </c>
      <c r="N351" s="71"/>
      <c r="O351" s="71"/>
      <c r="P351" s="71"/>
      <c r="Q351" s="71"/>
      <c r="R351" s="71"/>
      <c r="S351" t="s">
        <v>594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ATENDENTE</v>
      </c>
      <c r="D352" s="72" t="str">
        <f ca="1">IFERROR(IF(TODAY()-K352&gt;365,"Inativo",IF(J352=2,"Férias",IF(J352=7,"Demitido","Afastamento"))),VLOOKUP(J352,Conf!$H:$I,2,0))</f>
        <v>Ativos</v>
      </c>
      <c r="E352" s="187">
        <v>4</v>
      </c>
      <c r="F352" s="187">
        <v>34</v>
      </c>
      <c r="G352" t="s">
        <v>570</v>
      </c>
      <c r="H352" s="71"/>
      <c r="I352" t="s">
        <v>322</v>
      </c>
      <c r="J352" s="187">
        <v>1</v>
      </c>
      <c r="K352" t="s">
        <v>1407</v>
      </c>
      <c r="L352" s="185"/>
      <c r="M352" s="188">
        <v>45089</v>
      </c>
      <c r="N352" s="71"/>
      <c r="Q352" s="71"/>
      <c r="R352" s="71"/>
      <c r="S352" t="s">
        <v>594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ATENDENTE</v>
      </c>
      <c r="D353" s="72" t="str">
        <f ca="1">IFERROR(IF(TODAY()-K353&gt;365,"Inativo",IF(J353=2,"Férias",IF(J353=7,"Demitido","Afastamento"))),VLOOKUP(J353,Conf!$H:$I,2,0))</f>
        <v>Demitido</v>
      </c>
      <c r="E353" s="187">
        <v>4</v>
      </c>
      <c r="F353" s="187">
        <v>410</v>
      </c>
      <c r="G353" t="s">
        <v>595</v>
      </c>
      <c r="H353" s="71"/>
      <c r="I353" t="s">
        <v>278</v>
      </c>
      <c r="J353" s="187">
        <v>7</v>
      </c>
      <c r="K353" t="s">
        <v>1564</v>
      </c>
      <c r="L353" s="185"/>
      <c r="M353" s="188">
        <v>44797</v>
      </c>
      <c r="N353" s="71"/>
      <c r="Q353" s="71"/>
      <c r="R353" s="71"/>
      <c r="S353" t="s">
        <v>596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AUXILIAR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263</v>
      </c>
      <c r="G354" t="s">
        <v>590</v>
      </c>
      <c r="H354" s="71"/>
      <c r="I354" t="s">
        <v>222</v>
      </c>
      <c r="J354" s="187">
        <v>1</v>
      </c>
      <c r="K354" t="s">
        <v>1407</v>
      </c>
      <c r="L354" s="185"/>
      <c r="M354" s="188">
        <v>45986</v>
      </c>
      <c r="N354" s="71"/>
      <c r="O354" s="71"/>
      <c r="P354" s="71"/>
      <c r="Q354" s="71"/>
      <c r="R354" s="71"/>
      <c r="S354" t="s">
        <v>591</v>
      </c>
      <c r="T354" s="71"/>
    </row>
    <row r="355" spans="1:20" x14ac:dyDescent="0.3">
      <c r="A355" s="72">
        <f>IFERROR(VLOOKUP($G355,Conf!$B:$C,2,0),E355)</f>
        <v>4</v>
      </c>
      <c r="B355" s="72" t="str">
        <f ca="1">IF(D355="Inativo","Inativo",IFERROR(VLOOKUP($G355,Conf!$O:$Q,2,0),VLOOKUP($S355,Conf!$K:$M,2,0)))</f>
        <v>PADARIA</v>
      </c>
      <c r="C355" s="72" t="str">
        <f ca="1">IF(D355="Inativo","Inativo",IFERROR(VLOOKUP($G355,Conf!$O:$Q,3,0),IFERROR(VLOOKUP($G355,Conf!$E:$F,2,0),VLOOKUP($S355,Conf!$K:$M,3,0))))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187">
        <v>4</v>
      </c>
      <c r="F355" s="187">
        <v>81</v>
      </c>
      <c r="G355" t="s">
        <v>597</v>
      </c>
      <c r="H355" s="71"/>
      <c r="I355" t="s">
        <v>244</v>
      </c>
      <c r="J355" s="187">
        <v>1</v>
      </c>
      <c r="K355" t="s">
        <v>1407</v>
      </c>
      <c r="L355" s="185"/>
      <c r="M355" s="188">
        <v>45323</v>
      </c>
      <c r="N355" s="71"/>
      <c r="O355" s="71"/>
      <c r="P355" s="71"/>
      <c r="Q355" s="71"/>
      <c r="R355" s="71"/>
      <c r="S355" t="s">
        <v>598</v>
      </c>
      <c r="T355" s="71"/>
    </row>
    <row r="356" spans="1:20" x14ac:dyDescent="0.3">
      <c r="A356" s="72">
        <f>IFERROR(VLOOKUP($G356,Conf!$B:$C,2,0),E356)</f>
        <v>4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187">
        <v>4</v>
      </c>
      <c r="F356" s="187">
        <v>308</v>
      </c>
      <c r="G356" t="s">
        <v>599</v>
      </c>
      <c r="H356" s="71"/>
      <c r="I356" t="s">
        <v>322</v>
      </c>
      <c r="J356" s="187">
        <v>1</v>
      </c>
      <c r="K356" t="s">
        <v>1407</v>
      </c>
      <c r="L356" s="185"/>
      <c r="M356" s="188">
        <v>43626</v>
      </c>
      <c r="N356" s="71"/>
      <c r="O356" s="71"/>
      <c r="P356" s="71"/>
      <c r="Q356" s="71"/>
      <c r="R356" s="71"/>
      <c r="S356" t="s">
        <v>469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AÇOUGUEIRO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1698</v>
      </c>
      <c r="G357" t="s">
        <v>600</v>
      </c>
      <c r="H357" s="71"/>
      <c r="I357" t="s">
        <v>220</v>
      </c>
      <c r="J357" s="187">
        <v>1</v>
      </c>
      <c r="K357" t="s">
        <v>1407</v>
      </c>
      <c r="L357" s="185"/>
      <c r="M357" s="188">
        <v>46013</v>
      </c>
      <c r="N357" s="71"/>
      <c r="O357" s="71"/>
      <c r="P357" s="71"/>
      <c r="Q357" s="71"/>
      <c r="R357" s="71"/>
      <c r="S357" t="s">
        <v>399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AÇOUGUEIRO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1782</v>
      </c>
      <c r="G358" t="s">
        <v>1643</v>
      </c>
      <c r="H358" s="71"/>
      <c r="I358" t="s">
        <v>220</v>
      </c>
      <c r="J358" s="187">
        <v>1</v>
      </c>
      <c r="K358" t="s">
        <v>1407</v>
      </c>
      <c r="L358" s="185"/>
      <c r="M358" s="188">
        <v>46288</v>
      </c>
      <c r="N358" s="71"/>
      <c r="O358" s="71"/>
      <c r="P358" s="71"/>
      <c r="Q358" s="71"/>
      <c r="R358" s="71"/>
      <c r="S358" t="s">
        <v>399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AÇOUGUEIRO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1204</v>
      </c>
      <c r="G359" t="s">
        <v>643</v>
      </c>
      <c r="H359" s="71"/>
      <c r="I359" t="s">
        <v>220</v>
      </c>
      <c r="J359" s="187">
        <v>1</v>
      </c>
      <c r="K359" t="s">
        <v>1407</v>
      </c>
      <c r="L359" s="185"/>
      <c r="M359" s="188">
        <v>44622</v>
      </c>
      <c r="N359" s="71"/>
      <c r="Q359" s="71"/>
      <c r="R359" s="71"/>
      <c r="S359" t="s">
        <v>399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AÇOUGUEIRO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1607</v>
      </c>
      <c r="G360" t="s">
        <v>601</v>
      </c>
      <c r="H360" s="71"/>
      <c r="I360" t="s">
        <v>220</v>
      </c>
      <c r="J360" s="187">
        <v>1</v>
      </c>
      <c r="K360" t="s">
        <v>1407</v>
      </c>
      <c r="L360" s="185"/>
      <c r="M360" s="188">
        <v>45730</v>
      </c>
      <c r="N360" s="71"/>
      <c r="Q360" s="71"/>
      <c r="R360" s="71"/>
      <c r="S360" t="s">
        <v>399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AÇOUGUEIRO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1663</v>
      </c>
      <c r="G361" t="s">
        <v>603</v>
      </c>
      <c r="H361" s="71"/>
      <c r="I361" t="s">
        <v>220</v>
      </c>
      <c r="J361" s="187">
        <v>1</v>
      </c>
      <c r="K361" t="s">
        <v>1407</v>
      </c>
      <c r="L361" s="185"/>
      <c r="M361" s="188">
        <v>45940</v>
      </c>
      <c r="N361" s="71"/>
      <c r="Q361" s="71"/>
      <c r="R361" s="71"/>
      <c r="S361" t="s">
        <v>399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BALCONISTA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1729</v>
      </c>
      <c r="G362" t="s">
        <v>630</v>
      </c>
      <c r="H362" s="71"/>
      <c r="I362" t="s">
        <v>220</v>
      </c>
      <c r="J362" s="187">
        <v>1</v>
      </c>
      <c r="K362" t="s">
        <v>1407</v>
      </c>
      <c r="L362" s="185"/>
      <c r="M362" s="188">
        <v>46099</v>
      </c>
      <c r="N362" s="71"/>
      <c r="Q362" s="71"/>
      <c r="R362" s="71"/>
      <c r="S362" t="s">
        <v>332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AÇOUGUE</v>
      </c>
      <c r="C363" s="72" t="str">
        <f ca="1">IF(D363="Inativo","Inativo",IFERROR(VLOOKUP($G363,Conf!$O:$Q,3,0),IFERROR(VLOOKUP($G363,Conf!$E:$F,2,0),VLOOKUP($S363,Conf!$K:$M,3,0))))</f>
        <v>DESOSSADOR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1769</v>
      </c>
      <c r="G363" t="s">
        <v>1518</v>
      </c>
      <c r="H363" s="71"/>
      <c r="I363" t="s">
        <v>663</v>
      </c>
      <c r="J363" s="187">
        <v>1</v>
      </c>
      <c r="K363" t="s">
        <v>1407</v>
      </c>
      <c r="L363" s="185"/>
      <c r="M363" s="188">
        <v>46255</v>
      </c>
      <c r="N363" s="71"/>
      <c r="O363" s="71"/>
      <c r="P363" s="71"/>
      <c r="Q363" s="71"/>
      <c r="R363" s="71"/>
      <c r="S363" t="s">
        <v>479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AÇOUGUE</v>
      </c>
      <c r="C364" s="72" t="str">
        <f ca="1">IF(D364="Inativo","Inativo",IFERROR(VLOOKUP($G364,Conf!$O:$Q,3,0),IFERROR(VLOOKUP($G364,Conf!$E:$F,2,0),VLOOKUP($S364,Conf!$K:$M,3,0))))</f>
        <v>DESOSSADOR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839</v>
      </c>
      <c r="G364" t="s">
        <v>604</v>
      </c>
      <c r="H364" s="71"/>
      <c r="I364" t="s">
        <v>244</v>
      </c>
      <c r="J364" s="187">
        <v>1</v>
      </c>
      <c r="K364" t="s">
        <v>1407</v>
      </c>
      <c r="L364" s="185"/>
      <c r="M364" s="188">
        <v>43166</v>
      </c>
      <c r="N364" s="71"/>
      <c r="O364" s="71"/>
      <c r="P364" s="71"/>
      <c r="Q364" s="71"/>
      <c r="R364" s="71"/>
      <c r="S364" t="s">
        <v>479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AÇOUGUE</v>
      </c>
      <c r="C365" s="72" t="str">
        <f ca="1">IF(D365="Inativo","Inativo",IFERROR(VLOOKUP($G365,Conf!$O:$Q,3,0),IFERROR(VLOOKUP($G365,Conf!$E:$F,2,0),VLOOKUP($S365,Conf!$K:$M,3,0))))</f>
        <v>DESOSSADOR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1266</v>
      </c>
      <c r="G365" t="s">
        <v>605</v>
      </c>
      <c r="H365" s="71"/>
      <c r="I365" t="s">
        <v>236</v>
      </c>
      <c r="J365" s="187">
        <v>1</v>
      </c>
      <c r="K365" t="s">
        <v>1407</v>
      </c>
      <c r="L365" s="185"/>
      <c r="M365" s="188">
        <v>44826</v>
      </c>
      <c r="N365" s="71"/>
      <c r="O365" s="71"/>
      <c r="P365" s="71"/>
      <c r="Q365" s="71"/>
      <c r="R365" s="71"/>
      <c r="S365" t="s">
        <v>479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AÇOUGUE</v>
      </c>
      <c r="C366" s="72" t="str">
        <f ca="1">IF(D366="Inativo","Inativo",IFERROR(VLOOKUP($G366,Conf!$O:$Q,3,0),IFERROR(VLOOKUP($G366,Conf!$E:$F,2,0),VLOOKUP($S366,Conf!$K:$M,3,0))))</f>
        <v>DESOSSADOR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1411</v>
      </c>
      <c r="G366" t="s">
        <v>602</v>
      </c>
      <c r="H366" s="71"/>
      <c r="I366" t="s">
        <v>244</v>
      </c>
      <c r="J366" s="187">
        <v>1</v>
      </c>
      <c r="K366" t="s">
        <v>1407</v>
      </c>
      <c r="L366" s="185"/>
      <c r="M366" s="188">
        <v>45261</v>
      </c>
      <c r="N366" s="71"/>
      <c r="Q366" s="71"/>
      <c r="R366" s="71"/>
      <c r="S366" t="s">
        <v>479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ENCARREGADO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1700</v>
      </c>
      <c r="G367" t="s">
        <v>606</v>
      </c>
      <c r="H367" s="71"/>
      <c r="I367" t="s">
        <v>322</v>
      </c>
      <c r="J367" s="187">
        <v>1</v>
      </c>
      <c r="K367" t="s">
        <v>1407</v>
      </c>
      <c r="L367" s="185"/>
      <c r="M367" s="188">
        <v>46028</v>
      </c>
      <c r="N367" s="71"/>
      <c r="O367" s="71"/>
      <c r="P367" s="71"/>
      <c r="Q367" s="71"/>
      <c r="R367" s="71"/>
      <c r="S367" t="s">
        <v>607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APRENDIZ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1711</v>
      </c>
      <c r="G368" t="s">
        <v>646</v>
      </c>
      <c r="H368" s="71"/>
      <c r="I368" t="s">
        <v>574</v>
      </c>
      <c r="J368" s="187">
        <v>1</v>
      </c>
      <c r="K368" t="s">
        <v>1407</v>
      </c>
      <c r="L368" s="185"/>
      <c r="M368" s="188">
        <v>46077</v>
      </c>
      <c r="N368" s="71"/>
      <c r="Q368" s="71"/>
      <c r="R368" s="71"/>
      <c r="S368" t="s">
        <v>340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APRENDIZ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1707</v>
      </c>
      <c r="G369" t="s">
        <v>647</v>
      </c>
      <c r="H369" s="71"/>
      <c r="I369" t="s">
        <v>574</v>
      </c>
      <c r="J369" s="187">
        <v>1</v>
      </c>
      <c r="K369" t="s">
        <v>1407</v>
      </c>
      <c r="L369" s="185"/>
      <c r="M369" s="188">
        <v>46077</v>
      </c>
      <c r="N369" s="71"/>
      <c r="O369" s="71"/>
      <c r="P369" s="71"/>
      <c r="Q369" s="71"/>
      <c r="R369" s="71"/>
      <c r="S369" t="s">
        <v>340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APRENDIZ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1709</v>
      </c>
      <c r="G370" t="s">
        <v>648</v>
      </c>
      <c r="H370" s="71"/>
      <c r="I370" t="s">
        <v>574</v>
      </c>
      <c r="J370" s="187">
        <v>1</v>
      </c>
      <c r="K370" t="s">
        <v>1407</v>
      </c>
      <c r="L370" s="185"/>
      <c r="M370" s="188">
        <v>46077</v>
      </c>
      <c r="N370" s="71"/>
      <c r="Q370" s="71"/>
      <c r="R370" s="71"/>
      <c r="S370" t="s">
        <v>340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APRENDIZ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1714</v>
      </c>
      <c r="G371" t="s">
        <v>649</v>
      </c>
      <c r="H371" s="71"/>
      <c r="I371" t="s">
        <v>574</v>
      </c>
      <c r="J371" s="187">
        <v>1</v>
      </c>
      <c r="K371" t="s">
        <v>1407</v>
      </c>
      <c r="L371" s="185"/>
      <c r="M371" s="188">
        <v>46077</v>
      </c>
      <c r="N371" s="71"/>
      <c r="O371" s="71"/>
      <c r="P371" s="71"/>
      <c r="Q371" s="71"/>
      <c r="R371" s="71"/>
      <c r="S371" t="s">
        <v>340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ADMINISTRATIVO</v>
      </c>
      <c r="C372" s="72" t="str">
        <f ca="1">IF(D372="Inativo","Inativo",IFERROR(VLOOKUP($G372,Conf!$O:$Q,3,0),IFERROR(VLOOKUP($G372,Conf!$E:$F,2,0),VLOOKUP($S372,Conf!$K:$M,3,0))))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749</v>
      </c>
      <c r="G372" t="s">
        <v>612</v>
      </c>
      <c r="H372" s="71"/>
      <c r="I372" t="s">
        <v>613</v>
      </c>
      <c r="J372" s="187">
        <v>1</v>
      </c>
      <c r="K372" t="s">
        <v>1407</v>
      </c>
      <c r="L372" s="185"/>
      <c r="M372" s="188">
        <v>42625</v>
      </c>
      <c r="N372" s="71"/>
      <c r="Q372" s="71"/>
      <c r="R372" s="71"/>
      <c r="S372" t="s">
        <v>256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ADMINISTRATIVO</v>
      </c>
      <c r="C373" s="72" t="str">
        <f ca="1">IF(D373="Inativo","Inativo",IFERROR(VLOOKUP($G373,Conf!$O:$Q,3,0),IFERROR(VLOOKUP($G373,Conf!$E:$F,2,0),VLOOKUP($S373,Conf!$K:$M,3,0))))</f>
        <v>CONTROLADORIA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1315</v>
      </c>
      <c r="G373" t="s">
        <v>614</v>
      </c>
      <c r="H373" s="71"/>
      <c r="I373" t="s">
        <v>406</v>
      </c>
      <c r="J373" s="187">
        <v>1</v>
      </c>
      <c r="K373" t="s">
        <v>1407</v>
      </c>
      <c r="L373" s="185"/>
      <c r="M373" s="188">
        <v>45006</v>
      </c>
      <c r="N373" s="71"/>
      <c r="O373" s="71"/>
      <c r="P373" s="71"/>
      <c r="Q373" s="71"/>
      <c r="R373" s="71"/>
      <c r="S373" t="s">
        <v>256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ADMINISTRATIVO</v>
      </c>
      <c r="C374" s="72" t="str">
        <f ca="1">IF(D374="Inativo","Inativo",IFERROR(VLOOKUP($G374,Conf!$O:$Q,3,0),IFERROR(VLOOKUP($G374,Conf!$E:$F,2,0),VLOOKUP($S374,Conf!$K:$M,3,0))))</f>
        <v>LIMPEZA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1157</v>
      </c>
      <c r="G374" t="s">
        <v>645</v>
      </c>
      <c r="H374" s="71"/>
      <c r="I374" t="s">
        <v>278</v>
      </c>
      <c r="J374" s="187">
        <v>1</v>
      </c>
      <c r="K374" t="s">
        <v>1407</v>
      </c>
      <c r="L374" s="185"/>
      <c r="M374" s="188">
        <v>44414</v>
      </c>
      <c r="N374" s="71"/>
      <c r="O374" s="71"/>
      <c r="P374" s="71"/>
      <c r="Q374" s="71"/>
      <c r="R374" s="71"/>
      <c r="S374" t="s">
        <v>333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ADMINISTRATIVO</v>
      </c>
      <c r="C375" s="72" t="str">
        <f ca="1">IF(D375="Inativo","Inativo",IFERROR(VLOOKUP($G375,Conf!$O:$Q,3,0),IFERROR(VLOOKUP($G375,Conf!$E:$F,2,0),VLOOKUP($S375,Conf!$K:$M,3,0))))</f>
        <v>LIMPEZA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1780</v>
      </c>
      <c r="G375" t="s">
        <v>1632</v>
      </c>
      <c r="H375" s="71"/>
      <c r="I375" t="s">
        <v>220</v>
      </c>
      <c r="J375" s="187">
        <v>1</v>
      </c>
      <c r="K375" t="s">
        <v>1407</v>
      </c>
      <c r="L375" s="185"/>
      <c r="M375" s="188">
        <v>46283</v>
      </c>
      <c r="N375" s="71"/>
      <c r="Q375" s="71"/>
      <c r="R375" s="71"/>
      <c r="S375" t="s">
        <v>333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CONFEITARIA</v>
      </c>
      <c r="C376" s="72" t="str">
        <f ca="1">IF(D376="Inativo","Inativo",IFERROR(VLOOKUP($G376,Conf!$O:$Q,3,0),IFERROR(VLOOKUP($G376,Conf!$E:$F,2,0),VLOOKUP($S376,Conf!$K:$M,3,0))))</f>
        <v>AUXILIAR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1775</v>
      </c>
      <c r="G376" t="s">
        <v>1592</v>
      </c>
      <c r="H376" s="71"/>
      <c r="I376" t="s">
        <v>401</v>
      </c>
      <c r="J376" s="187">
        <v>1</v>
      </c>
      <c r="K376" t="s">
        <v>1407</v>
      </c>
      <c r="L376" s="185"/>
      <c r="M376" s="188">
        <v>46274</v>
      </c>
      <c r="N376" s="71"/>
      <c r="Q376" s="71"/>
      <c r="R376" s="71"/>
      <c r="S376" t="s">
        <v>457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CONFEITARIA</v>
      </c>
      <c r="C377" s="72" t="str">
        <f ca="1">IF(D377="Inativo","Inativo",IFERROR(VLOOKUP($G377,Conf!$O:$Q,3,0),IFERROR(VLOOKUP($G377,Conf!$E:$F,2,0),VLOOKUP($S377,Conf!$K:$M,3,0))))</f>
        <v>CONFEITEIRO(A)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1735</v>
      </c>
      <c r="G377" t="s">
        <v>670</v>
      </c>
      <c r="H377" s="71"/>
      <c r="I377" t="s">
        <v>322</v>
      </c>
      <c r="J377" s="187">
        <v>1</v>
      </c>
      <c r="K377" t="s">
        <v>1407</v>
      </c>
      <c r="L377" s="185"/>
      <c r="M377" s="188">
        <v>46106</v>
      </c>
      <c r="N377" s="71"/>
      <c r="Q377" s="71"/>
      <c r="R377" s="71"/>
      <c r="S377" t="s">
        <v>245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DEPOSITO</v>
      </c>
      <c r="C378" s="72" t="str">
        <f ca="1">IF(D378="Inativo","Inativo",IFERROR(VLOOKUP($G378,Conf!$O:$Q,3,0),IFERROR(VLOOKUP($G378,Conf!$E:$F,2,0),VLOOKUP($S378,Conf!$K:$M,3,0))))</f>
        <v>AUXILIAR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1764</v>
      </c>
      <c r="G378" t="s">
        <v>1468</v>
      </c>
      <c r="H378" s="71"/>
      <c r="I378" t="s">
        <v>488</v>
      </c>
      <c r="J378" s="187">
        <v>1</v>
      </c>
      <c r="K378" t="s">
        <v>1407</v>
      </c>
      <c r="L378" s="185"/>
      <c r="M378" s="188">
        <v>46237</v>
      </c>
      <c r="N378" s="71"/>
      <c r="O378" s="71"/>
      <c r="P378" s="71"/>
      <c r="Q378" s="71"/>
      <c r="R378" s="71"/>
      <c r="S378" t="s">
        <v>248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DEPOSITO</v>
      </c>
      <c r="C379" s="72" t="str">
        <f ca="1">IF(D379="Inativo","Inativo",IFERROR(VLOOKUP($G379,Conf!$O:$Q,3,0),IFERROR(VLOOKUP($G379,Conf!$E:$F,2,0),VLOOKUP($S379,Conf!$K:$M,3,0))))</f>
        <v>CONFERENTE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1740</v>
      </c>
      <c r="G379" t="s">
        <v>610</v>
      </c>
      <c r="H379" s="71"/>
      <c r="I379" t="s">
        <v>611</v>
      </c>
      <c r="J379" s="187">
        <v>1</v>
      </c>
      <c r="K379" t="s">
        <v>1407</v>
      </c>
      <c r="L379" s="185"/>
      <c r="M379" s="188">
        <v>46121</v>
      </c>
      <c r="N379" s="71"/>
      <c r="Q379" s="71"/>
      <c r="R379" s="71"/>
      <c r="S379" t="s">
        <v>489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DEPOSITO</v>
      </c>
      <c r="C380" s="72" t="str">
        <f ca="1">IF(D380="Inativo","Inativo",IFERROR(VLOOKUP($G380,Conf!$O:$Q,3,0),IFERROR(VLOOKUP($G380,Conf!$E:$F,2,0),VLOOKUP($S380,Conf!$K:$M,3,0))))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187">
        <v>3</v>
      </c>
      <c r="F380" s="187">
        <v>130</v>
      </c>
      <c r="G380" t="s">
        <v>1406</v>
      </c>
      <c r="H380" s="71"/>
      <c r="I380" t="s">
        <v>406</v>
      </c>
      <c r="J380" s="187">
        <v>1</v>
      </c>
      <c r="K380" t="s">
        <v>1407</v>
      </c>
      <c r="L380" s="185"/>
      <c r="M380" s="188">
        <v>45853</v>
      </c>
      <c r="N380" s="71"/>
      <c r="Q380" s="71"/>
      <c r="R380" s="71"/>
      <c r="S380" t="s">
        <v>491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EMPACOTADOR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1757</v>
      </c>
      <c r="G381" t="s">
        <v>1410</v>
      </c>
      <c r="H381" s="71"/>
      <c r="I381" t="s">
        <v>220</v>
      </c>
      <c r="J381" s="187">
        <v>1</v>
      </c>
      <c r="K381" t="s">
        <v>1407</v>
      </c>
      <c r="L381" s="185"/>
      <c r="M381" s="188">
        <v>46206</v>
      </c>
      <c r="N381" s="71"/>
      <c r="Q381" s="71"/>
      <c r="R381" s="71"/>
      <c r="S381" t="s">
        <v>442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EMPACOTADOR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1461</v>
      </c>
      <c r="G382" t="s">
        <v>658</v>
      </c>
      <c r="H382" s="71"/>
      <c r="I382" t="s">
        <v>278</v>
      </c>
      <c r="J382" s="187">
        <v>1</v>
      </c>
      <c r="K382" t="s">
        <v>1407</v>
      </c>
      <c r="L382" s="185"/>
      <c r="M382" s="188">
        <v>45342</v>
      </c>
      <c r="N382" s="71"/>
      <c r="O382" s="71"/>
      <c r="P382" s="71"/>
      <c r="Q382" s="71"/>
      <c r="R382" s="71"/>
      <c r="S382" t="s">
        <v>529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EMPACOTADOR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957</v>
      </c>
      <c r="G383" t="s">
        <v>615</v>
      </c>
      <c r="H383" s="71"/>
      <c r="I383" t="s">
        <v>429</v>
      </c>
      <c r="J383" s="187">
        <v>1</v>
      </c>
      <c r="K383" t="s">
        <v>1407</v>
      </c>
      <c r="L383" s="185"/>
      <c r="M383" s="188">
        <v>43774</v>
      </c>
      <c r="N383" s="71"/>
      <c r="Q383" s="71"/>
      <c r="R383" s="71"/>
      <c r="S383" t="s">
        <v>442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EMPACOTADOR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412</v>
      </c>
      <c r="G384" t="s">
        <v>608</v>
      </c>
      <c r="H384" s="71"/>
      <c r="I384" t="s">
        <v>609</v>
      </c>
      <c r="J384" s="187">
        <v>1</v>
      </c>
      <c r="K384" t="s">
        <v>1407</v>
      </c>
      <c r="L384" s="185"/>
      <c r="M384" s="188">
        <v>41316</v>
      </c>
      <c r="N384" s="71"/>
      <c r="O384" s="71"/>
      <c r="P384" s="71"/>
      <c r="Q384" s="71"/>
      <c r="R384" s="71"/>
      <c r="S384" t="s">
        <v>248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ENCARREGADO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644</v>
      </c>
      <c r="G385" t="s">
        <v>616</v>
      </c>
      <c r="H385" s="71"/>
      <c r="I385" t="s">
        <v>297</v>
      </c>
      <c r="J385" s="187">
        <v>1</v>
      </c>
      <c r="K385" t="s">
        <v>1407</v>
      </c>
      <c r="L385" s="185"/>
      <c r="M385" s="188">
        <v>42081</v>
      </c>
      <c r="N385" s="71"/>
      <c r="Q385" s="71"/>
      <c r="R385" s="71"/>
      <c r="S385" t="s">
        <v>275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ENTREGADOR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1742</v>
      </c>
      <c r="G386" t="s">
        <v>640</v>
      </c>
      <c r="H386" s="71"/>
      <c r="I386" t="s">
        <v>222</v>
      </c>
      <c r="J386" s="187">
        <v>1</v>
      </c>
      <c r="K386" t="s">
        <v>1407</v>
      </c>
      <c r="L386" s="185"/>
      <c r="M386" s="188">
        <v>46127</v>
      </c>
      <c r="N386" s="71"/>
      <c r="O386" s="71"/>
      <c r="P386" s="71"/>
      <c r="Q386" s="71"/>
      <c r="R386" s="71"/>
      <c r="S386" t="s">
        <v>409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ESTACIONAMENTO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1754</v>
      </c>
      <c r="G387" t="s">
        <v>1343</v>
      </c>
      <c r="H387" s="71"/>
      <c r="I387" t="s">
        <v>278</v>
      </c>
      <c r="J387" s="187">
        <v>1</v>
      </c>
      <c r="K387" t="s">
        <v>1407</v>
      </c>
      <c r="L387" s="185"/>
      <c r="M387" s="188">
        <v>46190</v>
      </c>
      <c r="N387" s="71"/>
      <c r="Q387" s="71"/>
      <c r="R387" s="71"/>
      <c r="S387" t="s">
        <v>680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FISCAL DE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1715</v>
      </c>
      <c r="G388" t="s">
        <v>617</v>
      </c>
      <c r="H388" s="71"/>
      <c r="I388" t="s">
        <v>429</v>
      </c>
      <c r="J388" s="187">
        <v>1</v>
      </c>
      <c r="K388" t="s">
        <v>1407</v>
      </c>
      <c r="L388" s="185"/>
      <c r="M388" s="188">
        <v>46077</v>
      </c>
      <c r="N388" s="71"/>
      <c r="O388" s="71"/>
      <c r="P388" s="71"/>
      <c r="Q388" s="71"/>
      <c r="R388" s="71"/>
      <c r="S388" t="s">
        <v>279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FISCAL DE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326</v>
      </c>
      <c r="G389" t="s">
        <v>618</v>
      </c>
      <c r="H389" s="71"/>
      <c r="I389" t="s">
        <v>619</v>
      </c>
      <c r="J389" s="187">
        <v>1</v>
      </c>
      <c r="K389" t="s">
        <v>1407</v>
      </c>
      <c r="L389" s="185"/>
      <c r="M389" s="188">
        <v>41183</v>
      </c>
      <c r="N389" s="71"/>
      <c r="O389" s="71"/>
      <c r="P389" s="71"/>
      <c r="Q389" s="71"/>
      <c r="R389" s="71"/>
      <c r="S389" t="s">
        <v>279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FISCAL DE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385</v>
      </c>
      <c r="G390" t="s">
        <v>620</v>
      </c>
      <c r="H390" s="71"/>
      <c r="I390" t="s">
        <v>322</v>
      </c>
      <c r="J390" s="187">
        <v>1</v>
      </c>
      <c r="K390" t="s">
        <v>1407</v>
      </c>
      <c r="L390" s="185"/>
      <c r="M390" s="188">
        <v>41232</v>
      </c>
      <c r="N390" s="71"/>
      <c r="Q390" s="71"/>
      <c r="R390" s="71"/>
      <c r="S390" t="s">
        <v>279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FISCAL DE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1732</v>
      </c>
      <c r="G391" t="s">
        <v>633</v>
      </c>
      <c r="H391" s="71"/>
      <c r="I391" t="s">
        <v>220</v>
      </c>
      <c r="J391" s="187">
        <v>1</v>
      </c>
      <c r="K391" t="s">
        <v>1407</v>
      </c>
      <c r="L391" s="185"/>
      <c r="M391" s="188">
        <v>46101</v>
      </c>
      <c r="N391" s="71"/>
      <c r="O391" s="71"/>
      <c r="P391" s="71"/>
      <c r="Q391" s="71"/>
      <c r="R391" s="71"/>
      <c r="S391" t="s">
        <v>279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1783</v>
      </c>
      <c r="G392" t="s">
        <v>1644</v>
      </c>
      <c r="H392" s="71"/>
      <c r="I392" t="s">
        <v>220</v>
      </c>
      <c r="J392" s="187">
        <v>1</v>
      </c>
      <c r="K392" t="s">
        <v>1407</v>
      </c>
      <c r="L392" s="185"/>
      <c r="M392" s="188">
        <v>46288</v>
      </c>
      <c r="N392" s="71"/>
      <c r="O392" s="71"/>
      <c r="P392" s="71"/>
      <c r="Q392" s="71"/>
      <c r="R392" s="71"/>
      <c r="S392" t="s">
        <v>282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1666</v>
      </c>
      <c r="G393" t="s">
        <v>621</v>
      </c>
      <c r="H393" s="71"/>
      <c r="I393" t="s">
        <v>220</v>
      </c>
      <c r="J393" s="187">
        <v>1</v>
      </c>
      <c r="K393" t="s">
        <v>1407</v>
      </c>
      <c r="L393" s="185"/>
      <c r="M393" s="188">
        <v>45946</v>
      </c>
      <c r="N393" s="71"/>
      <c r="O393" s="71"/>
      <c r="P393" s="71"/>
      <c r="Q393" s="71"/>
      <c r="R393" s="71"/>
      <c r="S393" t="s">
        <v>282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1608</v>
      </c>
      <c r="G394" t="s">
        <v>622</v>
      </c>
      <c r="H394" s="71"/>
      <c r="I394" t="s">
        <v>220</v>
      </c>
      <c r="J394" s="187">
        <v>1</v>
      </c>
      <c r="K394" t="s">
        <v>1407</v>
      </c>
      <c r="L394" s="185"/>
      <c r="M394" s="188">
        <v>45734</v>
      </c>
      <c r="N394" s="71"/>
      <c r="O394" s="71"/>
      <c r="P394" s="71"/>
      <c r="Q394" s="71"/>
      <c r="R394" s="71"/>
      <c r="S394" t="s">
        <v>282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1293</v>
      </c>
      <c r="G395" t="s">
        <v>623</v>
      </c>
      <c r="H395" s="71"/>
      <c r="I395" t="s">
        <v>220</v>
      </c>
      <c r="J395" s="187">
        <v>1</v>
      </c>
      <c r="K395" t="s">
        <v>1407</v>
      </c>
      <c r="L395" s="185"/>
      <c r="M395" s="188">
        <v>44932</v>
      </c>
      <c r="N395" s="71"/>
      <c r="O395" s="71"/>
      <c r="P395" s="71"/>
      <c r="Q395" s="71"/>
      <c r="R395" s="71"/>
      <c r="S395" t="s">
        <v>282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1686</v>
      </c>
      <c r="G396" t="s">
        <v>624</v>
      </c>
      <c r="H396" s="71"/>
      <c r="I396" t="s">
        <v>220</v>
      </c>
      <c r="J396" s="187">
        <v>1</v>
      </c>
      <c r="K396" t="s">
        <v>1407</v>
      </c>
      <c r="L396" s="185"/>
      <c r="M396" s="188">
        <v>45986</v>
      </c>
      <c r="N396" s="71"/>
      <c r="Q396" s="71"/>
      <c r="R396" s="71"/>
      <c r="S396" t="s">
        <v>282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1429</v>
      </c>
      <c r="G397" t="s">
        <v>625</v>
      </c>
      <c r="H397" s="71"/>
      <c r="I397" t="s">
        <v>220</v>
      </c>
      <c r="J397" s="187">
        <v>1</v>
      </c>
      <c r="K397" t="s">
        <v>1407</v>
      </c>
      <c r="L397" s="185"/>
      <c r="M397" s="188">
        <v>45308</v>
      </c>
      <c r="N397" s="71"/>
      <c r="Q397" s="71"/>
      <c r="R397" s="71"/>
      <c r="S397" t="s">
        <v>282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1427</v>
      </c>
      <c r="G398" t="s">
        <v>626</v>
      </c>
      <c r="H398" s="71"/>
      <c r="I398" t="s">
        <v>322</v>
      </c>
      <c r="J398" s="187">
        <v>1</v>
      </c>
      <c r="K398" t="s">
        <v>1407</v>
      </c>
      <c r="L398" s="185"/>
      <c r="M398" s="188">
        <v>45308</v>
      </c>
      <c r="N398" s="71"/>
      <c r="Q398" s="71"/>
      <c r="R398" s="71"/>
      <c r="S398" t="s">
        <v>282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1746</v>
      </c>
      <c r="G399" t="s">
        <v>627</v>
      </c>
      <c r="H399" s="71"/>
      <c r="I399" t="s">
        <v>220</v>
      </c>
      <c r="J399" s="187">
        <v>1</v>
      </c>
      <c r="K399" t="s">
        <v>1407</v>
      </c>
      <c r="L399" s="185"/>
      <c r="M399" s="188">
        <v>46149</v>
      </c>
      <c r="N399" s="71"/>
      <c r="Q399" s="71"/>
      <c r="R399" s="71"/>
      <c r="S399" t="s">
        <v>282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1747</v>
      </c>
      <c r="G400" t="s">
        <v>628</v>
      </c>
      <c r="H400" s="71"/>
      <c r="I400" t="s">
        <v>220</v>
      </c>
      <c r="J400" s="187">
        <v>1</v>
      </c>
      <c r="K400" t="s">
        <v>1407</v>
      </c>
      <c r="L400" s="185"/>
      <c r="M400" s="188">
        <v>46164</v>
      </c>
      <c r="N400" s="71"/>
      <c r="Q400" s="71"/>
      <c r="R400" s="71"/>
      <c r="S400" t="s">
        <v>282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Afastamento</v>
      </c>
      <c r="E401" s="187">
        <v>5</v>
      </c>
      <c r="F401" s="187">
        <v>684</v>
      </c>
      <c r="G401" t="s">
        <v>629</v>
      </c>
      <c r="H401" s="71"/>
      <c r="I401" t="s">
        <v>278</v>
      </c>
      <c r="J401" s="187">
        <v>3</v>
      </c>
      <c r="K401" t="s">
        <v>1529</v>
      </c>
      <c r="L401" s="185"/>
      <c r="M401" s="188">
        <v>42256</v>
      </c>
      <c r="N401" s="71"/>
      <c r="O401" s="71"/>
      <c r="P401" s="71"/>
      <c r="Q401" s="71"/>
      <c r="R401" s="71"/>
      <c r="S401" t="s">
        <v>282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FRENTE DE CAIXA</v>
      </c>
      <c r="C402" s="72" t="str">
        <f ca="1">IF(D402="Inativo","Inativo",IFERROR(VLOOKUP($G402,Conf!$O:$Q,3,0),IFERROR(VLOOKUP($G402,Conf!$E:$F,2,0),VLOOKUP($S402,Conf!$K:$M,3,0))))</f>
        <v>OPERADOR CAIXA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1393</v>
      </c>
      <c r="G402" t="s">
        <v>631</v>
      </c>
      <c r="H402" s="71"/>
      <c r="I402" t="s">
        <v>220</v>
      </c>
      <c r="J402" s="187">
        <v>1</v>
      </c>
      <c r="K402" t="s">
        <v>1407</v>
      </c>
      <c r="L402" s="185"/>
      <c r="M402" s="188">
        <v>45215</v>
      </c>
      <c r="N402" s="71"/>
      <c r="O402" s="71"/>
      <c r="P402" s="71"/>
      <c r="Q402" s="71"/>
      <c r="R402" s="71"/>
      <c r="S402" t="s">
        <v>282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FRENTE DE CAIXA</v>
      </c>
      <c r="C403" s="72" t="str">
        <f ca="1">IF(D403="Inativo","Inativo",IFERROR(VLOOKUP($G403,Conf!$O:$Q,3,0),IFERROR(VLOOKUP($G403,Conf!$E:$F,2,0),VLOOKUP($S403,Conf!$K:$M,3,0))))</f>
        <v>OPERADOR CAIXA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1776</v>
      </c>
      <c r="G403" t="s">
        <v>1601</v>
      </c>
      <c r="H403" s="71"/>
      <c r="I403" t="s">
        <v>304</v>
      </c>
      <c r="J403" s="187">
        <v>1</v>
      </c>
      <c r="K403" t="s">
        <v>1407</v>
      </c>
      <c r="L403" s="185"/>
      <c r="M403" s="188">
        <v>46279</v>
      </c>
      <c r="N403" s="71"/>
      <c r="Q403" s="71"/>
      <c r="R403" s="71"/>
      <c r="S403" t="s">
        <v>282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FRENTE DE CAIXA</v>
      </c>
      <c r="C404" s="72" t="str">
        <f ca="1">IF(D404="Inativo","Inativo",IFERROR(VLOOKUP($G404,Conf!$O:$Q,3,0),IFERROR(VLOOKUP($G404,Conf!$E:$F,2,0),VLOOKUP($S404,Conf!$K:$M,3,0))))</f>
        <v>OPERADOR CAIXA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1752</v>
      </c>
      <c r="G404" t="s">
        <v>1310</v>
      </c>
      <c r="H404" s="71"/>
      <c r="I404" t="s">
        <v>220</v>
      </c>
      <c r="J404" s="187">
        <v>1</v>
      </c>
      <c r="K404" t="s">
        <v>1407</v>
      </c>
      <c r="L404" s="185"/>
      <c r="M404" s="188">
        <v>46184</v>
      </c>
      <c r="N404" s="71"/>
      <c r="Q404" s="71"/>
      <c r="R404" s="71"/>
      <c r="S404" t="s">
        <v>282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OPERADOR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1690</v>
      </c>
      <c r="G405" t="s">
        <v>632</v>
      </c>
      <c r="H405" s="71"/>
      <c r="I405" t="s">
        <v>297</v>
      </c>
      <c r="J405" s="187">
        <v>1</v>
      </c>
      <c r="K405" t="s">
        <v>1407</v>
      </c>
      <c r="L405" s="185"/>
      <c r="M405" s="188">
        <v>45992</v>
      </c>
      <c r="N405" s="71"/>
      <c r="Q405" s="71"/>
      <c r="R405" s="71"/>
      <c r="S405" t="s">
        <v>282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FRENTE DE CAIXA</v>
      </c>
      <c r="C406" s="72" t="str">
        <f ca="1">IF(D406="Inativo","Inativo",IFERROR(VLOOKUP($G406,Conf!$O:$Q,3,0),IFERROR(VLOOKUP($G406,Conf!$E:$F,2,0),VLOOKUP($S406,Conf!$K:$M,3,0))))</f>
        <v>OPERADOR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1751</v>
      </c>
      <c r="G406" t="s">
        <v>1311</v>
      </c>
      <c r="H406" s="71"/>
      <c r="I406" t="s">
        <v>297</v>
      </c>
      <c r="J406" s="187">
        <v>1</v>
      </c>
      <c r="K406" t="s">
        <v>1407</v>
      </c>
      <c r="L406" s="185"/>
      <c r="M406" s="188">
        <v>46183</v>
      </c>
      <c r="N406" s="71"/>
      <c r="Q406" s="71"/>
      <c r="R406" s="71"/>
      <c r="S406" t="s">
        <v>282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FRENTE DE CAIXA</v>
      </c>
      <c r="C407" s="72" t="str">
        <f ca="1">IF(D407="Inativo","Inativo",IFERROR(VLOOKUP($G407,Conf!$O:$Q,3,0),IFERROR(VLOOKUP($G407,Conf!$E:$F,2,0),VLOOKUP($S407,Conf!$K:$M,3,0))))</f>
        <v>OPERADOR CAIXA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1778</v>
      </c>
      <c r="G407" t="s">
        <v>1631</v>
      </c>
      <c r="H407" s="71"/>
      <c r="I407" t="s">
        <v>220</v>
      </c>
      <c r="J407" s="187">
        <v>1</v>
      </c>
      <c r="K407" t="s">
        <v>1407</v>
      </c>
      <c r="L407" s="185"/>
      <c r="M407" s="188">
        <v>46283</v>
      </c>
      <c r="N407" s="71"/>
      <c r="O407" s="71"/>
      <c r="P407" s="71"/>
      <c r="Q407" s="71"/>
      <c r="R407" s="71"/>
      <c r="S407" t="s">
        <v>282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1283</v>
      </c>
      <c r="G408" t="s">
        <v>634</v>
      </c>
      <c r="H408" s="71"/>
      <c r="I408" t="s">
        <v>297</v>
      </c>
      <c r="J408" s="187">
        <v>1</v>
      </c>
      <c r="K408" t="s">
        <v>1407</v>
      </c>
      <c r="L408" s="185"/>
      <c r="M408" s="188">
        <v>44888</v>
      </c>
      <c r="N408" s="71"/>
      <c r="O408" s="71"/>
      <c r="P408" s="71"/>
      <c r="Q408" s="71"/>
      <c r="R408" s="71"/>
      <c r="S408" t="s">
        <v>282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FRENTE DE CAIXA</v>
      </c>
      <c r="C409" s="72" t="str">
        <f ca="1">IF(D409="Inativo","Inativo",IFERROR(VLOOKUP($G409,Conf!$O:$Q,3,0),IFERROR(VLOOKUP($G409,Conf!$E:$F,2,0),VLOOKUP($S409,Conf!$K:$M,3,0))))</f>
        <v>OPERADOR CAIXA</v>
      </c>
      <c r="D409" s="72" t="str">
        <f ca="1">IFERROR(IF(TODAY()-K409&gt;365,"Inativo",IF(J409=2,"Férias",IF(J409=7,"Demitido","Afastamento"))),VLOOKUP(J409,Conf!$H:$I,2,0))</f>
        <v>Férias</v>
      </c>
      <c r="E409" s="187">
        <v>5</v>
      </c>
      <c r="F409" s="187">
        <v>1372</v>
      </c>
      <c r="G409" t="s">
        <v>635</v>
      </c>
      <c r="H409" s="71"/>
      <c r="I409" t="s">
        <v>297</v>
      </c>
      <c r="J409" s="187">
        <v>2</v>
      </c>
      <c r="K409" t="s">
        <v>1579</v>
      </c>
      <c r="L409" s="185"/>
      <c r="M409" s="188">
        <v>45170</v>
      </c>
      <c r="N409" s="71"/>
      <c r="Q409" s="71"/>
      <c r="R409" s="71"/>
      <c r="S409" t="s">
        <v>282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FRIOS</v>
      </c>
      <c r="C410" s="72" t="str">
        <f ca="1">IF(D410="Inativo","Inativo",IFERROR(VLOOKUP($G410,Conf!$O:$Q,3,0),IFERROR(VLOOKUP($G410,Conf!$E:$F,2,0),VLOOKUP($S410,Conf!$K:$M,3,0))))</f>
        <v>ATENDENTE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1092</v>
      </c>
      <c r="G410" t="s">
        <v>636</v>
      </c>
      <c r="H410" s="71"/>
      <c r="I410" t="s">
        <v>322</v>
      </c>
      <c r="J410" s="187">
        <v>1</v>
      </c>
      <c r="K410" t="s">
        <v>1407</v>
      </c>
      <c r="L410" s="185"/>
      <c r="M410" s="188">
        <v>44210</v>
      </c>
      <c r="N410" s="71"/>
      <c r="Q410" s="71"/>
      <c r="R410" s="71"/>
      <c r="S410" t="s">
        <v>307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FRIOS</v>
      </c>
      <c r="C411" s="72" t="str">
        <f ca="1">IF(D411="Inativo","Inativo",IFERROR(VLOOKUP($G411,Conf!$O:$Q,3,0),IFERROR(VLOOKUP($G411,Conf!$E:$F,2,0),VLOOKUP($S411,Conf!$K:$M,3,0))))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1325</v>
      </c>
      <c r="G411" t="s">
        <v>637</v>
      </c>
      <c r="H411" s="71"/>
      <c r="I411" t="s">
        <v>322</v>
      </c>
      <c r="J411" s="187">
        <v>1</v>
      </c>
      <c r="K411" t="s">
        <v>1407</v>
      </c>
      <c r="L411" s="185"/>
      <c r="M411" s="188">
        <v>45028</v>
      </c>
      <c r="N411" s="71"/>
      <c r="Q411" s="71"/>
      <c r="R411" s="71"/>
      <c r="S411" t="s">
        <v>307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FRIOS</v>
      </c>
      <c r="C412" s="72" t="str">
        <f ca="1">IF(D412="Inativo","Inativo",IFERROR(VLOOKUP($G412,Conf!$O:$Q,3,0),IFERROR(VLOOKUP($G412,Conf!$E:$F,2,0),VLOOKUP($S412,Conf!$K:$M,3,0))))</f>
        <v>ENCARREGADO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496</v>
      </c>
      <c r="G412" t="s">
        <v>638</v>
      </c>
      <c r="H412" s="71"/>
      <c r="I412" t="s">
        <v>278</v>
      </c>
      <c r="J412" s="187">
        <v>1</v>
      </c>
      <c r="K412" t="s">
        <v>1407</v>
      </c>
      <c r="L412" s="185"/>
      <c r="M412" s="188">
        <v>41540</v>
      </c>
      <c r="N412" s="71"/>
      <c r="O412" s="71"/>
      <c r="P412" s="71"/>
      <c r="Q412" s="71"/>
      <c r="R412" s="71"/>
      <c r="S412" t="s">
        <v>639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FRIOS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1730</v>
      </c>
      <c r="G413" t="s">
        <v>666</v>
      </c>
      <c r="H413" s="71"/>
      <c r="I413" t="s">
        <v>220</v>
      </c>
      <c r="J413" s="187">
        <v>1</v>
      </c>
      <c r="K413" t="s">
        <v>1407</v>
      </c>
      <c r="L413" s="185"/>
      <c r="M413" s="188">
        <v>46100</v>
      </c>
      <c r="N413" s="71"/>
      <c r="O413" s="71"/>
      <c r="P413" s="71"/>
      <c r="Q413" s="71"/>
      <c r="R413" s="71"/>
      <c r="S413" t="s">
        <v>641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GERÊNCIA</v>
      </c>
      <c r="C414" s="72" t="str">
        <f ca="1">IF(D414="Inativo","Inativo",IFERROR(VLOOKUP($G414,Conf!$O:$Q,3,0),IFERROR(VLOOKUP($G414,Conf!$E:$F,2,0),VLOOKUP($S414,Conf!$K:$M,3,0))))</f>
        <v>GERENTE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1551</v>
      </c>
      <c r="G414" t="s">
        <v>652</v>
      </c>
      <c r="H414" s="71"/>
      <c r="I414" t="s">
        <v>353</v>
      </c>
      <c r="J414" s="187">
        <v>1</v>
      </c>
      <c r="K414" t="s">
        <v>1407</v>
      </c>
      <c r="L414" s="185"/>
      <c r="M414" s="188">
        <v>45597</v>
      </c>
      <c r="N414" s="71"/>
      <c r="Q414" s="71"/>
      <c r="R414" s="71"/>
      <c r="S414" t="s">
        <v>354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GERÊNCIA</v>
      </c>
      <c r="C415" s="72" t="str">
        <f ca="1">IF(D415="Inativo","Inativo",IFERROR(VLOOKUP($G415,Conf!$O:$Q,3,0),IFERROR(VLOOKUP($G415,Conf!$E:$F,2,0),VLOOKUP($S415,Conf!$K:$M,3,0))))</f>
        <v>SUBGERENTE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1705</v>
      </c>
      <c r="G415" t="s">
        <v>667</v>
      </c>
      <c r="H415" s="71"/>
      <c r="I415" t="s">
        <v>353</v>
      </c>
      <c r="J415" s="187">
        <v>1</v>
      </c>
      <c r="K415" t="s">
        <v>1407</v>
      </c>
      <c r="L415" s="185"/>
      <c r="M415" s="188">
        <v>46062</v>
      </c>
      <c r="N415" s="71"/>
      <c r="O415" s="71"/>
      <c r="P415" s="71"/>
      <c r="Q415" s="71"/>
      <c r="R415" s="71"/>
      <c r="S415" t="s">
        <v>668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HORTIFRUTI</v>
      </c>
      <c r="C416" s="72" t="str">
        <f ca="1">IF(D416="Inativo","Inativo",IFERROR(VLOOKUP($G416,Conf!$O:$Q,3,0),IFERROR(VLOOKUP($G416,Conf!$E:$F,2,0),VLOOKUP($S416,Conf!$K:$M,3,0))))</f>
        <v>ENCARREGADO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1078</v>
      </c>
      <c r="G416" t="s">
        <v>642</v>
      </c>
      <c r="H416" s="71"/>
      <c r="I416" t="s">
        <v>322</v>
      </c>
      <c r="J416" s="187">
        <v>1</v>
      </c>
      <c r="K416" t="s">
        <v>1407</v>
      </c>
      <c r="L416" s="185"/>
      <c r="M416" s="188">
        <v>44151</v>
      </c>
      <c r="N416" s="71"/>
      <c r="Q416" s="71"/>
      <c r="R416" s="71"/>
      <c r="S416" t="s">
        <v>434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HORTIFRUTI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Demitido</v>
      </c>
      <c r="E417" s="187">
        <v>5</v>
      </c>
      <c r="F417" s="187">
        <v>1574</v>
      </c>
      <c r="G417" t="s">
        <v>661</v>
      </c>
      <c r="H417" s="71"/>
      <c r="I417" t="s">
        <v>222</v>
      </c>
      <c r="J417" s="187">
        <v>7</v>
      </c>
      <c r="K417" t="s">
        <v>1594</v>
      </c>
      <c r="L417" s="185"/>
      <c r="M417" s="188">
        <v>45638</v>
      </c>
      <c r="N417" s="71"/>
      <c r="O417" s="71"/>
      <c r="P417" s="71"/>
      <c r="Q417" s="71"/>
      <c r="R417" s="71"/>
      <c r="S417" t="s">
        <v>529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HORTIFRUTI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1516</v>
      </c>
      <c r="G418" t="s">
        <v>662</v>
      </c>
      <c r="H418" s="71"/>
      <c r="I418" t="s">
        <v>663</v>
      </c>
      <c r="J418" s="187">
        <v>1</v>
      </c>
      <c r="K418" t="s">
        <v>1407</v>
      </c>
      <c r="L418" s="185"/>
      <c r="M418" s="188">
        <v>45475</v>
      </c>
      <c r="N418" s="71"/>
      <c r="O418" s="71"/>
      <c r="P418" s="71"/>
      <c r="Q418" s="71"/>
      <c r="R418" s="71"/>
      <c r="S418" t="s">
        <v>529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HORTIFRUTI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1307</v>
      </c>
      <c r="G419" t="s">
        <v>664</v>
      </c>
      <c r="H419" s="71"/>
      <c r="I419" t="s">
        <v>290</v>
      </c>
      <c r="J419" s="187">
        <v>1</v>
      </c>
      <c r="K419" t="s">
        <v>1407</v>
      </c>
      <c r="L419" s="185"/>
      <c r="M419" s="188">
        <v>44982</v>
      </c>
      <c r="N419" s="71"/>
      <c r="O419" s="71"/>
      <c r="P419" s="71"/>
      <c r="Q419" s="71"/>
      <c r="R419" s="71"/>
      <c r="S419" t="s">
        <v>529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CARTAZISTA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1451</v>
      </c>
      <c r="G420" t="s">
        <v>650</v>
      </c>
      <c r="H420" s="71"/>
      <c r="I420" t="s">
        <v>244</v>
      </c>
      <c r="J420" s="187">
        <v>1</v>
      </c>
      <c r="K420" t="s">
        <v>1407</v>
      </c>
      <c r="L420" s="185"/>
      <c r="M420" s="188">
        <v>45334</v>
      </c>
      <c r="N420" s="71"/>
      <c r="O420" s="71"/>
      <c r="P420" s="71"/>
      <c r="Q420" s="71"/>
      <c r="R420" s="71"/>
      <c r="S420" t="s">
        <v>349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ENCARREGADO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813</v>
      </c>
      <c r="G421" t="s">
        <v>651</v>
      </c>
      <c r="H421" s="71"/>
      <c r="I421" t="s">
        <v>322</v>
      </c>
      <c r="J421" s="187">
        <v>1</v>
      </c>
      <c r="K421" t="s">
        <v>1407</v>
      </c>
      <c r="L421" s="185"/>
      <c r="M421" s="188">
        <v>43067</v>
      </c>
      <c r="N421" s="71"/>
      <c r="Q421" s="71"/>
      <c r="R421" s="71"/>
      <c r="S421" t="s">
        <v>351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1772</v>
      </c>
      <c r="G422" t="s">
        <v>1537</v>
      </c>
      <c r="H422" s="71"/>
      <c r="I422" t="s">
        <v>220</v>
      </c>
      <c r="J422" s="187">
        <v>1</v>
      </c>
      <c r="K422" t="s">
        <v>1407</v>
      </c>
      <c r="L422" s="185"/>
      <c r="M422" s="188">
        <v>46259</v>
      </c>
      <c r="N422" s="71"/>
      <c r="Q422" s="71"/>
      <c r="R422" s="71"/>
      <c r="S422" t="s">
        <v>529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1572</v>
      </c>
      <c r="G423" t="s">
        <v>653</v>
      </c>
      <c r="H423" s="71"/>
      <c r="I423" t="s">
        <v>220</v>
      </c>
      <c r="J423" s="187">
        <v>1</v>
      </c>
      <c r="K423" t="s">
        <v>1407</v>
      </c>
      <c r="L423" s="185"/>
      <c r="M423" s="188">
        <v>45637</v>
      </c>
      <c r="N423" s="71"/>
      <c r="Q423" s="71"/>
      <c r="R423" s="71"/>
      <c r="S423" t="s">
        <v>529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1767</v>
      </c>
      <c r="G424" t="s">
        <v>1520</v>
      </c>
      <c r="H424" s="71"/>
      <c r="I424" t="s">
        <v>360</v>
      </c>
      <c r="J424" s="187">
        <v>1</v>
      </c>
      <c r="K424" t="s">
        <v>1407</v>
      </c>
      <c r="L424" s="185"/>
      <c r="M424" s="188">
        <v>46253</v>
      </c>
      <c r="N424" s="71"/>
      <c r="O424" s="71"/>
      <c r="P424" s="71"/>
      <c r="Q424" s="71"/>
      <c r="R424" s="71"/>
      <c r="S424" t="s">
        <v>529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1675</v>
      </c>
      <c r="G425" t="s">
        <v>654</v>
      </c>
      <c r="H425" s="71"/>
      <c r="I425" t="s">
        <v>220</v>
      </c>
      <c r="J425" s="187">
        <v>1</v>
      </c>
      <c r="K425" t="s">
        <v>1407</v>
      </c>
      <c r="L425" s="185"/>
      <c r="M425" s="188">
        <v>45953</v>
      </c>
      <c r="N425" s="71"/>
      <c r="O425" s="71"/>
      <c r="P425" s="71"/>
      <c r="Q425" s="71"/>
      <c r="R425" s="71"/>
      <c r="S425" t="s">
        <v>529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LOJA</v>
      </c>
      <c r="C426" s="72" t="str">
        <f ca="1">IF(D426="Inativo","Inativo",IFERROR(VLOOKUP($G426,Conf!$O:$Q,3,0),IFERROR(VLOOKUP($G426,Conf!$E:$F,2,0),VLOOKUP($S426,Conf!$K:$M,3,0))))</f>
        <v>REPOSITOR</v>
      </c>
      <c r="D426" s="72" t="str">
        <f ca="1">IFERROR(IF(TODAY()-K426&gt;365,"Inativo",IF(J426=2,"Férias",IF(J426=7,"Demitido","Afastamento"))),VLOOKUP(J426,Conf!$H:$I,2,0))</f>
        <v>Férias</v>
      </c>
      <c r="E426" s="187">
        <v>5</v>
      </c>
      <c r="F426" s="187">
        <v>1473</v>
      </c>
      <c r="G426" t="s">
        <v>655</v>
      </c>
      <c r="H426" s="71"/>
      <c r="I426" t="s">
        <v>220</v>
      </c>
      <c r="J426" s="187">
        <v>2</v>
      </c>
      <c r="K426" t="s">
        <v>1579</v>
      </c>
      <c r="L426" s="185"/>
      <c r="M426" s="188">
        <v>45364</v>
      </c>
      <c r="N426" s="71"/>
      <c r="O426" s="71"/>
      <c r="P426" s="71"/>
      <c r="Q426" s="71"/>
      <c r="R426" s="71"/>
      <c r="S426" t="s">
        <v>529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REPOSITOR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1774</v>
      </c>
      <c r="G427" t="s">
        <v>1591</v>
      </c>
      <c r="H427" s="71"/>
      <c r="I427" t="s">
        <v>304</v>
      </c>
      <c r="J427" s="187">
        <v>1</v>
      </c>
      <c r="K427" t="s">
        <v>1407</v>
      </c>
      <c r="L427" s="185"/>
      <c r="M427" s="188">
        <v>46274</v>
      </c>
      <c r="N427" s="71"/>
      <c r="O427" s="71"/>
      <c r="P427" s="71"/>
      <c r="Q427" s="71"/>
      <c r="R427" s="71"/>
      <c r="S427" t="s">
        <v>529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Afastamento</v>
      </c>
      <c r="E428" s="187">
        <v>5</v>
      </c>
      <c r="F428" s="187">
        <v>1409</v>
      </c>
      <c r="G428" t="s">
        <v>656</v>
      </c>
      <c r="H428" s="71"/>
      <c r="I428" t="s">
        <v>657</v>
      </c>
      <c r="J428" s="187">
        <v>14</v>
      </c>
      <c r="K428" t="s">
        <v>1637</v>
      </c>
      <c r="L428" s="185"/>
      <c r="M428" s="188">
        <v>45252</v>
      </c>
      <c r="N428" s="71"/>
      <c r="Q428" s="71"/>
      <c r="R428" s="71"/>
      <c r="S428" t="s">
        <v>529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LOJA</v>
      </c>
      <c r="C429" s="72" t="str">
        <f ca="1">IF(D429="Inativo","Inativo",IFERROR(VLOOKUP($G429,Conf!$O:$Q,3,0),IFERROR(VLOOKUP($G429,Conf!$E:$F,2,0),VLOOKUP($S429,Conf!$K:$M,3,0))))</f>
        <v>REPOSITOR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1661</v>
      </c>
      <c r="G429" t="s">
        <v>659</v>
      </c>
      <c r="H429" s="71"/>
      <c r="I429" t="s">
        <v>220</v>
      </c>
      <c r="J429" s="187">
        <v>1</v>
      </c>
      <c r="K429" t="s">
        <v>1407</v>
      </c>
      <c r="L429" s="185"/>
      <c r="M429" s="188">
        <v>45938</v>
      </c>
      <c r="N429" s="71"/>
      <c r="Q429" s="71"/>
      <c r="R429" s="71"/>
      <c r="S429" t="s">
        <v>529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Demitido</v>
      </c>
      <c r="E430" s="187">
        <v>5</v>
      </c>
      <c r="F430" s="187">
        <v>1748</v>
      </c>
      <c r="G430" t="s">
        <v>665</v>
      </c>
      <c r="H430" s="71"/>
      <c r="I430" t="s">
        <v>220</v>
      </c>
      <c r="J430" s="187">
        <v>7</v>
      </c>
      <c r="K430" t="s">
        <v>1579</v>
      </c>
      <c r="L430" s="185"/>
      <c r="M430" s="188">
        <v>46165</v>
      </c>
      <c r="N430" s="71"/>
      <c r="Q430" s="71"/>
      <c r="R430" s="71"/>
      <c r="S430" t="s">
        <v>529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ATENDENTE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1722</v>
      </c>
      <c r="G431" t="s">
        <v>669</v>
      </c>
      <c r="H431" s="71"/>
      <c r="I431" t="s">
        <v>220</v>
      </c>
      <c r="J431" s="187">
        <v>1</v>
      </c>
      <c r="K431" t="s">
        <v>1407</v>
      </c>
      <c r="L431" s="185"/>
      <c r="M431" s="188">
        <v>46093</v>
      </c>
      <c r="N431" s="71"/>
      <c r="Q431" s="71"/>
      <c r="R431" s="71"/>
      <c r="S431" t="s">
        <v>596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ATENDENTE</v>
      </c>
      <c r="D432" s="72" t="str">
        <f ca="1">IFERROR(IF(TODAY()-K432&gt;365,"Inativo",IF(J432=2,"Férias",IF(J432=7,"Demitido","Afastamento"))),VLOOKUP(J432,Conf!$H:$I,2,0))</f>
        <v>Afastamento</v>
      </c>
      <c r="E432" s="187">
        <v>5</v>
      </c>
      <c r="F432" s="187">
        <v>345</v>
      </c>
      <c r="G432" t="s">
        <v>671</v>
      </c>
      <c r="H432" s="71"/>
      <c r="I432" t="s">
        <v>244</v>
      </c>
      <c r="J432" s="187">
        <v>3</v>
      </c>
      <c r="K432" t="s">
        <v>319</v>
      </c>
      <c r="L432" s="185"/>
      <c r="M432" s="188">
        <v>41197</v>
      </c>
      <c r="N432" s="71"/>
      <c r="O432" s="71"/>
      <c r="P432" s="71"/>
      <c r="Q432" s="71"/>
      <c r="R432" s="71"/>
      <c r="S432" t="s">
        <v>596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ATENDENTE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1655</v>
      </c>
      <c r="G433" t="s">
        <v>672</v>
      </c>
      <c r="H433" s="71"/>
      <c r="I433" t="s">
        <v>220</v>
      </c>
      <c r="J433" s="187">
        <v>1</v>
      </c>
      <c r="K433" t="s">
        <v>1407</v>
      </c>
      <c r="L433" s="185"/>
      <c r="M433" s="188">
        <v>45908</v>
      </c>
      <c r="N433" s="71"/>
      <c r="Q433" s="71"/>
      <c r="R433" s="71"/>
      <c r="S433" t="s">
        <v>596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ATENDENTE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906</v>
      </c>
      <c r="G434" t="s">
        <v>674</v>
      </c>
      <c r="H434" s="71"/>
      <c r="I434" t="s">
        <v>236</v>
      </c>
      <c r="J434" s="187">
        <v>1</v>
      </c>
      <c r="K434" t="s">
        <v>1407</v>
      </c>
      <c r="L434" s="185"/>
      <c r="M434" s="188">
        <v>43511</v>
      </c>
      <c r="N434" s="71"/>
      <c r="Q434" s="71"/>
      <c r="R434" s="71"/>
      <c r="S434" t="s">
        <v>596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AUXILIAR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1753</v>
      </c>
      <c r="G435" t="s">
        <v>1342</v>
      </c>
      <c r="H435" s="71"/>
      <c r="I435" t="s">
        <v>657</v>
      </c>
      <c r="J435" s="187">
        <v>1</v>
      </c>
      <c r="K435" t="s">
        <v>1407</v>
      </c>
      <c r="L435" s="185"/>
      <c r="M435" s="188">
        <v>46189</v>
      </c>
      <c r="N435" s="71"/>
      <c r="O435" s="71"/>
      <c r="P435" s="71"/>
      <c r="Q435" s="71"/>
      <c r="R435" s="71"/>
      <c r="S435" t="s">
        <v>462</v>
      </c>
      <c r="T435" s="71"/>
    </row>
    <row r="436" spans="1:20" x14ac:dyDescent="0.3">
      <c r="A436" s="72">
        <f>IFERROR(VLOOKUP($G436,Conf!$B:$C,2,0),E436)</f>
        <v>5</v>
      </c>
      <c r="B436" s="72" t="str">
        <f ca="1">IF(D436="Inativo","Inativo",IFERROR(VLOOKUP($G436,Conf!$O:$Q,2,0),VLOOKUP($S436,Conf!$K:$M,2,0)))</f>
        <v>PADARIA</v>
      </c>
      <c r="C436" s="72" t="str">
        <f ca="1">IF(D436="Inativo","Inativo",IFERROR(VLOOKUP($G436,Conf!$O:$Q,3,0),IFERROR(VLOOKUP($G436,Conf!$E:$F,2,0),VLOOKUP($S436,Conf!$K:$M,3,0))))</f>
        <v>AUXILIAR</v>
      </c>
      <c r="D436" s="72" t="str">
        <f ca="1">IFERROR(IF(TODAY()-K436&gt;365,"Inativo",IF(J436=2,"Férias",IF(J436=7,"Demitido","Afastamento"))),VLOOKUP(J436,Conf!$H:$I,2,0))</f>
        <v>Ativos</v>
      </c>
      <c r="E436" s="187">
        <v>5</v>
      </c>
      <c r="F436" s="187">
        <v>677</v>
      </c>
      <c r="G436" t="s">
        <v>644</v>
      </c>
      <c r="H436" s="71"/>
      <c r="I436" t="s">
        <v>222</v>
      </c>
      <c r="J436" s="187">
        <v>1</v>
      </c>
      <c r="K436" t="s">
        <v>1407</v>
      </c>
      <c r="L436" s="185"/>
      <c r="M436" s="188">
        <v>42213</v>
      </c>
      <c r="N436" s="71"/>
      <c r="Q436" s="71"/>
      <c r="R436" s="71"/>
      <c r="S436" t="s">
        <v>333</v>
      </c>
      <c r="T436" s="71"/>
    </row>
    <row r="437" spans="1:20" x14ac:dyDescent="0.3">
      <c r="A437" s="72">
        <f>IFERROR(VLOOKUP($G437,Conf!$B:$C,2,0),E437)</f>
        <v>5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AUXILIAR</v>
      </c>
      <c r="D437" s="72" t="str">
        <f ca="1">IFERROR(IF(TODAY()-K437&gt;365,"Inativo",IF(J437=2,"Férias",IF(J437=7,"Demitido","Afastamento"))),VLOOKUP(J437,Conf!$H:$I,2,0))</f>
        <v>Ativos</v>
      </c>
      <c r="E437" s="187">
        <v>5</v>
      </c>
      <c r="F437" s="187">
        <v>1557</v>
      </c>
      <c r="G437" t="s">
        <v>673</v>
      </c>
      <c r="H437" s="71"/>
      <c r="I437" t="s">
        <v>220</v>
      </c>
      <c r="J437" s="187">
        <v>1</v>
      </c>
      <c r="K437" t="s">
        <v>1407</v>
      </c>
      <c r="L437" s="185"/>
      <c r="M437" s="188">
        <v>45609</v>
      </c>
      <c r="N437" s="71"/>
      <c r="Q437" s="71"/>
      <c r="R437" s="71"/>
      <c r="S437" t="s">
        <v>462</v>
      </c>
      <c r="T437" s="71"/>
    </row>
    <row r="438" spans="1:20" x14ac:dyDescent="0.3">
      <c r="A438" s="72">
        <f>IFERROR(VLOOKUP($G438,Conf!$B:$C,2,0),E438)</f>
        <v>5</v>
      </c>
      <c r="B438" s="72" t="str">
        <f ca="1">IF(D438="Inativo","Inativo",IFERROR(VLOOKUP($G438,Conf!$O:$Q,2,0),VLOOKUP($S438,Conf!$K:$M,2,0)))</f>
        <v>PADARIA</v>
      </c>
      <c r="C438" s="72" t="str">
        <f ca="1">IF(D438="Inativo","Inativo",IFERROR(VLOOKUP($G438,Conf!$O:$Q,3,0),IFERROR(VLOOKUP($G438,Conf!$E:$F,2,0),VLOOKUP($S438,Conf!$K:$M,3,0))))</f>
        <v>PADEIRO(A)</v>
      </c>
      <c r="D438" s="72" t="str">
        <f ca="1">IFERROR(IF(TODAY()-K438&gt;365,"Inativo",IF(J438=2,"Férias",IF(J438=7,"Demitido","Afastamento"))),VLOOKUP(J438,Conf!$H:$I,2,0))</f>
        <v>Férias</v>
      </c>
      <c r="E438" s="187">
        <v>5</v>
      </c>
      <c r="F438" s="187">
        <v>1203</v>
      </c>
      <c r="G438" t="s">
        <v>676</v>
      </c>
      <c r="H438" s="71"/>
      <c r="I438" t="s">
        <v>244</v>
      </c>
      <c r="J438" s="187">
        <v>2</v>
      </c>
      <c r="K438" t="s">
        <v>1579</v>
      </c>
      <c r="L438" s="185"/>
      <c r="M438" s="188">
        <v>44616</v>
      </c>
      <c r="N438" s="71"/>
      <c r="Q438" s="71"/>
      <c r="R438" s="71"/>
      <c r="S438" t="s">
        <v>388</v>
      </c>
      <c r="T438" s="71"/>
    </row>
    <row r="439" spans="1:20" x14ac:dyDescent="0.3">
      <c r="A439" s="72">
        <f>IFERROR(VLOOKUP($G439,Conf!$B:$C,2,0),E439)</f>
        <v>5</v>
      </c>
      <c r="B439" s="72" t="str">
        <f ca="1">IF(D439="Inativo","Inativo",IFERROR(VLOOKUP($G439,Conf!$O:$Q,2,0),VLOOKUP($S439,Conf!$K:$M,2,0)))</f>
        <v>PADARIA</v>
      </c>
      <c r="C439" s="72" t="str">
        <f ca="1">IF(D439="Inativo","Inativo",IFERROR(VLOOKUP($G439,Conf!$O:$Q,3,0),IFERROR(VLOOKUP($G439,Conf!$E:$F,2,0),VLOOKUP($S439,Conf!$K:$M,3,0))))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187">
        <v>5</v>
      </c>
      <c r="F439" s="187">
        <v>1699</v>
      </c>
      <c r="G439" t="s">
        <v>677</v>
      </c>
      <c r="H439" s="71"/>
      <c r="I439" t="s">
        <v>244</v>
      </c>
      <c r="J439" s="187">
        <v>1</v>
      </c>
      <c r="K439" t="s">
        <v>1407</v>
      </c>
      <c r="L439" s="185"/>
      <c r="M439" s="188">
        <v>46027</v>
      </c>
      <c r="N439" s="71"/>
      <c r="Q439" s="71"/>
      <c r="R439" s="71"/>
      <c r="S439" t="s">
        <v>388</v>
      </c>
      <c r="T439" s="71"/>
    </row>
    <row r="440" spans="1:20" x14ac:dyDescent="0.3">
      <c r="A440" s="72">
        <f>IFERROR(VLOOKUP($G440,Conf!$B:$C,2,0),E440)</f>
        <v>5</v>
      </c>
      <c r="B440" s="72" t="str">
        <f ca="1">IF(D440="Inativo","Inativo",IFERROR(VLOOKUP($G440,Conf!$O:$Q,2,0),VLOOKUP($S440,Conf!$K:$M,2,0)))</f>
        <v>PADARIA</v>
      </c>
      <c r="C440" s="72" t="str">
        <f ca="1">IF(D440="Inativo","Inativo",IFERROR(VLOOKUP($G440,Conf!$O:$Q,3,0),IFERROR(VLOOKUP($G440,Conf!$E:$F,2,0),VLOOKUP($S440,Conf!$K:$M,3,0))))</f>
        <v>PADEIRO(A)</v>
      </c>
      <c r="D440" s="72" t="str">
        <f ca="1">IFERROR(IF(TODAY()-K440&gt;365,"Inativo",IF(J440=2,"Férias",IF(J440=7,"Demitido","Afastamento"))),VLOOKUP(J440,Conf!$H:$I,2,0))</f>
        <v>Ativos</v>
      </c>
      <c r="E440" s="187">
        <v>5</v>
      </c>
      <c r="F440" s="187">
        <v>847</v>
      </c>
      <c r="G440" t="s">
        <v>678</v>
      </c>
      <c r="H440" s="71"/>
      <c r="I440" t="s">
        <v>384</v>
      </c>
      <c r="J440" s="187">
        <v>1</v>
      </c>
      <c r="K440" t="s">
        <v>1407</v>
      </c>
      <c r="L440" s="185"/>
      <c r="M440" s="188">
        <v>43199</v>
      </c>
      <c r="N440" s="71"/>
      <c r="Q440" s="71"/>
      <c r="R440" s="71"/>
      <c r="S440" t="s">
        <v>388</v>
      </c>
      <c r="T440" s="71"/>
    </row>
    <row r="441" spans="1:20" x14ac:dyDescent="0.3">
      <c r="A441" s="72">
        <f>IFERROR(VLOOKUP($G441,Conf!$B:$C,2,0),E441)</f>
        <v>5</v>
      </c>
      <c r="B441" s="72" t="str">
        <f ca="1">IF(D441="Inativo","Inativo",IFERROR(VLOOKUP($G441,Conf!$O:$Q,2,0),VLOOKUP($S441,Conf!$K:$M,2,0)))</f>
        <v>PADARIA</v>
      </c>
      <c r="C441" s="72" t="str">
        <f ca="1">IF(D441="Inativo","Inativo",IFERROR(VLOOKUP($G441,Conf!$O:$Q,3,0),IFERROR(VLOOKUP($G441,Conf!$E:$F,2,0),VLOOKUP($S441,Conf!$K:$M,3,0))))</f>
        <v>PADEIRO(A)</v>
      </c>
      <c r="D441" s="72" t="str">
        <f ca="1">IFERROR(IF(TODAY()-K441&gt;365,"Inativo",IF(J441=2,"Férias",IF(J441=7,"Demitido","Afastamento"))),VLOOKUP(J441,Conf!$H:$I,2,0))</f>
        <v>Ativos</v>
      </c>
      <c r="E441" s="187">
        <v>5</v>
      </c>
      <c r="F441" s="187">
        <v>815</v>
      </c>
      <c r="G441" t="s">
        <v>679</v>
      </c>
      <c r="H441" s="71"/>
      <c r="I441" t="s">
        <v>278</v>
      </c>
      <c r="J441" s="187">
        <v>1</v>
      </c>
      <c r="K441" t="s">
        <v>1407</v>
      </c>
      <c r="L441" s="185"/>
      <c r="M441" s="188">
        <v>43070</v>
      </c>
      <c r="N441" s="71"/>
      <c r="O441" s="71"/>
      <c r="P441" s="71"/>
      <c r="Q441" s="71"/>
      <c r="R441" s="71"/>
      <c r="S441" t="s">
        <v>469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AÇOUGUEIRO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1958</v>
      </c>
      <c r="G442" t="s">
        <v>681</v>
      </c>
      <c r="H442" s="71"/>
      <c r="I442" t="s">
        <v>244</v>
      </c>
      <c r="J442" s="187">
        <v>1</v>
      </c>
      <c r="K442" t="s">
        <v>1407</v>
      </c>
      <c r="L442" s="185"/>
      <c r="M442" s="188">
        <v>44974</v>
      </c>
      <c r="N442" s="71"/>
      <c r="O442" s="71"/>
      <c r="P442" s="71"/>
      <c r="Q442" s="71"/>
      <c r="R442" s="71"/>
      <c r="S442" t="s">
        <v>223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AÇOUGUEIRO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2331</v>
      </c>
      <c r="G443" t="s">
        <v>682</v>
      </c>
      <c r="H443" s="71"/>
      <c r="I443" t="s">
        <v>220</v>
      </c>
      <c r="J443" s="187">
        <v>1</v>
      </c>
      <c r="K443" t="s">
        <v>1407</v>
      </c>
      <c r="L443" s="185"/>
      <c r="M443" s="188">
        <v>45967</v>
      </c>
      <c r="N443" s="71"/>
      <c r="Q443" s="71"/>
      <c r="R443" s="71"/>
      <c r="S443" t="s">
        <v>223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AÇOUGUEIRO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1847</v>
      </c>
      <c r="G444" t="s">
        <v>683</v>
      </c>
      <c r="H444" s="71"/>
      <c r="I444" t="s">
        <v>657</v>
      </c>
      <c r="J444" s="187">
        <v>1</v>
      </c>
      <c r="K444" t="s">
        <v>1407</v>
      </c>
      <c r="L444" s="185"/>
      <c r="M444" s="188">
        <v>44690</v>
      </c>
      <c r="N444" s="71"/>
      <c r="Q444" s="71"/>
      <c r="R444" s="71"/>
      <c r="S444" t="s">
        <v>223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AÇOUGUE</v>
      </c>
      <c r="C445" s="72" t="str">
        <f ca="1">IF(D445="Inativo","Inativo",IFERROR(VLOOKUP($G445,Conf!$O:$Q,3,0),IFERROR(VLOOKUP($G445,Conf!$E:$F,2,0),VLOOKUP($S445,Conf!$K:$M,3,0))))</f>
        <v>AÇOUGUEIRO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2379</v>
      </c>
      <c r="G445" t="s">
        <v>684</v>
      </c>
      <c r="H445" s="71"/>
      <c r="I445" t="s">
        <v>220</v>
      </c>
      <c r="J445" s="187">
        <v>1</v>
      </c>
      <c r="K445" t="s">
        <v>1407</v>
      </c>
      <c r="L445" s="185"/>
      <c r="M445" s="188">
        <v>46066</v>
      </c>
      <c r="N445" s="71"/>
      <c r="O445" s="71"/>
      <c r="P445" s="71"/>
      <c r="Q445" s="71"/>
      <c r="R445" s="71"/>
      <c r="S445" t="s">
        <v>223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AÇOUGUE</v>
      </c>
      <c r="C446" s="72" t="str">
        <f ca="1">IF(D446="Inativo","Inativo",IFERROR(VLOOKUP($G446,Conf!$O:$Q,3,0),IFERROR(VLOOKUP($G446,Conf!$E:$F,2,0),VLOOKUP($S446,Conf!$K:$M,3,0))))</f>
        <v>BALCONISTA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2263</v>
      </c>
      <c r="G446" t="s">
        <v>685</v>
      </c>
      <c r="H446" s="71"/>
      <c r="I446" t="s">
        <v>220</v>
      </c>
      <c r="J446" s="187">
        <v>1</v>
      </c>
      <c r="K446" t="s">
        <v>1407</v>
      </c>
      <c r="L446" s="185"/>
      <c r="M446" s="188">
        <v>45790</v>
      </c>
      <c r="N446" s="71"/>
      <c r="Q446" s="71"/>
      <c r="R446" s="71"/>
      <c r="S446" t="s">
        <v>332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AÇOUGUE</v>
      </c>
      <c r="C447" s="72" t="str">
        <f ca="1">IF(D447="Inativo","Inativo",IFERROR(VLOOKUP($G447,Conf!$O:$Q,3,0),IFERROR(VLOOKUP($G447,Conf!$E:$F,2,0),VLOOKUP($S447,Conf!$K:$M,3,0))))</f>
        <v>BALCONISTA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</v>
      </c>
      <c r="G447" t="s">
        <v>1425</v>
      </c>
      <c r="H447" s="71"/>
      <c r="I447" t="s">
        <v>222</v>
      </c>
      <c r="J447" s="187">
        <v>1</v>
      </c>
      <c r="K447" t="s">
        <v>1407</v>
      </c>
      <c r="L447" s="185"/>
      <c r="M447" s="188">
        <v>46216</v>
      </c>
      <c r="N447" s="71"/>
      <c r="Q447" s="71"/>
      <c r="R447" s="71"/>
      <c r="S447" t="s">
        <v>1426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AÇOUGUE</v>
      </c>
      <c r="C448" s="72" t="str">
        <f ca="1">IF(D448="Inativo","Inativo",IFERROR(VLOOKUP($G448,Conf!$O:$Q,3,0),IFERROR(VLOOKUP($G448,Conf!$E:$F,2,0),VLOOKUP($S448,Conf!$K:$M,3,0))))</f>
        <v>DESOSSADOR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1217</v>
      </c>
      <c r="G448" t="s">
        <v>686</v>
      </c>
      <c r="H448" s="71"/>
      <c r="I448" t="s">
        <v>236</v>
      </c>
      <c r="J448" s="187">
        <v>1</v>
      </c>
      <c r="K448" t="s">
        <v>1407</v>
      </c>
      <c r="L448" s="185"/>
      <c r="M448" s="188">
        <v>42443</v>
      </c>
      <c r="N448" s="71"/>
      <c r="O448" s="71"/>
      <c r="P448" s="71"/>
      <c r="Q448" s="71"/>
      <c r="R448" s="71"/>
      <c r="S448" t="s">
        <v>230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AÇOUGUE</v>
      </c>
      <c r="C449" s="72" t="str">
        <f ca="1">IF(D449="Inativo","Inativo",IFERROR(VLOOKUP($G449,Conf!$O:$Q,3,0),IFERROR(VLOOKUP($G449,Conf!$E:$F,2,0),VLOOKUP($S449,Conf!$K:$M,3,0))))</f>
        <v>DESOSSADOR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2335</v>
      </c>
      <c r="G449" t="s">
        <v>687</v>
      </c>
      <c r="H449" s="71"/>
      <c r="I449" t="s">
        <v>220</v>
      </c>
      <c r="J449" s="187">
        <v>1</v>
      </c>
      <c r="K449" t="s">
        <v>1407</v>
      </c>
      <c r="L449" s="185"/>
      <c r="M449" s="188">
        <v>45975</v>
      </c>
      <c r="N449" s="71"/>
      <c r="Q449" s="71"/>
      <c r="R449" s="71"/>
      <c r="S449" t="s">
        <v>230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AÇOUGUE</v>
      </c>
      <c r="C450" s="72" t="str">
        <f ca="1">IF(D450="Inativo","Inativo",IFERROR(VLOOKUP($G450,Conf!$O:$Q,3,0),IFERROR(VLOOKUP($G450,Conf!$E:$F,2,0),VLOOKUP($S450,Conf!$K:$M,3,0))))</f>
        <v>ENCARREGADO</v>
      </c>
      <c r="D450" s="72" t="str">
        <f ca="1">IFERROR(IF(TODAY()-K450&gt;365,"Inativo",IF(J450=2,"Férias",IF(J450=7,"Demitido","Afastamento"))),VLOOKUP(J450,Conf!$H:$I,2,0))</f>
        <v>Afastamento</v>
      </c>
      <c r="E450" s="187">
        <v>6</v>
      </c>
      <c r="F450" s="187">
        <v>1735</v>
      </c>
      <c r="G450" t="s">
        <v>689</v>
      </c>
      <c r="H450" s="71"/>
      <c r="I450" t="s">
        <v>236</v>
      </c>
      <c r="J450" s="187">
        <v>3</v>
      </c>
      <c r="K450" t="s">
        <v>1566</v>
      </c>
      <c r="L450" s="185"/>
      <c r="M450" s="188">
        <v>44410</v>
      </c>
      <c r="N450" s="71"/>
      <c r="Q450" s="71"/>
      <c r="R450" s="71"/>
      <c r="S450" t="s">
        <v>443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APRENDIZ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2387</v>
      </c>
      <c r="G451" t="s">
        <v>735</v>
      </c>
      <c r="H451" s="71"/>
      <c r="I451" t="s">
        <v>574</v>
      </c>
      <c r="J451" s="187">
        <v>1</v>
      </c>
      <c r="K451" t="s">
        <v>1407</v>
      </c>
      <c r="L451" s="185"/>
      <c r="M451" s="188">
        <v>46077</v>
      </c>
      <c r="N451" s="71"/>
      <c r="O451" s="71"/>
      <c r="P451" s="71"/>
      <c r="Q451" s="71"/>
      <c r="R451" s="71"/>
      <c r="S451" t="s">
        <v>340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APRENDIZ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2386</v>
      </c>
      <c r="G452" t="s">
        <v>736</v>
      </c>
      <c r="H452" s="71"/>
      <c r="I452" t="s">
        <v>574</v>
      </c>
      <c r="J452" s="187">
        <v>1</v>
      </c>
      <c r="K452" t="s">
        <v>1407</v>
      </c>
      <c r="L452" s="185"/>
      <c r="M452" s="188">
        <v>46077</v>
      </c>
      <c r="N452" s="71"/>
      <c r="O452" s="71"/>
      <c r="P452" s="71"/>
      <c r="Q452" s="71"/>
      <c r="R452" s="71"/>
      <c r="S452" t="s">
        <v>340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APRENDIZ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2392</v>
      </c>
      <c r="G453" t="s">
        <v>737</v>
      </c>
      <c r="H453" s="71"/>
      <c r="I453" t="s">
        <v>574</v>
      </c>
      <c r="J453" s="187">
        <v>1</v>
      </c>
      <c r="K453" t="s">
        <v>1407</v>
      </c>
      <c r="L453" s="185"/>
      <c r="M453" s="188">
        <v>46077</v>
      </c>
      <c r="N453" s="71"/>
      <c r="Q453" s="71"/>
      <c r="R453" s="71"/>
      <c r="S453" t="s">
        <v>340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ADMINISTRATIVO</v>
      </c>
      <c r="C454" s="72" t="str">
        <f ca="1">IF(D454="Inativo","Inativo",IFERROR(VLOOKUP($G454,Conf!$O:$Q,3,0),IFERROR(VLOOKUP($G454,Conf!$E:$F,2,0),VLOOKUP($S454,Conf!$K:$M,3,0))))</f>
        <v>APRENDIZ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2391</v>
      </c>
      <c r="G454" t="s">
        <v>738</v>
      </c>
      <c r="H454" s="71"/>
      <c r="I454" t="s">
        <v>574</v>
      </c>
      <c r="J454" s="187">
        <v>1</v>
      </c>
      <c r="K454" t="s">
        <v>1407</v>
      </c>
      <c r="L454" s="185"/>
      <c r="M454" s="188">
        <v>46077</v>
      </c>
      <c r="N454" s="71"/>
      <c r="O454" s="71"/>
      <c r="P454" s="71"/>
      <c r="Q454" s="71"/>
      <c r="R454" s="71"/>
      <c r="S454" t="s">
        <v>340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ADMINISTRATIVO</v>
      </c>
      <c r="C455" s="72" t="str">
        <f ca="1">IF(D455="Inativo","Inativo",IFERROR(VLOOKUP($G455,Conf!$O:$Q,3,0),IFERROR(VLOOKUP($G455,Conf!$E:$F,2,0),VLOOKUP($S455,Conf!$K:$M,3,0))))</f>
        <v>APRENDIZ</v>
      </c>
      <c r="D455" s="72" t="str">
        <f ca="1">IFERROR(IF(TODAY()-K455&gt;365,"Inativo",IF(J455=2,"Férias",IF(J455=7,"Demitido","Afastamento"))),VLOOKUP(J455,Conf!$H:$I,2,0))</f>
        <v>Demitido</v>
      </c>
      <c r="E455" s="187">
        <v>6</v>
      </c>
      <c r="F455" s="187">
        <v>2389</v>
      </c>
      <c r="G455" t="s">
        <v>739</v>
      </c>
      <c r="H455" s="71"/>
      <c r="I455" t="s">
        <v>574</v>
      </c>
      <c r="J455" s="187">
        <v>7</v>
      </c>
      <c r="K455" t="s">
        <v>1650</v>
      </c>
      <c r="L455" s="185"/>
      <c r="M455" s="188">
        <v>46077</v>
      </c>
      <c r="N455" s="71"/>
      <c r="Q455" s="71"/>
      <c r="R455" s="71"/>
      <c r="S455" t="s">
        <v>340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ADMINISTRATIVO</v>
      </c>
      <c r="C456" s="72" t="str">
        <f ca="1">IF(D456="Inativo","Inativo",IFERROR(VLOOKUP($G456,Conf!$O:$Q,3,0),IFERROR(VLOOKUP($G456,Conf!$E:$F,2,0),VLOOKUP($S456,Conf!$K:$M,3,0))))</f>
        <v>CONTROLADORIA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2164</v>
      </c>
      <c r="G456" t="s">
        <v>696</v>
      </c>
      <c r="H456" s="71"/>
      <c r="I456" t="s">
        <v>406</v>
      </c>
      <c r="J456" s="187">
        <v>1</v>
      </c>
      <c r="K456" t="s">
        <v>1407</v>
      </c>
      <c r="L456" s="185"/>
      <c r="M456" s="188">
        <v>45590</v>
      </c>
      <c r="N456" s="71"/>
      <c r="O456" s="71"/>
      <c r="P456" s="71"/>
      <c r="Q456" s="71"/>
      <c r="R456" s="71"/>
      <c r="S456" t="s">
        <v>256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ADMINISTRATIVO</v>
      </c>
      <c r="C457" s="72" t="str">
        <f ca="1">IF(D457="Inativo","Inativo",IFERROR(VLOOKUP($G457,Conf!$O:$Q,3,0),IFERROR(VLOOKUP($G457,Conf!$E:$F,2,0),VLOOKUP($S457,Conf!$K:$M,3,0))))</f>
        <v>LIMPEZA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20</v>
      </c>
      <c r="G457" t="s">
        <v>1413</v>
      </c>
      <c r="H457" s="71"/>
      <c r="I457" t="s">
        <v>304</v>
      </c>
      <c r="J457" s="187">
        <v>1</v>
      </c>
      <c r="K457" t="s">
        <v>1407</v>
      </c>
      <c r="L457" s="185"/>
      <c r="M457" s="188">
        <v>46204</v>
      </c>
      <c r="N457" s="71"/>
      <c r="Q457" s="71"/>
      <c r="R457" s="71"/>
      <c r="S457" t="s">
        <v>1414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ADMINISTRATIVO</v>
      </c>
      <c r="C458" s="72" t="str">
        <f ca="1">IF(D458="Inativo","Inativo",IFERROR(VLOOKUP($G458,Conf!$O:$Q,3,0),IFERROR(VLOOKUP($G458,Conf!$E:$F,2,0),VLOOKUP($S458,Conf!$K:$M,3,0))))</f>
        <v>LIMPEZA</v>
      </c>
      <c r="D458" s="72" t="str">
        <f ca="1">IFERROR(IF(TODAY()-K458&gt;365,"Inativo",IF(J458=2,"Férias",IF(J458=7,"Demitido","Afastamento"))),VLOOKUP(J458,Conf!$H:$I,2,0))</f>
        <v>Férias</v>
      </c>
      <c r="E458" s="187">
        <v>6</v>
      </c>
      <c r="F458" s="187">
        <v>1916</v>
      </c>
      <c r="G458" t="s">
        <v>733</v>
      </c>
      <c r="H458" s="71"/>
      <c r="I458" t="s">
        <v>516</v>
      </c>
      <c r="J458" s="187">
        <v>2</v>
      </c>
      <c r="K458" t="s">
        <v>1579</v>
      </c>
      <c r="L458" s="185"/>
      <c r="M458" s="188">
        <v>44824</v>
      </c>
      <c r="N458" s="71"/>
      <c r="O458" s="71"/>
      <c r="P458" s="71"/>
      <c r="Q458" s="71"/>
      <c r="R458" s="71"/>
      <c r="S458" t="s">
        <v>333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ADMINISTRATIVO</v>
      </c>
      <c r="C459" s="72" t="str">
        <f ca="1">IF(D459="Inativo","Inativo",IFERROR(VLOOKUP($G459,Conf!$O:$Q,3,0),IFERROR(VLOOKUP($G459,Conf!$E:$F,2,0),VLOOKUP($S459,Conf!$K:$M,3,0))))</f>
        <v>LIMPEZA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1606</v>
      </c>
      <c r="G459" t="s">
        <v>734</v>
      </c>
      <c r="H459" s="71"/>
      <c r="I459" t="s">
        <v>414</v>
      </c>
      <c r="J459" s="187">
        <v>1</v>
      </c>
      <c r="K459" t="s">
        <v>1407</v>
      </c>
      <c r="L459" s="185"/>
      <c r="M459" s="188">
        <v>44088</v>
      </c>
      <c r="N459" s="71"/>
      <c r="Q459" s="71"/>
      <c r="R459" s="71"/>
      <c r="S459" t="s">
        <v>333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CONFEITARIA</v>
      </c>
      <c r="C460" s="72" t="str">
        <f ca="1">IF(D460="Inativo","Inativo",IFERROR(VLOOKUP($G460,Conf!$O:$Q,3,0),IFERROR(VLOOKUP($G460,Conf!$E:$F,2,0),VLOOKUP($S460,Conf!$K:$M,3,0))))</f>
        <v>CONFEITEIRO(A)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14</v>
      </c>
      <c r="G460" t="s">
        <v>690</v>
      </c>
      <c r="H460" s="71"/>
      <c r="I460" t="s">
        <v>401</v>
      </c>
      <c r="J460" s="187">
        <v>1</v>
      </c>
      <c r="K460" t="s">
        <v>1407</v>
      </c>
      <c r="L460" s="185"/>
      <c r="M460" s="188">
        <v>46174</v>
      </c>
      <c r="N460" s="71"/>
      <c r="Q460" s="71"/>
      <c r="R460" s="71"/>
      <c r="S460" t="s">
        <v>691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CONFEITARIA</v>
      </c>
      <c r="C461" s="72" t="str">
        <f ca="1">IF(D461="Inativo","Inativo",IFERROR(VLOOKUP($G461,Conf!$O:$Q,3,0),IFERROR(VLOOKUP($G461,Conf!$E:$F,2,0),VLOOKUP($S461,Conf!$K:$M,3,0))))</f>
        <v>CONFEITEIRO(A)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2105</v>
      </c>
      <c r="G461" t="s">
        <v>692</v>
      </c>
      <c r="H461" s="71"/>
      <c r="I461" t="s">
        <v>688</v>
      </c>
      <c r="J461" s="187">
        <v>1</v>
      </c>
      <c r="K461" t="s">
        <v>1407</v>
      </c>
      <c r="L461" s="185"/>
      <c r="M461" s="188">
        <v>45483</v>
      </c>
      <c r="N461" s="71"/>
      <c r="Q461" s="71"/>
      <c r="R461" s="71"/>
      <c r="S461" t="s">
        <v>245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DEPOSITO</v>
      </c>
      <c r="C462" s="72" t="str">
        <f ca="1">IF(D462="Inativo","Inativo",IFERROR(VLOOKUP($G462,Conf!$O:$Q,3,0),IFERROR(VLOOKUP($G462,Conf!$E:$F,2,0),VLOOKUP($S462,Conf!$K:$M,3,0))))</f>
        <v>CONFERENTE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2072</v>
      </c>
      <c r="G462" t="s">
        <v>693</v>
      </c>
      <c r="H462" s="71"/>
      <c r="I462" t="s">
        <v>406</v>
      </c>
      <c r="J462" s="187">
        <v>1</v>
      </c>
      <c r="K462" t="s">
        <v>1407</v>
      </c>
      <c r="L462" s="185"/>
      <c r="M462" s="188">
        <v>45406</v>
      </c>
      <c r="N462" s="71"/>
      <c r="Q462" s="71"/>
      <c r="R462" s="71"/>
      <c r="S462" t="s">
        <v>251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DEPOSITO</v>
      </c>
      <c r="C463" s="72" t="str">
        <f ca="1">IF(D463="Inativo","Inativo",IFERROR(VLOOKUP($G463,Conf!$O:$Q,3,0),IFERROR(VLOOKUP($G463,Conf!$E:$F,2,0),VLOOKUP($S463,Conf!$K:$M,3,0))))</f>
        <v>CONFERENTE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1085</v>
      </c>
      <c r="G463" t="s">
        <v>694</v>
      </c>
      <c r="H463" s="71"/>
      <c r="I463" t="s">
        <v>406</v>
      </c>
      <c r="J463" s="187">
        <v>1</v>
      </c>
      <c r="K463" t="s">
        <v>1407</v>
      </c>
      <c r="L463" s="185"/>
      <c r="M463" s="188">
        <v>42109</v>
      </c>
      <c r="N463" s="71"/>
      <c r="Q463" s="71"/>
      <c r="R463" s="71"/>
      <c r="S463" t="s">
        <v>251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DEPOSITO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12</v>
      </c>
      <c r="G464" t="s">
        <v>695</v>
      </c>
      <c r="H464" s="71"/>
      <c r="I464" t="s">
        <v>1314</v>
      </c>
      <c r="J464" s="187">
        <v>1</v>
      </c>
      <c r="K464" t="s">
        <v>1407</v>
      </c>
      <c r="L464" s="185"/>
      <c r="M464" s="188">
        <v>46153</v>
      </c>
      <c r="N464" s="71"/>
      <c r="O464" s="71"/>
      <c r="P464" s="71"/>
      <c r="Q464" s="71"/>
      <c r="R464" s="71"/>
      <c r="S464" t="s">
        <v>1315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E-COMMERCE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2313</v>
      </c>
      <c r="G465" t="s">
        <v>742</v>
      </c>
      <c r="H465" s="71"/>
      <c r="I465" t="s">
        <v>220</v>
      </c>
      <c r="J465" s="187">
        <v>1</v>
      </c>
      <c r="K465" t="s">
        <v>1407</v>
      </c>
      <c r="L465" s="185"/>
      <c r="M465" s="188">
        <v>45905</v>
      </c>
      <c r="N465" s="71"/>
      <c r="Q465" s="71"/>
      <c r="R465" s="71"/>
      <c r="S465" t="s">
        <v>743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EMPACOTADOR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1760</v>
      </c>
      <c r="G466" t="s">
        <v>698</v>
      </c>
      <c r="H466" s="71"/>
      <c r="I466" t="s">
        <v>493</v>
      </c>
      <c r="J466" s="187">
        <v>1</v>
      </c>
      <c r="K466" t="s">
        <v>1407</v>
      </c>
      <c r="L466" s="185"/>
      <c r="M466" s="188">
        <v>44511</v>
      </c>
      <c r="N466" s="71"/>
      <c r="Q466" s="71"/>
      <c r="R466" s="71"/>
      <c r="S466" t="s">
        <v>266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ENCARREGADO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918</v>
      </c>
      <c r="G467" t="s">
        <v>699</v>
      </c>
      <c r="H467" s="71"/>
      <c r="I467" t="s">
        <v>471</v>
      </c>
      <c r="J467" s="187">
        <v>1</v>
      </c>
      <c r="K467" t="s">
        <v>1407</v>
      </c>
      <c r="L467" s="185"/>
      <c r="M467" s="188">
        <v>41771</v>
      </c>
      <c r="N467" s="71"/>
      <c r="Q467" s="71"/>
      <c r="R467" s="71"/>
      <c r="S467" t="s">
        <v>275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ENTREGADOR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1554</v>
      </c>
      <c r="G468" t="s">
        <v>697</v>
      </c>
      <c r="H468" s="71"/>
      <c r="I468" t="s">
        <v>493</v>
      </c>
      <c r="J468" s="187">
        <v>1</v>
      </c>
      <c r="K468" t="s">
        <v>1407</v>
      </c>
      <c r="L468" s="185"/>
      <c r="M468" s="188">
        <v>43801</v>
      </c>
      <c r="N468" s="71"/>
      <c r="Q468" s="71"/>
      <c r="R468" s="71"/>
      <c r="S468" t="s">
        <v>263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ESTACIONAMENTO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2227</v>
      </c>
      <c r="G469" t="s">
        <v>775</v>
      </c>
      <c r="H469" s="71"/>
      <c r="I469" t="s">
        <v>220</v>
      </c>
      <c r="J469" s="187">
        <v>1</v>
      </c>
      <c r="K469" t="s">
        <v>1407</v>
      </c>
      <c r="L469" s="185"/>
      <c r="M469" s="188">
        <v>45719</v>
      </c>
      <c r="N469" s="71"/>
      <c r="O469" s="71"/>
      <c r="P469" s="71"/>
      <c r="Q469" s="71"/>
      <c r="R469" s="71"/>
      <c r="S469" t="s">
        <v>680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ESTACIONAMENTO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2327</v>
      </c>
      <c r="G470" t="s">
        <v>776</v>
      </c>
      <c r="H470" s="71"/>
      <c r="I470" t="s">
        <v>220</v>
      </c>
      <c r="J470" s="187">
        <v>1</v>
      </c>
      <c r="K470" t="s">
        <v>1407</v>
      </c>
      <c r="L470" s="185"/>
      <c r="M470" s="188">
        <v>45954</v>
      </c>
      <c r="N470" s="71"/>
      <c r="Q470" s="71"/>
      <c r="R470" s="71"/>
      <c r="S470" t="s">
        <v>680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ESTACIONAMENTO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11</v>
      </c>
      <c r="G471" t="s">
        <v>777</v>
      </c>
      <c r="H471" s="71"/>
      <c r="I471" t="s">
        <v>220</v>
      </c>
      <c r="J471" s="187">
        <v>1</v>
      </c>
      <c r="K471" t="s">
        <v>1407</v>
      </c>
      <c r="L471" s="185"/>
      <c r="M471" s="188">
        <v>46146</v>
      </c>
      <c r="N471" s="71"/>
      <c r="Q471" s="71"/>
      <c r="R471" s="71"/>
      <c r="S471" t="s">
        <v>778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FISCAL DE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2234</v>
      </c>
      <c r="G472" t="s">
        <v>700</v>
      </c>
      <c r="H472" s="71"/>
      <c r="I472" t="s">
        <v>220</v>
      </c>
      <c r="J472" s="187">
        <v>1</v>
      </c>
      <c r="K472" t="s">
        <v>1407</v>
      </c>
      <c r="L472" s="185"/>
      <c r="M472" s="188">
        <v>45726</v>
      </c>
      <c r="N472" s="71"/>
      <c r="O472" s="71"/>
      <c r="P472" s="71"/>
      <c r="Q472" s="71"/>
      <c r="R472" s="71"/>
      <c r="S472" t="s">
        <v>279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FISCAL DE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2252</v>
      </c>
      <c r="G473" t="s">
        <v>701</v>
      </c>
      <c r="H473" s="71"/>
      <c r="I473" t="s">
        <v>220</v>
      </c>
      <c r="J473" s="187">
        <v>1</v>
      </c>
      <c r="K473" t="s">
        <v>1407</v>
      </c>
      <c r="L473" s="185"/>
      <c r="M473" s="188">
        <v>45770</v>
      </c>
      <c r="N473" s="71"/>
      <c r="Q473" s="71"/>
      <c r="R473" s="71"/>
      <c r="S473" t="s">
        <v>279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FISCAL DE CAIXA</v>
      </c>
      <c r="D474" s="72" t="str">
        <f ca="1">IFERROR(IF(TODAY()-K474&gt;365,"Inativo",IF(J474=2,"Férias",IF(J474=7,"Demitido","Afastamento"))),VLOOKUP(J474,Conf!$H:$I,2,0))</f>
        <v>Afastamento</v>
      </c>
      <c r="E474" s="187">
        <v>6</v>
      </c>
      <c r="F474" s="187">
        <v>1658</v>
      </c>
      <c r="G474" t="s">
        <v>702</v>
      </c>
      <c r="H474" s="71"/>
      <c r="I474" t="s">
        <v>322</v>
      </c>
      <c r="J474" s="187">
        <v>6</v>
      </c>
      <c r="K474" t="s">
        <v>1382</v>
      </c>
      <c r="L474" s="185"/>
      <c r="M474" s="188">
        <v>44216</v>
      </c>
      <c r="N474" s="71"/>
      <c r="O474" s="71"/>
      <c r="P474" s="71"/>
      <c r="Q474" s="71"/>
      <c r="R474" s="71"/>
      <c r="S474" t="s">
        <v>279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FISCAL DE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1695</v>
      </c>
      <c r="G475" t="s">
        <v>703</v>
      </c>
      <c r="H475" s="71"/>
      <c r="I475" t="s">
        <v>322</v>
      </c>
      <c r="J475" s="187">
        <v>1</v>
      </c>
      <c r="K475" t="s">
        <v>1407</v>
      </c>
      <c r="L475" s="185"/>
      <c r="M475" s="188">
        <v>44277</v>
      </c>
      <c r="N475" s="71"/>
      <c r="Q475" s="71"/>
      <c r="R475" s="71"/>
      <c r="S475" t="s">
        <v>279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2121</v>
      </c>
      <c r="G476" t="s">
        <v>704</v>
      </c>
      <c r="H476" s="71"/>
      <c r="I476" t="s">
        <v>663</v>
      </c>
      <c r="J476" s="187">
        <v>1</v>
      </c>
      <c r="K476" t="s">
        <v>1407</v>
      </c>
      <c r="L476" s="185"/>
      <c r="M476" s="188">
        <v>45511</v>
      </c>
      <c r="N476" s="71"/>
      <c r="Q476" s="71"/>
      <c r="R476" s="71"/>
      <c r="S476" t="s">
        <v>282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Férias</v>
      </c>
      <c r="E477" s="187">
        <v>6</v>
      </c>
      <c r="F477" s="187">
        <v>1334</v>
      </c>
      <c r="G477" t="s">
        <v>705</v>
      </c>
      <c r="H477" s="71"/>
      <c r="I477" t="s">
        <v>247</v>
      </c>
      <c r="J477" s="187">
        <v>2</v>
      </c>
      <c r="K477" t="s">
        <v>1579</v>
      </c>
      <c r="L477" s="185"/>
      <c r="M477" s="188">
        <v>42864</v>
      </c>
      <c r="N477" s="71"/>
      <c r="O477" s="71"/>
      <c r="P477" s="71"/>
      <c r="Q477" s="71"/>
      <c r="R477" s="71"/>
      <c r="S477" t="s">
        <v>282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2352</v>
      </c>
      <c r="G478" t="s">
        <v>706</v>
      </c>
      <c r="H478" s="71"/>
      <c r="I478" t="s">
        <v>471</v>
      </c>
      <c r="J478" s="187">
        <v>1</v>
      </c>
      <c r="K478" t="s">
        <v>1407</v>
      </c>
      <c r="L478" s="185"/>
      <c r="M478" s="188">
        <v>46036</v>
      </c>
      <c r="N478" s="71"/>
      <c r="Q478" s="71"/>
      <c r="R478" s="71"/>
      <c r="S478" t="s">
        <v>282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2434</v>
      </c>
      <c r="G479" t="s">
        <v>1322</v>
      </c>
      <c r="H479" s="71"/>
      <c r="I479" t="s">
        <v>220</v>
      </c>
      <c r="J479" s="187">
        <v>1</v>
      </c>
      <c r="K479" t="s">
        <v>1407</v>
      </c>
      <c r="L479" s="185"/>
      <c r="M479" s="188">
        <v>46181</v>
      </c>
      <c r="N479" s="71"/>
      <c r="Q479" s="71"/>
      <c r="R479" s="71"/>
      <c r="S479" t="s">
        <v>282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2317</v>
      </c>
      <c r="G480" t="s">
        <v>707</v>
      </c>
      <c r="H480" s="71"/>
      <c r="I480" t="s">
        <v>220</v>
      </c>
      <c r="J480" s="187">
        <v>1</v>
      </c>
      <c r="K480" t="s">
        <v>1407</v>
      </c>
      <c r="L480" s="185"/>
      <c r="M480" s="188">
        <v>45925</v>
      </c>
      <c r="N480" s="71"/>
      <c r="Q480" s="71"/>
      <c r="R480" s="71"/>
      <c r="S480" t="s">
        <v>282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2165</v>
      </c>
      <c r="G481" t="s">
        <v>708</v>
      </c>
      <c r="H481" s="71"/>
      <c r="I481" t="s">
        <v>222</v>
      </c>
      <c r="J481" s="187">
        <v>1</v>
      </c>
      <c r="K481" t="s">
        <v>1407</v>
      </c>
      <c r="L481" s="185"/>
      <c r="M481" s="188">
        <v>45597</v>
      </c>
      <c r="N481" s="71"/>
      <c r="O481" s="71"/>
      <c r="P481" s="71"/>
      <c r="Q481" s="71"/>
      <c r="R481" s="71"/>
      <c r="S481" t="s">
        <v>282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2422</v>
      </c>
      <c r="G482" t="s">
        <v>709</v>
      </c>
      <c r="H482" s="71"/>
      <c r="I482" t="s">
        <v>220</v>
      </c>
      <c r="J482" s="187">
        <v>1</v>
      </c>
      <c r="K482" t="s">
        <v>1407</v>
      </c>
      <c r="L482" s="185"/>
      <c r="M482" s="188">
        <v>46132</v>
      </c>
      <c r="N482" s="71"/>
      <c r="O482" s="71"/>
      <c r="P482" s="71"/>
      <c r="Q482" s="71"/>
      <c r="R482" s="71"/>
      <c r="S482" t="s">
        <v>282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2365</v>
      </c>
      <c r="G483" t="s">
        <v>710</v>
      </c>
      <c r="H483" s="71"/>
      <c r="I483" t="s">
        <v>220</v>
      </c>
      <c r="J483" s="187">
        <v>1</v>
      </c>
      <c r="K483" t="s">
        <v>1407</v>
      </c>
      <c r="L483" s="185"/>
      <c r="M483" s="188">
        <v>46055</v>
      </c>
      <c r="N483" s="71"/>
      <c r="O483" s="71"/>
      <c r="P483" s="71"/>
      <c r="Q483" s="71"/>
      <c r="R483" s="71"/>
      <c r="S483" t="s">
        <v>282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2405</v>
      </c>
      <c r="G484" t="s">
        <v>711</v>
      </c>
      <c r="H484" s="71"/>
      <c r="I484" t="s">
        <v>220</v>
      </c>
      <c r="J484" s="187">
        <v>1</v>
      </c>
      <c r="K484" t="s">
        <v>1407</v>
      </c>
      <c r="L484" s="185"/>
      <c r="M484" s="188">
        <v>46092</v>
      </c>
      <c r="N484" s="71"/>
      <c r="Q484" s="71"/>
      <c r="R484" s="71"/>
      <c r="S484" t="s">
        <v>282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2021</v>
      </c>
      <c r="G485" t="s">
        <v>712</v>
      </c>
      <c r="H485" s="71"/>
      <c r="I485" t="s">
        <v>297</v>
      </c>
      <c r="J485" s="187">
        <v>1</v>
      </c>
      <c r="K485" t="s">
        <v>1407</v>
      </c>
      <c r="L485" s="185"/>
      <c r="M485" s="188">
        <v>45223</v>
      </c>
      <c r="N485" s="71"/>
      <c r="Q485" s="71"/>
      <c r="R485" s="71"/>
      <c r="S485" t="s">
        <v>282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2337</v>
      </c>
      <c r="G486" t="s">
        <v>713</v>
      </c>
      <c r="H486" s="71"/>
      <c r="I486" t="s">
        <v>220</v>
      </c>
      <c r="J486" s="187">
        <v>7</v>
      </c>
      <c r="K486" t="s">
        <v>1588</v>
      </c>
      <c r="L486" s="185"/>
      <c r="M486" s="188">
        <v>45986</v>
      </c>
      <c r="N486" s="71"/>
      <c r="O486" s="71"/>
      <c r="P486" s="71"/>
      <c r="Q486" s="71"/>
      <c r="R486" s="71"/>
      <c r="S486" t="s">
        <v>282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2445</v>
      </c>
      <c r="G487" t="s">
        <v>1451</v>
      </c>
      <c r="H487" s="71"/>
      <c r="I487" t="s">
        <v>220</v>
      </c>
      <c r="J487" s="187">
        <v>1</v>
      </c>
      <c r="K487" t="s">
        <v>1407</v>
      </c>
      <c r="L487" s="185"/>
      <c r="M487" s="188">
        <v>46219</v>
      </c>
      <c r="N487" s="71"/>
      <c r="Q487" s="71"/>
      <c r="R487" s="71"/>
      <c r="S487" t="s">
        <v>282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2297</v>
      </c>
      <c r="G488" t="s">
        <v>714</v>
      </c>
      <c r="H488" s="71"/>
      <c r="I488" t="s">
        <v>220</v>
      </c>
      <c r="J488" s="187">
        <v>1</v>
      </c>
      <c r="K488" t="s">
        <v>1407</v>
      </c>
      <c r="L488" s="185"/>
      <c r="M488" s="188">
        <v>45861</v>
      </c>
      <c r="N488" s="71"/>
      <c r="O488" s="71"/>
      <c r="P488" s="71"/>
      <c r="Q488" s="71"/>
      <c r="R488" s="71"/>
      <c r="S488" t="s">
        <v>282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2399</v>
      </c>
      <c r="G489" t="s">
        <v>715</v>
      </c>
      <c r="H489" s="71"/>
      <c r="I489" t="s">
        <v>220</v>
      </c>
      <c r="J489" s="187">
        <v>1</v>
      </c>
      <c r="K489" t="s">
        <v>1407</v>
      </c>
      <c r="L489" s="185"/>
      <c r="M489" s="188">
        <v>46083</v>
      </c>
      <c r="N489" s="71"/>
      <c r="Q489" s="71"/>
      <c r="R489" s="71"/>
      <c r="S489" t="s">
        <v>282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1783</v>
      </c>
      <c r="G490" t="s">
        <v>716</v>
      </c>
      <c r="H490" s="71"/>
      <c r="I490" t="s">
        <v>717</v>
      </c>
      <c r="J490" s="187">
        <v>1</v>
      </c>
      <c r="K490" t="s">
        <v>1407</v>
      </c>
      <c r="L490" s="185"/>
      <c r="M490" s="188">
        <v>44595</v>
      </c>
      <c r="N490" s="71"/>
      <c r="Q490" s="71"/>
      <c r="R490" s="71"/>
      <c r="S490" t="s">
        <v>282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1483</v>
      </c>
      <c r="G491" t="s">
        <v>718</v>
      </c>
      <c r="H491" s="71"/>
      <c r="I491" t="s">
        <v>220</v>
      </c>
      <c r="J491" s="187">
        <v>1</v>
      </c>
      <c r="K491" t="s">
        <v>1407</v>
      </c>
      <c r="L491" s="185"/>
      <c r="M491" s="188">
        <v>43517</v>
      </c>
      <c r="N491" s="71"/>
      <c r="Q491" s="71"/>
      <c r="R491" s="71"/>
      <c r="S491" t="s">
        <v>282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FRENTE DE CAIXA</v>
      </c>
      <c r="C492" s="72" t="str">
        <f ca="1">IF(D492="Inativo","Inativo",IFERROR(VLOOKUP($G492,Conf!$O:$Q,3,0),IFERROR(VLOOKUP($G492,Conf!$E:$F,2,0),VLOOKUP($S492,Conf!$K:$M,3,0))))</f>
        <v>OPERADOR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2442</v>
      </c>
      <c r="G492" t="s">
        <v>1419</v>
      </c>
      <c r="H492" s="71"/>
      <c r="I492" t="s">
        <v>220</v>
      </c>
      <c r="J492" s="187">
        <v>1</v>
      </c>
      <c r="K492" t="s">
        <v>1407</v>
      </c>
      <c r="L492" s="185"/>
      <c r="M492" s="188">
        <v>46209</v>
      </c>
      <c r="N492" s="71"/>
      <c r="Q492" s="71"/>
      <c r="R492" s="71"/>
      <c r="S492" t="s">
        <v>282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FRENTE DE CAIXA</v>
      </c>
      <c r="C493" s="72" t="str">
        <f ca="1">IF(D493="Inativo","Inativo",IFERROR(VLOOKUP($G493,Conf!$O:$Q,3,0),IFERROR(VLOOKUP($G493,Conf!$E:$F,2,0),VLOOKUP($S493,Conf!$K:$M,3,0))))</f>
        <v>OPERADOR CAIXA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2168</v>
      </c>
      <c r="G493" t="s">
        <v>719</v>
      </c>
      <c r="H493" s="71"/>
      <c r="I493" t="s">
        <v>609</v>
      </c>
      <c r="J493" s="187">
        <v>1</v>
      </c>
      <c r="K493" t="s">
        <v>1407</v>
      </c>
      <c r="L493" s="185"/>
      <c r="M493" s="188">
        <v>45597</v>
      </c>
      <c r="N493" s="71"/>
      <c r="Q493" s="71"/>
      <c r="R493" s="71"/>
      <c r="S493" t="s">
        <v>282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FRENTE DE CAIXA</v>
      </c>
      <c r="C494" s="72" t="str">
        <f ca="1">IF(D494="Inativo","Inativo",IFERROR(VLOOKUP($G494,Conf!$O:$Q,3,0),IFERROR(VLOOKUP($G494,Conf!$E:$F,2,0),VLOOKUP($S494,Conf!$K:$M,3,0))))</f>
        <v>OPERADOR CAIXA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2236</v>
      </c>
      <c r="G494" t="s">
        <v>720</v>
      </c>
      <c r="H494" s="71"/>
      <c r="I494" t="s">
        <v>220</v>
      </c>
      <c r="J494" s="187">
        <v>1</v>
      </c>
      <c r="K494" t="s">
        <v>1407</v>
      </c>
      <c r="L494" s="185"/>
      <c r="M494" s="188">
        <v>45729</v>
      </c>
      <c r="N494" s="71"/>
      <c r="O494" s="71"/>
      <c r="P494" s="71"/>
      <c r="Q494" s="71"/>
      <c r="R494" s="71"/>
      <c r="S494" t="s">
        <v>282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ATENDENTE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28</v>
      </c>
      <c r="G495" t="s">
        <v>1576</v>
      </c>
      <c r="H495" s="71"/>
      <c r="I495" t="s">
        <v>220</v>
      </c>
      <c r="J495" s="187">
        <v>1</v>
      </c>
      <c r="K495" t="s">
        <v>1407</v>
      </c>
      <c r="L495" s="185"/>
      <c r="M495" s="188">
        <v>46267</v>
      </c>
      <c r="N495" s="71"/>
      <c r="O495" s="71"/>
      <c r="P495" s="71"/>
      <c r="Q495" s="71"/>
      <c r="R495" s="71"/>
      <c r="S495" t="s">
        <v>1583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ATENDENTE</v>
      </c>
      <c r="D496" s="72" t="str">
        <f ca="1">IFERROR(IF(TODAY()-K496&gt;365,"Inativo",IF(J496=2,"Férias",IF(J496=7,"Demitido","Afastamento"))),VLOOKUP(J496,Conf!$H:$I,2,0))</f>
        <v>Demitido</v>
      </c>
      <c r="E496" s="187">
        <v>6</v>
      </c>
      <c r="F496" s="187">
        <v>2064</v>
      </c>
      <c r="G496" t="s">
        <v>721</v>
      </c>
      <c r="H496" s="71"/>
      <c r="I496" t="s">
        <v>322</v>
      </c>
      <c r="J496" s="187">
        <v>7</v>
      </c>
      <c r="K496" t="s">
        <v>1622</v>
      </c>
      <c r="L496" s="185"/>
      <c r="M496" s="188">
        <v>45371</v>
      </c>
      <c r="N496" s="71"/>
      <c r="Q496" s="71"/>
      <c r="R496" s="71"/>
      <c r="S496" t="s">
        <v>307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ENCARREGADO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1447</v>
      </c>
      <c r="G497" t="s">
        <v>722</v>
      </c>
      <c r="H497" s="71"/>
      <c r="I497" t="s">
        <v>236</v>
      </c>
      <c r="J497" s="187">
        <v>2</v>
      </c>
      <c r="K497" t="s">
        <v>1579</v>
      </c>
      <c r="L497" s="185"/>
      <c r="M497" s="188">
        <v>43396</v>
      </c>
      <c r="N497" s="71"/>
      <c r="O497" s="71"/>
      <c r="P497" s="71"/>
      <c r="Q497" s="71"/>
      <c r="R497" s="71"/>
      <c r="S497" t="s">
        <v>639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FRIOS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13</v>
      </c>
      <c r="G498" t="s">
        <v>723</v>
      </c>
      <c r="H498" s="71"/>
      <c r="I498" t="s">
        <v>220</v>
      </c>
      <c r="J498" s="187">
        <v>1</v>
      </c>
      <c r="K498" t="s">
        <v>1407</v>
      </c>
      <c r="L498" s="185"/>
      <c r="M498" s="188">
        <v>46162</v>
      </c>
      <c r="N498" s="71"/>
      <c r="Q498" s="71"/>
      <c r="R498" s="71"/>
      <c r="S498" t="s">
        <v>724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FRIOS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2255</v>
      </c>
      <c r="G499" t="s">
        <v>725</v>
      </c>
      <c r="H499" s="71"/>
      <c r="I499" t="s">
        <v>247</v>
      </c>
      <c r="J499" s="187">
        <v>1</v>
      </c>
      <c r="K499" t="s">
        <v>1407</v>
      </c>
      <c r="L499" s="185"/>
      <c r="M499" s="188">
        <v>45772</v>
      </c>
      <c r="N499" s="71"/>
      <c r="O499" s="71"/>
      <c r="P499" s="71"/>
      <c r="Q499" s="71"/>
      <c r="R499" s="71"/>
      <c r="S499" t="s">
        <v>513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FRIOS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2394</v>
      </c>
      <c r="G500" t="s">
        <v>726</v>
      </c>
      <c r="H500" s="71"/>
      <c r="I500" t="s">
        <v>297</v>
      </c>
      <c r="J500" s="187">
        <v>1</v>
      </c>
      <c r="K500" t="s">
        <v>1407</v>
      </c>
      <c r="L500" s="185"/>
      <c r="M500" s="188">
        <v>46078</v>
      </c>
      <c r="N500" s="71"/>
      <c r="Q500" s="71"/>
      <c r="R500" s="71"/>
      <c r="S500" t="s">
        <v>433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GERÊNCIA</v>
      </c>
      <c r="C501" s="72" t="str">
        <f ca="1">IF(D501="Inativo","Inativo",IFERROR(VLOOKUP($G501,Conf!$O:$Q,3,0),IFERROR(VLOOKUP($G501,Conf!$E:$F,2,0),VLOOKUP($S501,Conf!$K:$M,3,0))))</f>
        <v>GERENTE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9004</v>
      </c>
      <c r="G501" s="71" t="s">
        <v>1442</v>
      </c>
      <c r="H501" s="71"/>
      <c r="I501" s="71" t="s">
        <v>297</v>
      </c>
      <c r="J501" s="71">
        <v>1</v>
      </c>
      <c r="K501" s="185" t="s">
        <v>1407</v>
      </c>
      <c r="L501" s="185"/>
      <c r="M501" s="185">
        <v>46156</v>
      </c>
      <c r="N501" s="71"/>
      <c r="Q501" s="71"/>
      <c r="R501" s="71"/>
      <c r="S501" s="71" t="s">
        <v>354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GERÊNCIA</v>
      </c>
      <c r="C502" s="72" t="str">
        <f ca="1">IF(D502="Inativo","Inativo",IFERROR(VLOOKUP($G502,Conf!$O:$Q,3,0),IFERROR(VLOOKUP($G502,Conf!$E:$F,2,0),VLOOKUP($S502,Conf!$K:$M,3,0))))</f>
        <v>SUBGERENTE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2293</v>
      </c>
      <c r="G502" t="s">
        <v>757</v>
      </c>
      <c r="H502" s="71"/>
      <c r="I502" t="s">
        <v>353</v>
      </c>
      <c r="J502" s="187">
        <v>1</v>
      </c>
      <c r="K502" t="s">
        <v>1407</v>
      </c>
      <c r="L502" s="185"/>
      <c r="M502" s="188">
        <v>45846</v>
      </c>
      <c r="N502" s="71"/>
      <c r="O502" s="71"/>
      <c r="P502" s="71"/>
      <c r="Q502" s="71"/>
      <c r="R502" s="71"/>
      <c r="S502" t="s">
        <v>668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996</v>
      </c>
      <c r="G503" t="s">
        <v>727</v>
      </c>
      <c r="H503" s="71"/>
      <c r="I503" t="s">
        <v>222</v>
      </c>
      <c r="J503" s="187">
        <v>1</v>
      </c>
      <c r="K503" t="s">
        <v>1407</v>
      </c>
      <c r="L503" s="185"/>
      <c r="M503" s="188">
        <v>41926</v>
      </c>
      <c r="N503" s="71"/>
      <c r="O503" s="71"/>
      <c r="P503" s="71"/>
      <c r="Q503" s="71"/>
      <c r="R503" s="71"/>
      <c r="S503" t="s">
        <v>434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22</v>
      </c>
      <c r="G504" t="s">
        <v>1483</v>
      </c>
      <c r="H504" s="71"/>
      <c r="I504" t="s">
        <v>220</v>
      </c>
      <c r="J504" s="187">
        <v>1</v>
      </c>
      <c r="K504" t="s">
        <v>1407</v>
      </c>
      <c r="L504" s="185"/>
      <c r="M504" s="188">
        <v>46239</v>
      </c>
      <c r="N504" s="71"/>
      <c r="O504" s="71"/>
      <c r="P504" s="71"/>
      <c r="Q504" s="71"/>
      <c r="R504" s="71"/>
      <c r="S504" t="s">
        <v>730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827</v>
      </c>
      <c r="G505" t="s">
        <v>728</v>
      </c>
      <c r="H505" s="71"/>
      <c r="I505" t="s">
        <v>258</v>
      </c>
      <c r="J505" s="187">
        <v>1</v>
      </c>
      <c r="K505" t="s">
        <v>1407</v>
      </c>
      <c r="L505" s="185"/>
      <c r="M505" s="188">
        <v>41582</v>
      </c>
      <c r="N505" s="71"/>
      <c r="Q505" s="71"/>
      <c r="R505" s="71"/>
      <c r="S505" t="s">
        <v>323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HORTIFRUTI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10</v>
      </c>
      <c r="G506" t="s">
        <v>729</v>
      </c>
      <c r="H506" s="71"/>
      <c r="I506" t="s">
        <v>401</v>
      </c>
      <c r="J506" s="187">
        <v>1</v>
      </c>
      <c r="K506" t="s">
        <v>1407</v>
      </c>
      <c r="L506" s="185"/>
      <c r="M506" s="188">
        <v>46128</v>
      </c>
      <c r="N506" s="71"/>
      <c r="Q506" s="71"/>
      <c r="R506" s="71"/>
      <c r="S506" t="s">
        <v>730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HORTIFRUTI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2370</v>
      </c>
      <c r="G507" t="s">
        <v>731</v>
      </c>
      <c r="H507" s="71"/>
      <c r="I507" t="s">
        <v>258</v>
      </c>
      <c r="J507" s="187">
        <v>1</v>
      </c>
      <c r="K507" t="s">
        <v>1407</v>
      </c>
      <c r="L507" s="185"/>
      <c r="M507" s="188">
        <v>46058</v>
      </c>
      <c r="N507" s="71"/>
      <c r="O507" s="71"/>
      <c r="P507" s="71"/>
      <c r="Q507" s="71"/>
      <c r="R507" s="71"/>
      <c r="S507" t="s">
        <v>323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HORTIFRUTI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2290</v>
      </c>
      <c r="G508" t="s">
        <v>732</v>
      </c>
      <c r="H508" s="71"/>
      <c r="I508" t="s">
        <v>220</v>
      </c>
      <c r="J508" s="187">
        <v>1</v>
      </c>
      <c r="K508" t="s">
        <v>1407</v>
      </c>
      <c r="L508" s="185"/>
      <c r="M508" s="188">
        <v>45839</v>
      </c>
      <c r="N508" s="71"/>
      <c r="O508" s="71"/>
      <c r="P508" s="71"/>
      <c r="Q508" s="71"/>
      <c r="R508" s="71"/>
      <c r="S508" t="s">
        <v>323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CARTAZISTA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955</v>
      </c>
      <c r="G509" t="s">
        <v>740</v>
      </c>
      <c r="H509" s="71"/>
      <c r="I509" t="s">
        <v>244</v>
      </c>
      <c r="J509" s="187">
        <v>1</v>
      </c>
      <c r="K509" t="s">
        <v>1407</v>
      </c>
      <c r="L509" s="185"/>
      <c r="M509" s="188">
        <v>41841</v>
      </c>
      <c r="N509" s="71"/>
      <c r="Q509" s="71"/>
      <c r="R509" s="71"/>
      <c r="S509" t="s">
        <v>741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ENCARREGADO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3</v>
      </c>
      <c r="G510" t="s">
        <v>744</v>
      </c>
      <c r="H510" s="71"/>
      <c r="I510" t="s">
        <v>220</v>
      </c>
      <c r="J510" s="187">
        <v>1</v>
      </c>
      <c r="K510" t="s">
        <v>1407</v>
      </c>
      <c r="L510" s="185"/>
      <c r="M510" s="188">
        <v>46090</v>
      </c>
      <c r="N510" s="71"/>
      <c r="Q510" s="71"/>
      <c r="R510" s="71"/>
      <c r="S510" t="s">
        <v>745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</v>
      </c>
      <c r="G511" t="s">
        <v>1484</v>
      </c>
      <c r="H511" s="71"/>
      <c r="I511" t="s">
        <v>220</v>
      </c>
      <c r="J511" s="187">
        <v>1</v>
      </c>
      <c r="K511" t="s">
        <v>1407</v>
      </c>
      <c r="L511" s="185"/>
      <c r="M511" s="188">
        <v>46240</v>
      </c>
      <c r="N511" s="71"/>
      <c r="Q511" s="71"/>
      <c r="R511" s="71"/>
      <c r="S511" t="s">
        <v>747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2176</v>
      </c>
      <c r="G512" t="s">
        <v>748</v>
      </c>
      <c r="H512" s="71"/>
      <c r="I512" t="s">
        <v>258</v>
      </c>
      <c r="J512" s="187">
        <v>1</v>
      </c>
      <c r="K512" t="s">
        <v>1407</v>
      </c>
      <c r="L512" s="185"/>
      <c r="M512" s="188">
        <v>45610</v>
      </c>
      <c r="N512" s="71"/>
      <c r="Q512" s="71"/>
      <c r="R512" s="71"/>
      <c r="S512" t="s">
        <v>750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24</v>
      </c>
      <c r="G513" t="s">
        <v>1489</v>
      </c>
      <c r="H513" s="71"/>
      <c r="I513" t="s">
        <v>220</v>
      </c>
      <c r="J513" s="187">
        <v>1</v>
      </c>
      <c r="K513" t="s">
        <v>1407</v>
      </c>
      <c r="L513" s="185"/>
      <c r="M513" s="188">
        <v>46244</v>
      </c>
      <c r="N513" s="71"/>
      <c r="Q513" s="71"/>
      <c r="R513" s="71"/>
      <c r="S513" t="s">
        <v>747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4</v>
      </c>
      <c r="G514" t="s">
        <v>751</v>
      </c>
      <c r="H514" s="71"/>
      <c r="I514" t="s">
        <v>220</v>
      </c>
      <c r="J514" s="187">
        <v>1</v>
      </c>
      <c r="K514" t="s">
        <v>1407</v>
      </c>
      <c r="L514" s="185"/>
      <c r="M514" s="188">
        <v>46101</v>
      </c>
      <c r="N514" s="71"/>
      <c r="Q514" s="71"/>
      <c r="R514" s="71"/>
      <c r="S514" t="s">
        <v>747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2383</v>
      </c>
      <c r="G515" t="s">
        <v>752</v>
      </c>
      <c r="H515" s="71"/>
      <c r="I515" t="s">
        <v>220</v>
      </c>
      <c r="J515" s="187">
        <v>1</v>
      </c>
      <c r="K515" t="s">
        <v>1407</v>
      </c>
      <c r="L515" s="185"/>
      <c r="M515" s="188">
        <v>46072</v>
      </c>
      <c r="N515" s="71"/>
      <c r="Q515" s="71"/>
      <c r="R515" s="71"/>
      <c r="S515" t="s">
        <v>361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7</v>
      </c>
      <c r="G516" t="s">
        <v>753</v>
      </c>
      <c r="H516" s="71"/>
      <c r="I516" t="s">
        <v>220</v>
      </c>
      <c r="J516" s="187">
        <v>1</v>
      </c>
      <c r="K516" t="s">
        <v>1407</v>
      </c>
      <c r="L516" s="185"/>
      <c r="M516" s="188">
        <v>46118</v>
      </c>
      <c r="N516" s="71"/>
      <c r="Q516" s="71"/>
      <c r="R516" s="71"/>
      <c r="S516" t="s">
        <v>747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2138</v>
      </c>
      <c r="G517" t="s">
        <v>754</v>
      </c>
      <c r="H517" s="71"/>
      <c r="I517" t="s">
        <v>244</v>
      </c>
      <c r="J517" s="187">
        <v>1</v>
      </c>
      <c r="K517" t="s">
        <v>1407</v>
      </c>
      <c r="L517" s="185"/>
      <c r="M517" s="188">
        <v>45538</v>
      </c>
      <c r="N517" s="71"/>
      <c r="Q517" s="71"/>
      <c r="R517" s="71"/>
      <c r="S517" t="s">
        <v>361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LOJA</v>
      </c>
      <c r="C518" s="72" t="str">
        <f ca="1">IF(D518="Inativo","Inativo",IFERROR(VLOOKUP($G518,Conf!$O:$Q,3,0),IFERROR(VLOOKUP($G518,Conf!$E:$F,2,0),VLOOKUP($S518,Conf!$K:$M,3,0))))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2401</v>
      </c>
      <c r="G518" t="s">
        <v>755</v>
      </c>
      <c r="H518" s="71"/>
      <c r="I518" t="s">
        <v>220</v>
      </c>
      <c r="J518" s="187">
        <v>1</v>
      </c>
      <c r="K518" t="s">
        <v>1407</v>
      </c>
      <c r="L518" s="185"/>
      <c r="M518" s="188">
        <v>46085</v>
      </c>
      <c r="N518" s="71"/>
      <c r="Q518" s="71"/>
      <c r="R518" s="71"/>
      <c r="S518" t="s">
        <v>361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LOJA</v>
      </c>
      <c r="C519" s="72" t="str">
        <f ca="1">IF(D519="Inativo","Inativo",IFERROR(VLOOKUP($G519,Conf!$O:$Q,3,0),IFERROR(VLOOKUP($G519,Conf!$E:$F,2,0),VLOOKUP($S519,Conf!$K:$M,3,0))))</f>
        <v>REPOSITOR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2375</v>
      </c>
      <c r="G519" t="s">
        <v>756</v>
      </c>
      <c r="H519" s="71"/>
      <c r="I519" t="s">
        <v>220</v>
      </c>
      <c r="J519" s="187">
        <v>1</v>
      </c>
      <c r="K519" t="s">
        <v>1407</v>
      </c>
      <c r="L519" s="185"/>
      <c r="M519" s="188">
        <v>46063</v>
      </c>
      <c r="N519" s="71"/>
      <c r="Q519" s="71"/>
      <c r="R519" s="71"/>
      <c r="S519" t="s">
        <v>361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LOJA</v>
      </c>
      <c r="C520" s="72" t="str">
        <f ca="1">IF(D520="Inativo","Inativo",IFERROR(VLOOKUP($G520,Conf!$O:$Q,3,0),IFERROR(VLOOKUP($G520,Conf!$E:$F,2,0),VLOOKUP($S520,Conf!$K:$M,3,0))))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19</v>
      </c>
      <c r="G520" t="s">
        <v>1352</v>
      </c>
      <c r="H520" s="71"/>
      <c r="I520" t="s">
        <v>220</v>
      </c>
      <c r="J520" s="187">
        <v>1</v>
      </c>
      <c r="K520" t="s">
        <v>1407</v>
      </c>
      <c r="L520" s="185"/>
      <c r="M520" s="188">
        <v>46195</v>
      </c>
      <c r="N520" s="71"/>
      <c r="Q520" s="71"/>
      <c r="R520" s="71"/>
      <c r="S520" t="s">
        <v>747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27</v>
      </c>
      <c r="G521" t="s">
        <v>1557</v>
      </c>
      <c r="H521" s="71"/>
      <c r="I521" t="s">
        <v>220</v>
      </c>
      <c r="J521" s="187">
        <v>1</v>
      </c>
      <c r="K521" t="s">
        <v>1407</v>
      </c>
      <c r="L521" s="185"/>
      <c r="M521" s="188">
        <v>46266</v>
      </c>
      <c r="N521" s="71"/>
      <c r="O521" s="71"/>
      <c r="P521" s="71"/>
      <c r="Q521" s="71"/>
      <c r="R521" s="71"/>
      <c r="S521" t="s">
        <v>766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707</v>
      </c>
      <c r="G522" t="s">
        <v>758</v>
      </c>
      <c r="H522" s="71"/>
      <c r="I522" t="s">
        <v>244</v>
      </c>
      <c r="J522" s="187">
        <v>1</v>
      </c>
      <c r="K522" t="s">
        <v>1407</v>
      </c>
      <c r="L522" s="185"/>
      <c r="M522" s="188">
        <v>41487</v>
      </c>
      <c r="N522" s="71"/>
      <c r="O522" s="71"/>
      <c r="P522" s="71"/>
      <c r="Q522" s="71"/>
      <c r="R522" s="71"/>
      <c r="S522" t="s">
        <v>596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2254</v>
      </c>
      <c r="G523" t="s">
        <v>764</v>
      </c>
      <c r="H523" s="71"/>
      <c r="I523" t="s">
        <v>410</v>
      </c>
      <c r="J523" s="187">
        <v>1</v>
      </c>
      <c r="K523" t="s">
        <v>1407</v>
      </c>
      <c r="L523" s="185"/>
      <c r="M523" s="188">
        <v>45772</v>
      </c>
      <c r="N523" s="71"/>
      <c r="O523" s="71"/>
      <c r="P523" s="71"/>
      <c r="Q523" s="71"/>
      <c r="R523" s="71"/>
      <c r="S523" t="s">
        <v>596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ATENDENTE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2284</v>
      </c>
      <c r="G524" t="s">
        <v>765</v>
      </c>
      <c r="H524" s="71"/>
      <c r="I524" t="s">
        <v>220</v>
      </c>
      <c r="J524" s="187">
        <v>1</v>
      </c>
      <c r="K524" t="s">
        <v>1407</v>
      </c>
      <c r="L524" s="185"/>
      <c r="M524" s="188">
        <v>45819</v>
      </c>
      <c r="N524" s="71"/>
      <c r="O524" s="71"/>
      <c r="P524" s="71"/>
      <c r="Q524" s="71"/>
      <c r="R524" s="71"/>
      <c r="S524" t="s">
        <v>596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ATENDENTE</v>
      </c>
      <c r="D525" s="72" t="str">
        <f ca="1">IFERROR(IF(TODAY()-K525&gt;365,"Inativo",IF(J525=2,"Férias",IF(J525=7,"Demitido","Afastamento"))),VLOOKUP(J525,Conf!$H:$I,2,0))</f>
        <v>Demitido</v>
      </c>
      <c r="E525" s="187">
        <v>6</v>
      </c>
      <c r="F525" s="187">
        <v>26</v>
      </c>
      <c r="G525" t="s">
        <v>1556</v>
      </c>
      <c r="H525" s="71"/>
      <c r="I525" t="s">
        <v>220</v>
      </c>
      <c r="J525" s="187">
        <v>7</v>
      </c>
      <c r="K525" t="s">
        <v>1582</v>
      </c>
      <c r="L525" s="185"/>
      <c r="M525" s="188">
        <v>46266</v>
      </c>
      <c r="N525" s="71"/>
      <c r="O525" s="71"/>
      <c r="P525" s="71"/>
      <c r="Q525" s="71"/>
      <c r="R525" s="71"/>
      <c r="S525" t="s">
        <v>766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ATENDENTE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2205</v>
      </c>
      <c r="G526" t="s">
        <v>767</v>
      </c>
      <c r="H526" s="71"/>
      <c r="I526" t="s">
        <v>222</v>
      </c>
      <c r="J526" s="187">
        <v>1</v>
      </c>
      <c r="K526" t="s">
        <v>1407</v>
      </c>
      <c r="L526" s="185"/>
      <c r="M526" s="188">
        <v>45691</v>
      </c>
      <c r="N526" s="71"/>
      <c r="Q526" s="71"/>
      <c r="R526" s="71"/>
      <c r="S526" t="s">
        <v>596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Férias</v>
      </c>
      <c r="E527" s="187">
        <v>6</v>
      </c>
      <c r="F527" s="187">
        <v>2082</v>
      </c>
      <c r="G527" t="s">
        <v>759</v>
      </c>
      <c r="H527" s="71"/>
      <c r="I527" t="s">
        <v>220</v>
      </c>
      <c r="J527" s="187">
        <v>2</v>
      </c>
      <c r="K527" t="s">
        <v>1579</v>
      </c>
      <c r="L527" s="185"/>
      <c r="M527" s="188">
        <v>45428</v>
      </c>
      <c r="N527" s="71"/>
      <c r="Q527" s="71"/>
      <c r="R527" s="71"/>
      <c r="S527" t="s">
        <v>329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</v>
      </c>
      <c r="G528" t="s">
        <v>760</v>
      </c>
      <c r="H528" s="71"/>
      <c r="I528" t="s">
        <v>244</v>
      </c>
      <c r="J528" s="187">
        <v>1</v>
      </c>
      <c r="K528" t="s">
        <v>1407</v>
      </c>
      <c r="L528" s="185"/>
      <c r="M528" s="188">
        <v>46086</v>
      </c>
      <c r="N528" s="71"/>
      <c r="Q528" s="71"/>
      <c r="R528" s="71"/>
      <c r="S528" t="s">
        <v>761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AUXILIAR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5</v>
      </c>
      <c r="G529" t="s">
        <v>762</v>
      </c>
      <c r="H529" s="71"/>
      <c r="I529" t="s">
        <v>244</v>
      </c>
      <c r="J529" s="187">
        <v>1</v>
      </c>
      <c r="K529" t="s">
        <v>1407</v>
      </c>
      <c r="L529" s="185"/>
      <c r="M529" s="188">
        <v>46106</v>
      </c>
      <c r="N529" s="71"/>
      <c r="Q529" s="71"/>
      <c r="R529" s="71"/>
      <c r="S529" t="s">
        <v>761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AUXILIAR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2127</v>
      </c>
      <c r="G530" t="s">
        <v>763</v>
      </c>
      <c r="H530" s="71"/>
      <c r="I530" t="s">
        <v>749</v>
      </c>
      <c r="J530" s="187">
        <v>1</v>
      </c>
      <c r="K530" t="s">
        <v>1407</v>
      </c>
      <c r="L530" s="185"/>
      <c r="M530" s="188">
        <v>45518</v>
      </c>
      <c r="N530" s="71"/>
      <c r="O530" s="71"/>
      <c r="P530" s="71"/>
      <c r="Q530" s="71"/>
      <c r="R530" s="71"/>
      <c r="S530" t="s">
        <v>329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ENCARREGADO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735</v>
      </c>
      <c r="G531" t="s">
        <v>770</v>
      </c>
      <c r="H531" s="71"/>
      <c r="I531" t="s">
        <v>244</v>
      </c>
      <c r="J531" s="187">
        <v>1</v>
      </c>
      <c r="K531" t="s">
        <v>1407</v>
      </c>
      <c r="L531" s="185"/>
      <c r="M531" s="188">
        <v>41498</v>
      </c>
      <c r="N531" s="71"/>
      <c r="O531" s="71"/>
      <c r="P531" s="71"/>
      <c r="Q531" s="71"/>
      <c r="R531" s="71"/>
      <c r="S531" t="s">
        <v>466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ENCARREGADO</v>
      </c>
      <c r="D532" s="72" t="str">
        <f ca="1">IFERROR(IF(TODAY()-K532&gt;365,"Inativo",IF(J532=2,"Férias",IF(J532=7,"Demitido","Afastamento"))),VLOOKUP(J532,Conf!$H:$I,2,0))</f>
        <v>Férias</v>
      </c>
      <c r="E532" s="187">
        <v>6</v>
      </c>
      <c r="F532" s="187">
        <v>976</v>
      </c>
      <c r="G532" t="s">
        <v>771</v>
      </c>
      <c r="H532" s="71"/>
      <c r="I532" t="s">
        <v>244</v>
      </c>
      <c r="J532" s="187">
        <v>2</v>
      </c>
      <c r="K532" t="s">
        <v>1579</v>
      </c>
      <c r="L532" s="185"/>
      <c r="M532" s="188">
        <v>41876</v>
      </c>
      <c r="N532" s="71"/>
      <c r="O532" s="71"/>
      <c r="P532" s="71"/>
      <c r="Q532" s="71"/>
      <c r="R532" s="71"/>
      <c r="S532" t="s">
        <v>772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25</v>
      </c>
      <c r="G533" t="s">
        <v>1496</v>
      </c>
      <c r="H533" s="71"/>
      <c r="I533" t="s">
        <v>236</v>
      </c>
      <c r="J533" s="187">
        <v>1</v>
      </c>
      <c r="K533" t="s">
        <v>1407</v>
      </c>
      <c r="L533" s="185"/>
      <c r="M533" s="188">
        <v>46248</v>
      </c>
      <c r="N533" s="71"/>
      <c r="Q533" s="71"/>
      <c r="R533" s="71"/>
      <c r="S533" t="s">
        <v>1351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PADARIA</v>
      </c>
      <c r="C534" s="72" t="str">
        <f ca="1">IF(D534="Inativo","Inativo",IFERROR(VLOOKUP($G534,Conf!$O:$Q,3,0),IFERROR(VLOOKUP($G534,Conf!$E:$F,2,0),VLOOKUP($S534,Conf!$K:$M,3,0))))</f>
        <v>PADEIRO(A)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1603</v>
      </c>
      <c r="G534" t="s">
        <v>773</v>
      </c>
      <c r="H534" s="71"/>
      <c r="I534" t="s">
        <v>258</v>
      </c>
      <c r="J534" s="187">
        <v>1</v>
      </c>
      <c r="K534" t="s">
        <v>1407</v>
      </c>
      <c r="L534" s="185"/>
      <c r="M534" s="188">
        <v>44060</v>
      </c>
      <c r="N534" s="71"/>
      <c r="Q534" s="71"/>
      <c r="R534" s="71"/>
      <c r="S534" t="s">
        <v>469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PADARIA</v>
      </c>
      <c r="C535" s="72" t="str">
        <f ca="1">IF(D535="Inativo","Inativo",IFERROR(VLOOKUP($G535,Conf!$O:$Q,3,0),IFERROR(VLOOKUP($G535,Conf!$E:$F,2,0),VLOOKUP($S535,Conf!$K:$M,3,0))))</f>
        <v>PADEIRO(A)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2358</v>
      </c>
      <c r="G535" t="s">
        <v>774</v>
      </c>
      <c r="H535" s="71"/>
      <c r="I535" t="s">
        <v>244</v>
      </c>
      <c r="J535" s="187">
        <v>1</v>
      </c>
      <c r="K535" t="s">
        <v>1407</v>
      </c>
      <c r="L535" s="185"/>
      <c r="M535" s="188">
        <v>46042</v>
      </c>
      <c r="N535" s="71"/>
      <c r="Q535" s="71"/>
      <c r="R535" s="71"/>
      <c r="S535" t="s">
        <v>388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PADARIA</v>
      </c>
      <c r="C536" s="72" t="str">
        <f ca="1">IF(D536="Inativo","Inativo",IFERROR(VLOOKUP($G536,Conf!$O:$Q,3,0),IFERROR(VLOOKUP($G536,Conf!$E:$F,2,0),VLOOKUP($S536,Conf!$K:$M,3,0))))</f>
        <v>PADEIRO(A)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18</v>
      </c>
      <c r="G536" t="s">
        <v>1350</v>
      </c>
      <c r="H536" s="71"/>
      <c r="I536" t="s">
        <v>236</v>
      </c>
      <c r="J536" s="187">
        <v>1</v>
      </c>
      <c r="K536" t="s">
        <v>1407</v>
      </c>
      <c r="L536" s="185"/>
      <c r="M536" s="188">
        <v>46191</v>
      </c>
      <c r="N536" s="71"/>
      <c r="Q536" s="71"/>
      <c r="R536" s="71"/>
      <c r="S536" t="s">
        <v>1351</v>
      </c>
      <c r="T536" s="71"/>
    </row>
    <row r="537" spans="1:20" x14ac:dyDescent="0.3">
      <c r="A537" s="72">
        <f>IFERROR(VLOOKUP($G537,Conf!$B:$C,2,0),E537)</f>
        <v>6</v>
      </c>
      <c r="B537" s="72" t="str">
        <f ca="1">IF(D537="Inativo","Inativo",IFERROR(VLOOKUP($G537,Conf!$O:$Q,2,0),VLOOKUP($S537,Conf!$K:$M,2,0)))</f>
        <v>ROTISSERIA</v>
      </c>
      <c r="C537" s="72" t="str">
        <f ca="1">IF(D537="Inativo","Inativo",IFERROR(VLOOKUP($G537,Conf!$O:$Q,3,0),IFERROR(VLOOKUP($G537,Conf!$E:$F,2,0),VLOOKUP($S537,Conf!$K:$M,3,0))))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6</v>
      </c>
      <c r="F537" s="187">
        <v>1749</v>
      </c>
      <c r="G537" t="s">
        <v>768</v>
      </c>
      <c r="H537" s="71"/>
      <c r="I537" t="s">
        <v>222</v>
      </c>
      <c r="J537" s="187">
        <v>1</v>
      </c>
      <c r="K537" t="s">
        <v>1407</v>
      </c>
      <c r="L537" s="185"/>
      <c r="M537" s="188">
        <v>44462</v>
      </c>
      <c r="N537" s="71"/>
      <c r="Q537" s="71"/>
      <c r="R537" s="71"/>
      <c r="S537" t="s">
        <v>769</v>
      </c>
      <c r="T537" s="71"/>
    </row>
    <row r="538" spans="1:20" x14ac:dyDescent="0.3">
      <c r="A538" s="72">
        <f>IFERROR(VLOOKUP($G538,Conf!$B:$C,2,0),E538)</f>
        <v>6</v>
      </c>
      <c r="B538" s="72" t="str">
        <f ca="1">IF(D538="Inativo","Inativo",IFERROR(VLOOKUP($G538,Conf!$O:$Q,2,0),VLOOKUP($S538,Conf!$K:$M,2,0)))</f>
        <v>ROTISSERIA</v>
      </c>
      <c r="C538" s="72" t="str">
        <f ca="1">IF(D538="Inativo","Inativo",IFERROR(VLOOKUP($G538,Conf!$O:$Q,3,0),IFERROR(VLOOKUP($G538,Conf!$E:$F,2,0),VLOOKUP($S538,Conf!$K:$M,3,0))))</f>
        <v>COZINHEIRO</v>
      </c>
      <c r="D538" s="72" t="str">
        <f ca="1">IFERROR(IF(TODAY()-K538&gt;365,"Inativo",IF(J538=2,"Férias",IF(J538=7,"Demitido","Afastamento"))),VLOOKUP(J538,Conf!$H:$I,2,0))</f>
        <v>Ativos</v>
      </c>
      <c r="E538" s="187">
        <v>6</v>
      </c>
      <c r="F538" s="187">
        <v>824</v>
      </c>
      <c r="G538" t="s">
        <v>779</v>
      </c>
      <c r="H538" s="71"/>
      <c r="I538" t="s">
        <v>244</v>
      </c>
      <c r="J538" s="187">
        <v>1</v>
      </c>
      <c r="K538" t="s">
        <v>1407</v>
      </c>
      <c r="L538" s="185"/>
      <c r="M538" s="188">
        <v>41579</v>
      </c>
      <c r="N538" s="71"/>
      <c r="O538" s="71"/>
      <c r="P538" s="71"/>
      <c r="Q538" s="71"/>
      <c r="R538" s="71"/>
      <c r="S538" t="s">
        <v>396</v>
      </c>
      <c r="T538" s="71"/>
    </row>
    <row r="539" spans="1:20" x14ac:dyDescent="0.3">
      <c r="A539" s="72">
        <f>IFERROR(VLOOKUP($G539,Conf!$B:$C,2,0),E539)</f>
        <v>6</v>
      </c>
      <c r="B539" s="72" t="str">
        <f ca="1">IF(D539="Inativo","Inativo",IFERROR(VLOOKUP($G539,Conf!$O:$Q,2,0),VLOOKUP($S539,Conf!$K:$M,2,0)))</f>
        <v>ROTISSERIA</v>
      </c>
      <c r="C539" s="72" t="str">
        <f ca="1">IF(D539="Inativo","Inativo",IFERROR(VLOOKUP($G539,Conf!$O:$Q,3,0),IFERROR(VLOOKUP($G539,Conf!$E:$F,2,0),VLOOKUP($S539,Conf!$K:$M,3,0))))</f>
        <v>COZINHEIRO</v>
      </c>
      <c r="D539" s="72" t="str">
        <f ca="1">IFERROR(IF(TODAY()-K539&gt;365,"Inativo",IF(J539=2,"Férias",IF(J539=7,"Demitido","Afastamento"))),VLOOKUP(J539,Conf!$H:$I,2,0))</f>
        <v>Ativos</v>
      </c>
      <c r="E539" s="187">
        <v>6</v>
      </c>
      <c r="F539" s="187">
        <v>1622</v>
      </c>
      <c r="G539" t="s">
        <v>780</v>
      </c>
      <c r="H539" s="71"/>
      <c r="I539" t="s">
        <v>244</v>
      </c>
      <c r="J539" s="187">
        <v>1</v>
      </c>
      <c r="K539" t="s">
        <v>1407</v>
      </c>
      <c r="L539" s="185"/>
      <c r="M539" s="188">
        <v>44109</v>
      </c>
      <c r="N539" s="71"/>
      <c r="O539" s="71"/>
      <c r="P539" s="71"/>
      <c r="Q539" s="71"/>
      <c r="R539" s="71"/>
      <c r="S539" t="s">
        <v>396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Demitido</v>
      </c>
      <c r="E540" s="187">
        <v>7</v>
      </c>
      <c r="F540" s="187">
        <v>364</v>
      </c>
      <c r="G540" t="s">
        <v>1602</v>
      </c>
      <c r="H540" s="71"/>
      <c r="I540" t="s">
        <v>220</v>
      </c>
      <c r="J540" s="187">
        <v>7</v>
      </c>
      <c r="K540" t="s">
        <v>1635</v>
      </c>
      <c r="L540" s="185"/>
      <c r="M540" s="188">
        <v>46280</v>
      </c>
      <c r="N540" s="71"/>
      <c r="Q540" s="71"/>
      <c r="R540" s="71"/>
      <c r="S540" t="s">
        <v>782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254</v>
      </c>
      <c r="G541" t="s">
        <v>783</v>
      </c>
      <c r="H541" s="71"/>
      <c r="I541" t="s">
        <v>384</v>
      </c>
      <c r="J541" s="187">
        <v>1</v>
      </c>
      <c r="K541" t="s">
        <v>1407</v>
      </c>
      <c r="L541" s="185"/>
      <c r="M541" s="188">
        <v>45671</v>
      </c>
      <c r="N541" s="71"/>
      <c r="Q541" s="71"/>
      <c r="R541" s="71"/>
      <c r="S541" t="s">
        <v>782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AÇOUGUEIRO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258</v>
      </c>
      <c r="G542" t="s">
        <v>784</v>
      </c>
      <c r="H542" s="71"/>
      <c r="I542" t="s">
        <v>222</v>
      </c>
      <c r="J542" s="187">
        <v>1</v>
      </c>
      <c r="K542" t="s">
        <v>1407</v>
      </c>
      <c r="L542" s="185"/>
      <c r="M542" s="188">
        <v>45681</v>
      </c>
      <c r="N542" s="71"/>
      <c r="O542" s="71"/>
      <c r="P542" s="71"/>
      <c r="Q542" s="71"/>
      <c r="R542" s="71"/>
      <c r="S542" t="s">
        <v>782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AÇOUGUEIRO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244</v>
      </c>
      <c r="G543" t="s">
        <v>785</v>
      </c>
      <c r="H543" s="71"/>
      <c r="I543" t="s">
        <v>220</v>
      </c>
      <c r="J543" s="187">
        <v>1</v>
      </c>
      <c r="K543" t="s">
        <v>1407</v>
      </c>
      <c r="L543" s="185"/>
      <c r="M543" s="188">
        <v>45617</v>
      </c>
      <c r="N543" s="71"/>
      <c r="Q543" s="71"/>
      <c r="R543" s="71"/>
      <c r="S543" t="s">
        <v>782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AÇOUGUEIRO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222</v>
      </c>
      <c r="G544" t="s">
        <v>786</v>
      </c>
      <c r="H544" s="71"/>
      <c r="I544" t="s">
        <v>220</v>
      </c>
      <c r="J544" s="187">
        <v>1</v>
      </c>
      <c r="K544" t="s">
        <v>1407</v>
      </c>
      <c r="L544" s="185"/>
      <c r="M544" s="188">
        <v>45485</v>
      </c>
      <c r="N544" s="71"/>
      <c r="Q544" s="71"/>
      <c r="R544" s="71"/>
      <c r="S544" t="s">
        <v>782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AÇOUGUEIRO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341</v>
      </c>
      <c r="G545" t="s">
        <v>787</v>
      </c>
      <c r="H545" s="71"/>
      <c r="I545" t="s">
        <v>220</v>
      </c>
      <c r="J545" s="187">
        <v>1</v>
      </c>
      <c r="K545" t="s">
        <v>1407</v>
      </c>
      <c r="L545" s="185"/>
      <c r="M545" s="188">
        <v>46146</v>
      </c>
      <c r="N545" s="71"/>
      <c r="O545" s="71"/>
      <c r="P545" s="71"/>
      <c r="Q545" s="71"/>
      <c r="R545" s="71"/>
      <c r="S545" t="s">
        <v>782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BALCONISTA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356</v>
      </c>
      <c r="G546" t="s">
        <v>1453</v>
      </c>
      <c r="H546" s="71"/>
      <c r="I546" t="s">
        <v>220</v>
      </c>
      <c r="J546" s="187">
        <v>1</v>
      </c>
      <c r="K546" t="s">
        <v>1407</v>
      </c>
      <c r="L546" s="185"/>
      <c r="M546" s="188">
        <v>46223</v>
      </c>
      <c r="N546" s="71"/>
      <c r="Q546" s="71"/>
      <c r="R546" s="71"/>
      <c r="S546" t="s">
        <v>788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BALCONISTA</v>
      </c>
      <c r="D547" s="72" t="str">
        <f ca="1">IFERROR(IF(TODAY()-K547&gt;365,"Inativo",IF(J547=2,"Férias",IF(J547=7,"Demitido","Afastamento"))),VLOOKUP(J547,Conf!$H:$I,2,0))</f>
        <v>Demitido</v>
      </c>
      <c r="E547" s="187">
        <v>7</v>
      </c>
      <c r="F547" s="187">
        <v>357</v>
      </c>
      <c r="G547" t="s">
        <v>1497</v>
      </c>
      <c r="H547" s="71"/>
      <c r="I547" t="s">
        <v>220</v>
      </c>
      <c r="J547" s="187">
        <v>7</v>
      </c>
      <c r="K547" t="s">
        <v>1622</v>
      </c>
      <c r="L547" s="185"/>
      <c r="M547" s="188">
        <v>46247</v>
      </c>
      <c r="N547" s="71"/>
      <c r="Q547" s="71"/>
      <c r="R547" s="71"/>
      <c r="S547" t="s">
        <v>788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AÇOUGUE</v>
      </c>
      <c r="C548" s="72" t="str">
        <f ca="1">IF(D548="Inativo","Inativo",IFERROR(VLOOKUP($G548,Conf!$O:$Q,3,0),IFERROR(VLOOKUP($G548,Conf!$E:$F,2,0),VLOOKUP($S548,Conf!$K:$M,3,0))))</f>
        <v>ENCARREGADO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9</v>
      </c>
      <c r="G548" t="s">
        <v>790</v>
      </c>
      <c r="H548" s="71"/>
      <c r="I548" t="s">
        <v>222</v>
      </c>
      <c r="J548" s="187">
        <v>2</v>
      </c>
      <c r="K548" t="s">
        <v>1581</v>
      </c>
      <c r="L548" s="185"/>
      <c r="M548" s="188">
        <v>43983</v>
      </c>
      <c r="N548" s="71"/>
      <c r="Q548" s="71"/>
      <c r="R548" s="71"/>
      <c r="S548" t="s">
        <v>791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AÇOUGUE</v>
      </c>
      <c r="C549" s="72" t="str">
        <f ca="1">IF(D549="Inativo","Inativo",IFERROR(VLOOKUP($G549,Conf!$O:$Q,3,0),IFERROR(VLOOKUP($G549,Conf!$E:$F,2,0),VLOOKUP($S549,Conf!$K:$M,3,0))))</f>
        <v>ENCARREGADO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214</v>
      </c>
      <c r="G549" t="s">
        <v>792</v>
      </c>
      <c r="H549" s="71"/>
      <c r="I549" t="s">
        <v>793</v>
      </c>
      <c r="J549" s="187">
        <v>1</v>
      </c>
      <c r="K549" t="s">
        <v>1407</v>
      </c>
      <c r="L549" s="185"/>
      <c r="M549" s="188">
        <v>45422</v>
      </c>
      <c r="N549" s="71"/>
      <c r="Q549" s="71"/>
      <c r="R549" s="71"/>
      <c r="S549" t="s">
        <v>794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APRENDIZ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1667</v>
      </c>
      <c r="G550" t="s">
        <v>871</v>
      </c>
      <c r="H550" s="71"/>
      <c r="I550" t="s">
        <v>872</v>
      </c>
      <c r="J550" s="187">
        <v>1</v>
      </c>
      <c r="K550" t="s">
        <v>1407</v>
      </c>
      <c r="L550" s="185"/>
      <c r="M550" s="188">
        <v>45950</v>
      </c>
      <c r="N550" s="71"/>
      <c r="Q550" s="71"/>
      <c r="R550" s="71"/>
      <c r="S550" t="s">
        <v>340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APRENDIZ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1668</v>
      </c>
      <c r="G551" t="s">
        <v>873</v>
      </c>
      <c r="H551" s="71"/>
      <c r="I551" t="s">
        <v>872</v>
      </c>
      <c r="J551" s="187">
        <v>1</v>
      </c>
      <c r="K551" t="s">
        <v>1407</v>
      </c>
      <c r="L551" s="185"/>
      <c r="M551" s="188">
        <v>45950</v>
      </c>
      <c r="N551" s="71"/>
      <c r="Q551" s="71"/>
      <c r="R551" s="71"/>
      <c r="S551" t="s">
        <v>340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CONTROLADORIA</v>
      </c>
      <c r="D552" s="72" t="str">
        <f ca="1">IFERROR(IF(TODAY()-K552&gt;365,"Inativo",IF(J552=2,"Férias",IF(J552=7,"Demitido","Afastamento"))),VLOOKUP(J552,Conf!$H:$I,2,0))</f>
        <v>Demitido</v>
      </c>
      <c r="E552" s="187">
        <v>7</v>
      </c>
      <c r="F552" s="187">
        <v>1173</v>
      </c>
      <c r="G552" t="s">
        <v>802</v>
      </c>
      <c r="H552" s="71"/>
      <c r="I552" t="s">
        <v>236</v>
      </c>
      <c r="J552" s="187">
        <v>7</v>
      </c>
      <c r="K552" t="s">
        <v>1595</v>
      </c>
      <c r="L552" s="185"/>
      <c r="M552" s="188">
        <v>44478</v>
      </c>
      <c r="N552" s="71"/>
      <c r="O552" s="71"/>
      <c r="P552" s="71"/>
      <c r="Q552" s="71"/>
      <c r="R552" s="71"/>
      <c r="S552" t="s">
        <v>256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CONTROLADORIA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1671</v>
      </c>
      <c r="G553" t="s">
        <v>803</v>
      </c>
      <c r="H553" s="71"/>
      <c r="I553" t="s">
        <v>401</v>
      </c>
      <c r="J553" s="187">
        <v>1</v>
      </c>
      <c r="K553" t="s">
        <v>1407</v>
      </c>
      <c r="L553" s="185"/>
      <c r="M553" s="188">
        <v>45950</v>
      </c>
      <c r="N553" s="71"/>
      <c r="O553" s="71"/>
      <c r="P553" s="71"/>
      <c r="Q553" s="71"/>
      <c r="R553" s="71"/>
      <c r="S553" t="s">
        <v>256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CONTROLADORIA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1249</v>
      </c>
      <c r="G554" t="s">
        <v>804</v>
      </c>
      <c r="H554" s="71"/>
      <c r="I554" t="s">
        <v>244</v>
      </c>
      <c r="J554" s="187">
        <v>1</v>
      </c>
      <c r="K554" t="s">
        <v>1407</v>
      </c>
      <c r="L554" s="185"/>
      <c r="M554" s="188">
        <v>44783</v>
      </c>
      <c r="N554" s="71"/>
      <c r="Q554" s="71"/>
      <c r="R554" s="71"/>
      <c r="S554" t="s">
        <v>256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ADMINISTRATIVO</v>
      </c>
      <c r="C555" s="72" t="str">
        <f ca="1">IF(D555="Inativo","Inativo",IFERROR(VLOOKUP($G555,Conf!$O:$Q,3,0),IFERROR(VLOOKUP($G555,Conf!$E:$F,2,0),VLOOKUP($S555,Conf!$K:$M,3,0))))</f>
        <v>LIMPEZA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337</v>
      </c>
      <c r="G555" t="s">
        <v>867</v>
      </c>
      <c r="H555" s="71"/>
      <c r="I555" t="s">
        <v>244</v>
      </c>
      <c r="J555" s="187">
        <v>1</v>
      </c>
      <c r="K555" t="s">
        <v>1407</v>
      </c>
      <c r="L555" s="185"/>
      <c r="M555" s="188">
        <v>46128</v>
      </c>
      <c r="N555" s="71"/>
      <c r="Q555" s="71"/>
      <c r="R555" s="71"/>
      <c r="S555" t="s">
        <v>868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ADMINISTRATIVO</v>
      </c>
      <c r="C556" s="72" t="str">
        <f ca="1">IF(D556="Inativo","Inativo",IFERROR(VLOOKUP($G556,Conf!$O:$Q,3,0),IFERROR(VLOOKUP($G556,Conf!$E:$F,2,0),VLOOKUP($S556,Conf!$K:$M,3,0))))</f>
        <v>LIMPEZA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13</v>
      </c>
      <c r="G556" t="s">
        <v>869</v>
      </c>
      <c r="H556" s="71"/>
      <c r="I556" t="s">
        <v>384</v>
      </c>
      <c r="J556" s="187">
        <v>1</v>
      </c>
      <c r="K556" t="s">
        <v>1407</v>
      </c>
      <c r="L556" s="185"/>
      <c r="M556" s="188">
        <v>43983</v>
      </c>
      <c r="N556" s="71"/>
      <c r="O556" s="71"/>
      <c r="P556" s="71"/>
      <c r="Q556" s="71"/>
      <c r="R556" s="71"/>
      <c r="S556" t="s">
        <v>868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ADMINISTRATIVO</v>
      </c>
      <c r="C557" s="72" t="str">
        <f ca="1">IF(D557="Inativo","Inativo",IFERROR(VLOOKUP($G557,Conf!$O:$Q,3,0),IFERROR(VLOOKUP($G557,Conf!$E:$F,2,0),VLOOKUP($S557,Conf!$K:$M,3,0))))</f>
        <v>LIMPEZA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220</v>
      </c>
      <c r="G557" t="s">
        <v>870</v>
      </c>
      <c r="H557" s="71"/>
      <c r="I557" t="s">
        <v>897</v>
      </c>
      <c r="J557" s="187">
        <v>1</v>
      </c>
      <c r="K557" t="s">
        <v>1407</v>
      </c>
      <c r="L557" s="185"/>
      <c r="M557" s="188">
        <v>45462</v>
      </c>
      <c r="N557" s="71"/>
      <c r="Q557" s="71"/>
      <c r="R557" s="71"/>
      <c r="S557" t="s">
        <v>868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CONFEITARIA</v>
      </c>
      <c r="C558" s="72" t="str">
        <f ca="1">IF(D558="Inativo","Inativo",IFERROR(VLOOKUP($G558,Conf!$O:$Q,3,0),IFERROR(VLOOKUP($G558,Conf!$E:$F,2,0),VLOOKUP($S558,Conf!$K:$M,3,0))))</f>
        <v>CONFEITEIRO(A)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182</v>
      </c>
      <c r="G558" t="s">
        <v>795</v>
      </c>
      <c r="H558" s="71"/>
      <c r="I558" t="s">
        <v>384</v>
      </c>
      <c r="J558" s="187">
        <v>1</v>
      </c>
      <c r="K558" t="s">
        <v>1407</v>
      </c>
      <c r="L558" s="185"/>
      <c r="M558" s="188">
        <v>45240</v>
      </c>
      <c r="N558" s="71"/>
      <c r="Q558" s="71"/>
      <c r="R558" s="71"/>
      <c r="S558" t="s">
        <v>796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CONFEITARIA</v>
      </c>
      <c r="C559" s="72" t="str">
        <f ca="1">IF(D559="Inativo","Inativo",IFERROR(VLOOKUP($G559,Conf!$O:$Q,3,0),IFERROR(VLOOKUP($G559,Conf!$E:$F,2,0),VLOOKUP($S559,Conf!$K:$M,3,0))))</f>
        <v>CONFEITEIRO(A)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110</v>
      </c>
      <c r="G559" t="s">
        <v>797</v>
      </c>
      <c r="H559" s="71"/>
      <c r="I559" t="s">
        <v>384</v>
      </c>
      <c r="J559" s="187">
        <v>1</v>
      </c>
      <c r="K559" t="s">
        <v>1407</v>
      </c>
      <c r="L559" s="185"/>
      <c r="M559" s="188">
        <v>44736</v>
      </c>
      <c r="N559" s="71"/>
      <c r="O559" s="71"/>
      <c r="P559" s="71"/>
      <c r="Q559" s="71"/>
      <c r="R559" s="71"/>
      <c r="S559" t="s">
        <v>796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CONFEITARIA</v>
      </c>
      <c r="C560" s="72" t="str">
        <f ca="1">IF(D560="Inativo","Inativo",IFERROR(VLOOKUP($G560,Conf!$O:$Q,3,0),IFERROR(VLOOKUP($G560,Conf!$E:$F,2,0),VLOOKUP($S560,Conf!$K:$M,3,0))))</f>
        <v>CONFEITEIRO(A)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283</v>
      </c>
      <c r="G560" t="s">
        <v>798</v>
      </c>
      <c r="H560" s="71"/>
      <c r="I560" t="s">
        <v>225</v>
      </c>
      <c r="J560" s="187">
        <v>1</v>
      </c>
      <c r="K560" t="s">
        <v>1407</v>
      </c>
      <c r="L560" s="185"/>
      <c r="M560" s="188">
        <v>45839</v>
      </c>
      <c r="N560" s="71"/>
      <c r="Q560" s="71"/>
      <c r="R560" s="71"/>
      <c r="S560" t="s">
        <v>796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AUXILIAR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313</v>
      </c>
      <c r="G561" t="s">
        <v>799</v>
      </c>
      <c r="H561" s="71"/>
      <c r="I561" t="s">
        <v>440</v>
      </c>
      <c r="J561" s="187">
        <v>1</v>
      </c>
      <c r="K561" t="s">
        <v>1407</v>
      </c>
      <c r="L561" s="185"/>
      <c r="M561" s="188">
        <v>45953</v>
      </c>
      <c r="N561" s="71"/>
      <c r="Q561" s="71"/>
      <c r="R561" s="71"/>
      <c r="S561" t="s">
        <v>800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DEPOSITO</v>
      </c>
      <c r="C562" s="72" t="str">
        <f ca="1">IF(D562="Inativo","Inativo",IFERROR(VLOOKUP($G562,Conf!$O:$Q,3,0),IFERROR(VLOOKUP($G562,Conf!$E:$F,2,0),VLOOKUP($S562,Conf!$K:$M,3,0))))</f>
        <v>AUXILIAR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48</v>
      </c>
      <c r="G562" t="s">
        <v>801</v>
      </c>
      <c r="H562" s="71"/>
      <c r="I562" t="s">
        <v>406</v>
      </c>
      <c r="J562" s="187">
        <v>1</v>
      </c>
      <c r="K562" t="s">
        <v>1407</v>
      </c>
      <c r="L562" s="185"/>
      <c r="M562" s="188">
        <v>44046</v>
      </c>
      <c r="N562" s="71"/>
      <c r="O562" s="71"/>
      <c r="P562" s="71"/>
      <c r="Q562" s="71"/>
      <c r="R562" s="71"/>
      <c r="S562" t="s">
        <v>800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DEPOSITO</v>
      </c>
      <c r="C563" s="72" t="str">
        <f ca="1">IF(D563="Inativo","Inativo",IFERROR(VLOOKUP($G563,Conf!$O:$Q,3,0),IFERROR(VLOOKUP($G563,Conf!$E:$F,2,0),VLOOKUP($S563,Conf!$K:$M,3,0))))</f>
        <v>CONFERENTE</v>
      </c>
      <c r="D563" s="72" t="str">
        <f ca="1">IFERROR(IF(TODAY()-K563&gt;365,"Inativo",IF(J563=2,"Férias",IF(J563=7,"Demitido","Afastamento"))),VLOOKUP(J563,Conf!$H:$I,2,0))</f>
        <v>Férias</v>
      </c>
      <c r="E563" s="187">
        <v>7</v>
      </c>
      <c r="F563" s="187">
        <v>234</v>
      </c>
      <c r="G563" t="s">
        <v>881</v>
      </c>
      <c r="H563" s="71"/>
      <c r="I563" t="s">
        <v>440</v>
      </c>
      <c r="J563" s="187">
        <v>2</v>
      </c>
      <c r="K563" t="s">
        <v>1581</v>
      </c>
      <c r="L563" s="185"/>
      <c r="M563" s="188">
        <v>45566</v>
      </c>
      <c r="N563" s="71"/>
      <c r="Q563" s="71"/>
      <c r="R563" s="71"/>
      <c r="S563" t="s">
        <v>882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DEPOSITO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257</v>
      </c>
      <c r="G564" t="s">
        <v>875</v>
      </c>
      <c r="H564" s="71"/>
      <c r="I564" t="s">
        <v>353</v>
      </c>
      <c r="J564" s="187">
        <v>1</v>
      </c>
      <c r="K564" t="s">
        <v>1407</v>
      </c>
      <c r="L564" s="185"/>
      <c r="M564" s="188">
        <v>45678</v>
      </c>
      <c r="N564" s="71"/>
      <c r="Q564" s="71"/>
      <c r="R564" s="71"/>
      <c r="S564" t="s">
        <v>876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DEPOSITO</v>
      </c>
      <c r="C565" s="72" t="str">
        <f ca="1">IF(D565="Inativo","Inativo",IFERROR(VLOOKUP($G565,Conf!$O:$Q,3,0),IFERROR(VLOOKUP($G565,Conf!$E:$F,2,0),VLOOKUP($S565,Conf!$K:$M,3,0))))</f>
        <v>ENCARREGADO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242</v>
      </c>
      <c r="G565" t="s">
        <v>805</v>
      </c>
      <c r="H565" s="71"/>
      <c r="I565" t="s">
        <v>220</v>
      </c>
      <c r="J565" s="187">
        <v>1</v>
      </c>
      <c r="K565" t="s">
        <v>1407</v>
      </c>
      <c r="L565" s="185"/>
      <c r="M565" s="188">
        <v>45604</v>
      </c>
      <c r="N565" s="71"/>
      <c r="Q565" s="71"/>
      <c r="R565" s="71"/>
      <c r="S565" t="s">
        <v>806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Afastamento</v>
      </c>
      <c r="E566" s="187">
        <v>7</v>
      </c>
      <c r="F566" s="187">
        <v>43</v>
      </c>
      <c r="G566" t="s">
        <v>812</v>
      </c>
      <c r="H566" s="71"/>
      <c r="I566" t="s">
        <v>222</v>
      </c>
      <c r="J566" s="187">
        <v>3</v>
      </c>
      <c r="K566" t="s">
        <v>411</v>
      </c>
      <c r="L566" s="185"/>
      <c r="M566" s="188">
        <v>44036</v>
      </c>
      <c r="N566" s="71"/>
      <c r="Q566" s="71"/>
      <c r="R566" s="71"/>
      <c r="S566" t="s">
        <v>813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37</v>
      </c>
      <c r="G567" t="s">
        <v>814</v>
      </c>
      <c r="H567" s="71"/>
      <c r="I567" t="s">
        <v>225</v>
      </c>
      <c r="J567" s="187">
        <v>1</v>
      </c>
      <c r="K567" t="s">
        <v>1407</v>
      </c>
      <c r="L567" s="185"/>
      <c r="M567" s="188">
        <v>44018</v>
      </c>
      <c r="N567" s="71"/>
      <c r="O567" s="71"/>
      <c r="P567" s="71"/>
      <c r="Q567" s="71"/>
      <c r="R567" s="71"/>
      <c r="S567" t="s">
        <v>813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Afastamento</v>
      </c>
      <c r="E568" s="187">
        <v>7</v>
      </c>
      <c r="F568" s="187">
        <v>155</v>
      </c>
      <c r="G568" t="s">
        <v>815</v>
      </c>
      <c r="H568" s="71"/>
      <c r="I568" t="s">
        <v>225</v>
      </c>
      <c r="J568" s="187">
        <v>3</v>
      </c>
      <c r="K568" t="s">
        <v>816</v>
      </c>
      <c r="L568" s="185"/>
      <c r="M568" s="188">
        <v>45086</v>
      </c>
      <c r="N568" s="71"/>
      <c r="Q568" s="71"/>
      <c r="R568" s="71"/>
      <c r="S568" t="s">
        <v>817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316</v>
      </c>
      <c r="G569" t="s">
        <v>818</v>
      </c>
      <c r="H569" s="71"/>
      <c r="I569" t="s">
        <v>225</v>
      </c>
      <c r="J569" s="187">
        <v>1</v>
      </c>
      <c r="K569" t="s">
        <v>1407</v>
      </c>
      <c r="L569" s="185"/>
      <c r="M569" s="188">
        <v>45974</v>
      </c>
      <c r="N569" s="71"/>
      <c r="Q569" s="71"/>
      <c r="R569" s="71"/>
      <c r="S569" t="s">
        <v>817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367</v>
      </c>
      <c r="G570" t="s">
        <v>1609</v>
      </c>
      <c r="H570" s="71"/>
      <c r="I570" t="s">
        <v>220</v>
      </c>
      <c r="J570" s="187">
        <v>1</v>
      </c>
      <c r="K570" t="s">
        <v>1407</v>
      </c>
      <c r="L570" s="185"/>
      <c r="M570" s="188">
        <v>46279</v>
      </c>
      <c r="N570" s="71"/>
      <c r="O570" s="71"/>
      <c r="P570" s="71"/>
      <c r="Q570" s="71"/>
      <c r="R570" s="71"/>
      <c r="S570" t="s">
        <v>817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365</v>
      </c>
      <c r="G571" t="s">
        <v>1607</v>
      </c>
      <c r="H571" s="71"/>
      <c r="I571" t="s">
        <v>220</v>
      </c>
      <c r="J571" s="187">
        <v>1</v>
      </c>
      <c r="K571" t="s">
        <v>1407</v>
      </c>
      <c r="L571" s="185"/>
      <c r="M571" s="188">
        <v>46279</v>
      </c>
      <c r="N571" s="71"/>
      <c r="O571" s="71"/>
      <c r="P571" s="71"/>
      <c r="Q571" s="71"/>
      <c r="R571" s="71"/>
      <c r="S571" t="s">
        <v>817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EMPACOTADOR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360</v>
      </c>
      <c r="G572" t="s">
        <v>1538</v>
      </c>
      <c r="H572" s="71"/>
      <c r="I572" t="s">
        <v>304</v>
      </c>
      <c r="J572" s="187">
        <v>1</v>
      </c>
      <c r="K572" t="s">
        <v>1407</v>
      </c>
      <c r="L572" s="185"/>
      <c r="M572" s="188">
        <v>46259</v>
      </c>
      <c r="N572" s="71"/>
      <c r="Q572" s="71"/>
      <c r="R572" s="71"/>
      <c r="S572" t="s">
        <v>817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EMPACOTADOR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347</v>
      </c>
      <c r="G573" t="s">
        <v>819</v>
      </c>
      <c r="H573" s="71"/>
      <c r="I573" t="s">
        <v>220</v>
      </c>
      <c r="J573" s="187">
        <v>7</v>
      </c>
      <c r="K573" t="s">
        <v>1566</v>
      </c>
      <c r="L573" s="185"/>
      <c r="M573" s="188">
        <v>46163</v>
      </c>
      <c r="N573" s="71"/>
      <c r="O573" s="71"/>
      <c r="P573" s="71"/>
      <c r="Q573" s="71"/>
      <c r="R573" s="71"/>
      <c r="S573" t="s">
        <v>817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EMPACOTADOR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346</v>
      </c>
      <c r="G574" t="s">
        <v>820</v>
      </c>
      <c r="H574" s="71"/>
      <c r="I574" t="s">
        <v>220</v>
      </c>
      <c r="J574" s="187">
        <v>1</v>
      </c>
      <c r="K574" t="s">
        <v>1407</v>
      </c>
      <c r="L574" s="185"/>
      <c r="M574" s="188">
        <v>46163</v>
      </c>
      <c r="N574" s="71"/>
      <c r="Q574" s="71"/>
      <c r="R574" s="71"/>
      <c r="S574" t="s">
        <v>817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EMPACOTADOR</v>
      </c>
      <c r="D575" s="72" t="str">
        <f ca="1">IFERROR(IF(TODAY()-K575&gt;365,"Inativo",IF(J575=2,"Férias",IF(J575=7,"Demitido","Afastamento"))),VLOOKUP(J575,Conf!$H:$I,2,0))</f>
        <v>Demitido</v>
      </c>
      <c r="E575" s="187">
        <v>7</v>
      </c>
      <c r="F575" s="187">
        <v>276</v>
      </c>
      <c r="G575" t="s">
        <v>821</v>
      </c>
      <c r="H575" s="71"/>
      <c r="I575" t="s">
        <v>793</v>
      </c>
      <c r="J575" s="187">
        <v>7</v>
      </c>
      <c r="K575" t="s">
        <v>1564</v>
      </c>
      <c r="L575" s="185"/>
      <c r="M575" s="188">
        <v>45786</v>
      </c>
      <c r="N575" s="71"/>
      <c r="Q575" s="71"/>
      <c r="R575" s="71"/>
      <c r="S575" t="s">
        <v>817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ENCARREGADO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1405</v>
      </c>
      <c r="G576" t="s">
        <v>822</v>
      </c>
      <c r="H576" s="71"/>
      <c r="I576" t="s">
        <v>353</v>
      </c>
      <c r="J576" s="187">
        <v>1</v>
      </c>
      <c r="K576" t="s">
        <v>1407</v>
      </c>
      <c r="L576" s="185"/>
      <c r="M576" s="188">
        <v>45234</v>
      </c>
      <c r="N576" s="71"/>
      <c r="Q576" s="71"/>
      <c r="R576" s="71"/>
      <c r="S576" t="s">
        <v>415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ENTREGADOR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1641</v>
      </c>
      <c r="G577" t="s">
        <v>807</v>
      </c>
      <c r="H577" s="71"/>
      <c r="I577" t="s">
        <v>220</v>
      </c>
      <c r="J577" s="187">
        <v>1</v>
      </c>
      <c r="K577" t="s">
        <v>1407</v>
      </c>
      <c r="L577" s="185"/>
      <c r="M577" s="188">
        <v>45853</v>
      </c>
      <c r="N577" s="71"/>
      <c r="Q577" s="71"/>
      <c r="R577" s="71"/>
      <c r="S577" t="s">
        <v>409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ENTREGADOR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1445</v>
      </c>
      <c r="G578" t="s">
        <v>810</v>
      </c>
      <c r="H578" s="71"/>
      <c r="I578" t="s">
        <v>265</v>
      </c>
      <c r="J578" s="187">
        <v>1</v>
      </c>
      <c r="K578" t="s">
        <v>1407</v>
      </c>
      <c r="L578" s="185"/>
      <c r="M578" s="188">
        <v>45324</v>
      </c>
      <c r="N578" s="71"/>
      <c r="O578" s="71"/>
      <c r="P578" s="71"/>
      <c r="Q578" s="71"/>
      <c r="R578" s="71"/>
      <c r="S578" t="s">
        <v>409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ENTREGADOR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1324</v>
      </c>
      <c r="G579" t="s">
        <v>811</v>
      </c>
      <c r="H579" s="71"/>
      <c r="I579" t="s">
        <v>220</v>
      </c>
      <c r="J579" s="187">
        <v>1</v>
      </c>
      <c r="K579" t="s">
        <v>1407</v>
      </c>
      <c r="L579" s="185"/>
      <c r="M579" s="188">
        <v>45027</v>
      </c>
      <c r="N579" s="71"/>
      <c r="Q579" s="71"/>
      <c r="R579" s="71"/>
      <c r="S579" t="s">
        <v>409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ENTREGADOR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1779</v>
      </c>
      <c r="G580" t="s">
        <v>1633</v>
      </c>
      <c r="H580" s="71"/>
      <c r="I580" t="s">
        <v>220</v>
      </c>
      <c r="J580" s="187">
        <v>1</v>
      </c>
      <c r="K580" t="s">
        <v>1407</v>
      </c>
      <c r="L580" s="185"/>
      <c r="M580" s="188">
        <v>46283</v>
      </c>
      <c r="N580" s="71"/>
      <c r="Q580" s="71"/>
      <c r="R580" s="71"/>
      <c r="S580" t="s">
        <v>409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FISCAL DE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1069</v>
      </c>
      <c r="G581" t="s">
        <v>823</v>
      </c>
      <c r="H581" s="71"/>
      <c r="I581" t="s">
        <v>265</v>
      </c>
      <c r="J581" s="187">
        <v>1</v>
      </c>
      <c r="K581" t="s">
        <v>1407</v>
      </c>
      <c r="L581" s="185"/>
      <c r="M581" s="188">
        <v>44105</v>
      </c>
      <c r="N581" s="71"/>
      <c r="Q581" s="71"/>
      <c r="R581" s="71"/>
      <c r="S581" t="s">
        <v>279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FISCAL DE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1537</v>
      </c>
      <c r="G582" t="s">
        <v>824</v>
      </c>
      <c r="H582" s="71"/>
      <c r="I582" t="s">
        <v>220</v>
      </c>
      <c r="J582" s="187">
        <v>1</v>
      </c>
      <c r="K582" t="s">
        <v>1407</v>
      </c>
      <c r="L582" s="185"/>
      <c r="M582" s="188">
        <v>45555</v>
      </c>
      <c r="N582" s="71"/>
      <c r="O582" s="71"/>
      <c r="P582" s="71"/>
      <c r="Q582" s="71"/>
      <c r="R582" s="71"/>
      <c r="S582" t="s">
        <v>279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FISCAL DE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1513</v>
      </c>
      <c r="G583" t="s">
        <v>825</v>
      </c>
      <c r="H583" s="71"/>
      <c r="I583" t="s">
        <v>220</v>
      </c>
      <c r="J583" s="187">
        <v>1</v>
      </c>
      <c r="K583" t="s">
        <v>1407</v>
      </c>
      <c r="L583" s="185"/>
      <c r="M583" s="188">
        <v>45458</v>
      </c>
      <c r="N583" s="71"/>
      <c r="O583" s="71"/>
      <c r="P583" s="71"/>
      <c r="Q583" s="71"/>
      <c r="R583" s="71"/>
      <c r="S583" t="s">
        <v>279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FISCAL DE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1578</v>
      </c>
      <c r="G584" t="s">
        <v>826</v>
      </c>
      <c r="H584" s="71"/>
      <c r="I584" t="s">
        <v>220</v>
      </c>
      <c r="J584" s="187">
        <v>1</v>
      </c>
      <c r="K584" t="s">
        <v>1407</v>
      </c>
      <c r="L584" s="185"/>
      <c r="M584" s="188">
        <v>45644</v>
      </c>
      <c r="N584" s="71"/>
      <c r="O584" s="71"/>
      <c r="P584" s="71"/>
      <c r="Q584" s="71"/>
      <c r="R584" s="71"/>
      <c r="S584" t="s">
        <v>279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FISCAL DE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1222</v>
      </c>
      <c r="G585" t="s">
        <v>827</v>
      </c>
      <c r="H585" s="71"/>
      <c r="I585" t="s">
        <v>225</v>
      </c>
      <c r="J585" s="187">
        <v>1</v>
      </c>
      <c r="K585" t="s">
        <v>1407</v>
      </c>
      <c r="L585" s="185"/>
      <c r="M585" s="188">
        <v>44687</v>
      </c>
      <c r="N585" s="71"/>
      <c r="Q585" s="71"/>
      <c r="R585" s="71"/>
      <c r="S585" t="s">
        <v>279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1737</v>
      </c>
      <c r="G586" t="s">
        <v>828</v>
      </c>
      <c r="H586" s="71"/>
      <c r="I586" t="s">
        <v>220</v>
      </c>
      <c r="J586" s="187">
        <v>1</v>
      </c>
      <c r="K586" t="s">
        <v>1407</v>
      </c>
      <c r="L586" s="185"/>
      <c r="M586" s="188">
        <v>46114</v>
      </c>
      <c r="N586" s="71"/>
      <c r="Q586" s="71"/>
      <c r="R586" s="71"/>
      <c r="S586" t="s">
        <v>282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1777</v>
      </c>
      <c r="G587" t="s">
        <v>1619</v>
      </c>
      <c r="H587" s="71"/>
      <c r="I587" t="s">
        <v>220</v>
      </c>
      <c r="J587" s="187">
        <v>1</v>
      </c>
      <c r="K587" t="s">
        <v>1407</v>
      </c>
      <c r="L587" s="185"/>
      <c r="M587" s="188">
        <v>46282</v>
      </c>
      <c r="N587" s="71"/>
      <c r="Q587" s="71"/>
      <c r="R587" s="71"/>
      <c r="S587" t="s">
        <v>282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1727</v>
      </c>
      <c r="G588" t="s">
        <v>829</v>
      </c>
      <c r="H588" s="71"/>
      <c r="I588" t="s">
        <v>220</v>
      </c>
      <c r="J588" s="187">
        <v>1</v>
      </c>
      <c r="K588" t="s">
        <v>1407</v>
      </c>
      <c r="L588" s="185"/>
      <c r="M588" s="188">
        <v>46098</v>
      </c>
      <c r="N588" s="71"/>
      <c r="Q588" s="71"/>
      <c r="R588" s="71"/>
      <c r="S588" t="s">
        <v>282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1365</v>
      </c>
      <c r="G589" t="s">
        <v>830</v>
      </c>
      <c r="H589" s="71"/>
      <c r="I589" t="s">
        <v>265</v>
      </c>
      <c r="J589" s="187">
        <v>1</v>
      </c>
      <c r="K589" t="s">
        <v>1407</v>
      </c>
      <c r="L589" s="185"/>
      <c r="M589" s="188">
        <v>45140</v>
      </c>
      <c r="N589" s="71"/>
      <c r="Q589" s="71"/>
      <c r="R589" s="71"/>
      <c r="S589" t="s">
        <v>282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1579</v>
      </c>
      <c r="G590" t="s">
        <v>831</v>
      </c>
      <c r="H590" s="71"/>
      <c r="I590" t="s">
        <v>220</v>
      </c>
      <c r="J590" s="187">
        <v>1</v>
      </c>
      <c r="K590" t="s">
        <v>1407</v>
      </c>
      <c r="L590" s="185"/>
      <c r="M590" s="188">
        <v>45644</v>
      </c>
      <c r="N590" s="71"/>
      <c r="Q590" s="71"/>
      <c r="R590" s="71"/>
      <c r="S590" t="s">
        <v>282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1520</v>
      </c>
      <c r="G591" t="s">
        <v>832</v>
      </c>
      <c r="H591" s="71"/>
      <c r="I591" t="s">
        <v>220</v>
      </c>
      <c r="J591" s="187">
        <v>1</v>
      </c>
      <c r="K591" t="s">
        <v>1407</v>
      </c>
      <c r="L591" s="185"/>
      <c r="M591" s="188">
        <v>45485</v>
      </c>
      <c r="N591" s="71"/>
      <c r="O591" s="71"/>
      <c r="P591" s="71"/>
      <c r="Q591" s="71"/>
      <c r="R591" s="71"/>
      <c r="S591" t="s">
        <v>282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1771</v>
      </c>
      <c r="G592" t="s">
        <v>1539</v>
      </c>
      <c r="H592" s="71"/>
      <c r="I592" t="s">
        <v>220</v>
      </c>
      <c r="J592" s="187">
        <v>1</v>
      </c>
      <c r="K592" t="s">
        <v>1407</v>
      </c>
      <c r="L592" s="185"/>
      <c r="M592" s="188">
        <v>46259</v>
      </c>
      <c r="N592" s="71"/>
      <c r="O592" s="71"/>
      <c r="P592" s="71"/>
      <c r="Q592" s="71"/>
      <c r="R592" s="71"/>
      <c r="S592" t="s">
        <v>282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1721</v>
      </c>
      <c r="G593" t="s">
        <v>833</v>
      </c>
      <c r="H593" s="71"/>
      <c r="I593" t="s">
        <v>220</v>
      </c>
      <c r="J593" s="187">
        <v>1</v>
      </c>
      <c r="K593" t="s">
        <v>1407</v>
      </c>
      <c r="L593" s="185"/>
      <c r="M593" s="188">
        <v>46091</v>
      </c>
      <c r="N593" s="71"/>
      <c r="Q593" s="71"/>
      <c r="R593" s="71"/>
      <c r="S593" t="s">
        <v>282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1421</v>
      </c>
      <c r="G594" t="s">
        <v>834</v>
      </c>
      <c r="H594" s="71"/>
      <c r="I594" t="s">
        <v>225</v>
      </c>
      <c r="J594" s="187">
        <v>1</v>
      </c>
      <c r="K594" t="s">
        <v>1407</v>
      </c>
      <c r="L594" s="185"/>
      <c r="M594" s="188">
        <v>45279</v>
      </c>
      <c r="N594" s="71"/>
      <c r="Q594" s="71"/>
      <c r="R594" s="71"/>
      <c r="S594" t="s">
        <v>282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1019</v>
      </c>
      <c r="G595" t="s">
        <v>835</v>
      </c>
      <c r="H595" s="71"/>
      <c r="I595" t="s">
        <v>225</v>
      </c>
      <c r="J595" s="187">
        <v>1</v>
      </c>
      <c r="K595" t="s">
        <v>1407</v>
      </c>
      <c r="L595" s="185"/>
      <c r="M595" s="188">
        <v>44004</v>
      </c>
      <c r="N595" s="71"/>
      <c r="Q595" s="71"/>
      <c r="R595" s="71"/>
      <c r="S595" t="s">
        <v>282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1761</v>
      </c>
      <c r="G596" t="s">
        <v>1454</v>
      </c>
      <c r="H596" s="71"/>
      <c r="I596" t="s">
        <v>220</v>
      </c>
      <c r="J596" s="187">
        <v>1</v>
      </c>
      <c r="K596" t="s">
        <v>1407</v>
      </c>
      <c r="L596" s="185"/>
      <c r="M596" s="188">
        <v>46223</v>
      </c>
      <c r="N596" s="71"/>
      <c r="O596" s="71"/>
      <c r="P596" s="71"/>
      <c r="Q596" s="71"/>
      <c r="R596" s="71"/>
      <c r="S596" t="s">
        <v>282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1072</v>
      </c>
      <c r="G597" t="s">
        <v>836</v>
      </c>
      <c r="H597" s="71"/>
      <c r="I597" t="s">
        <v>225</v>
      </c>
      <c r="J597" s="187">
        <v>1</v>
      </c>
      <c r="K597" t="s">
        <v>1407</v>
      </c>
      <c r="L597" s="185"/>
      <c r="M597" s="188">
        <v>44109</v>
      </c>
      <c r="N597" s="71"/>
      <c r="Q597" s="71"/>
      <c r="R597" s="71"/>
      <c r="S597" t="s">
        <v>282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1637</v>
      </c>
      <c r="G598" t="s">
        <v>837</v>
      </c>
      <c r="H598" s="71"/>
      <c r="I598" t="s">
        <v>220</v>
      </c>
      <c r="J598" s="187">
        <v>2</v>
      </c>
      <c r="K598" t="s">
        <v>1581</v>
      </c>
      <c r="L598" s="185"/>
      <c r="M598" s="188">
        <v>45840</v>
      </c>
      <c r="N598" s="71"/>
      <c r="Q598" s="71"/>
      <c r="R598" s="71"/>
      <c r="S598" t="s">
        <v>282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1295</v>
      </c>
      <c r="G599" t="s">
        <v>838</v>
      </c>
      <c r="H599" s="71"/>
      <c r="I599" t="s">
        <v>220</v>
      </c>
      <c r="J599" s="187">
        <v>1</v>
      </c>
      <c r="K599" t="s">
        <v>1407</v>
      </c>
      <c r="L599" s="185"/>
      <c r="M599" s="188">
        <v>44936</v>
      </c>
      <c r="N599" s="71"/>
      <c r="Q599" s="71"/>
      <c r="R599" s="71"/>
      <c r="S599" t="s">
        <v>282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Afastamento</v>
      </c>
      <c r="E600" s="187">
        <v>7</v>
      </c>
      <c r="F600" s="187">
        <v>1687</v>
      </c>
      <c r="G600" t="s">
        <v>839</v>
      </c>
      <c r="H600" s="71"/>
      <c r="I600" t="s">
        <v>220</v>
      </c>
      <c r="J600" s="187">
        <v>6</v>
      </c>
      <c r="K600" t="s">
        <v>1582</v>
      </c>
      <c r="L600" s="185"/>
      <c r="M600" s="188">
        <v>45992</v>
      </c>
      <c r="N600" s="71"/>
      <c r="Q600" s="71"/>
      <c r="R600" s="71"/>
      <c r="S600" t="s">
        <v>282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1155</v>
      </c>
      <c r="G601" t="s">
        <v>840</v>
      </c>
      <c r="H601" s="71"/>
      <c r="I601" t="s">
        <v>360</v>
      </c>
      <c r="J601" s="187">
        <v>1</v>
      </c>
      <c r="K601" t="s">
        <v>1407</v>
      </c>
      <c r="L601" s="185"/>
      <c r="M601" s="188">
        <v>44400</v>
      </c>
      <c r="N601" s="71"/>
      <c r="Q601" s="71"/>
      <c r="R601" s="71"/>
      <c r="S601" t="s">
        <v>282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1358</v>
      </c>
      <c r="G602" t="s">
        <v>841</v>
      </c>
      <c r="H602" s="71"/>
      <c r="I602" t="s">
        <v>220</v>
      </c>
      <c r="J602" s="187">
        <v>2</v>
      </c>
      <c r="K602" t="s">
        <v>1581</v>
      </c>
      <c r="L602" s="185"/>
      <c r="M602" s="188">
        <v>45125</v>
      </c>
      <c r="N602" s="71"/>
      <c r="O602" s="71"/>
      <c r="P602" s="71"/>
      <c r="Q602" s="71"/>
      <c r="R602" s="71"/>
      <c r="S602" t="s">
        <v>282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OPERADOR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1580</v>
      </c>
      <c r="G603" t="s">
        <v>842</v>
      </c>
      <c r="H603" s="71"/>
      <c r="I603" t="s">
        <v>220</v>
      </c>
      <c r="J603" s="187">
        <v>1</v>
      </c>
      <c r="K603" t="s">
        <v>1407</v>
      </c>
      <c r="L603" s="185"/>
      <c r="M603" s="188">
        <v>45644</v>
      </c>
      <c r="N603" s="71"/>
      <c r="Q603" s="71"/>
      <c r="R603" s="71"/>
      <c r="S603" t="s">
        <v>282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1582</v>
      </c>
      <c r="G604" t="s">
        <v>843</v>
      </c>
      <c r="H604" s="71"/>
      <c r="I604" t="s">
        <v>220</v>
      </c>
      <c r="J604" s="187">
        <v>1</v>
      </c>
      <c r="K604" t="s">
        <v>1407</v>
      </c>
      <c r="L604" s="185"/>
      <c r="M604" s="188">
        <v>45666</v>
      </c>
      <c r="N604" s="71"/>
      <c r="Q604" s="71"/>
      <c r="R604" s="71"/>
      <c r="S604" t="s">
        <v>282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1602</v>
      </c>
      <c r="G605" t="s">
        <v>844</v>
      </c>
      <c r="H605" s="71"/>
      <c r="I605" t="s">
        <v>220</v>
      </c>
      <c r="J605" s="187">
        <v>1</v>
      </c>
      <c r="K605" t="s">
        <v>1407</v>
      </c>
      <c r="L605" s="185"/>
      <c r="M605" s="188">
        <v>45709</v>
      </c>
      <c r="N605" s="71"/>
      <c r="Q605" s="71"/>
      <c r="R605" s="71"/>
      <c r="S605" t="s">
        <v>282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1749</v>
      </c>
      <c r="G606" t="s">
        <v>845</v>
      </c>
      <c r="H606" s="71"/>
      <c r="I606" t="s">
        <v>220</v>
      </c>
      <c r="J606" s="187">
        <v>1</v>
      </c>
      <c r="K606" t="s">
        <v>1407</v>
      </c>
      <c r="L606" s="185"/>
      <c r="M606" s="188">
        <v>46167</v>
      </c>
      <c r="N606" s="71"/>
      <c r="Q606" s="71"/>
      <c r="R606" s="71"/>
      <c r="S606" t="s">
        <v>282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OPERADOR CAIXA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1680</v>
      </c>
      <c r="G607" t="s">
        <v>846</v>
      </c>
      <c r="H607" s="71"/>
      <c r="I607" t="s">
        <v>360</v>
      </c>
      <c r="J607" s="187">
        <v>7</v>
      </c>
      <c r="K607" t="s">
        <v>1582</v>
      </c>
      <c r="L607" s="185"/>
      <c r="M607" s="188">
        <v>45964</v>
      </c>
      <c r="N607" s="71"/>
      <c r="Q607" s="71"/>
      <c r="R607" s="71"/>
      <c r="S607" t="s">
        <v>282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1330</v>
      </c>
      <c r="G608" t="s">
        <v>847</v>
      </c>
      <c r="H608" s="71"/>
      <c r="I608" t="s">
        <v>360</v>
      </c>
      <c r="J608" s="187">
        <v>1</v>
      </c>
      <c r="K608" t="s">
        <v>1407</v>
      </c>
      <c r="L608" s="185"/>
      <c r="M608" s="188">
        <v>45048</v>
      </c>
      <c r="N608" s="71"/>
      <c r="Q608" s="71"/>
      <c r="R608" s="71"/>
      <c r="S608" t="s">
        <v>282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FRIOS</v>
      </c>
      <c r="C609" s="72" t="str">
        <f ca="1">IF(D609="Inativo","Inativo",IFERROR(VLOOKUP($G609,Conf!$O:$Q,3,0),IFERROR(VLOOKUP($G609,Conf!$E:$F,2,0),VLOOKUP($S609,Conf!$K:$M,3,0))))</f>
        <v>ENCARREGADO</v>
      </c>
      <c r="D609" s="72" t="str">
        <f ca="1">IFERROR(IF(TODAY()-K609&gt;365,"Inativo",IF(J609=2,"Férias",IF(J609=7,"Demitido","Afastamento"))),VLOOKUP(J609,Conf!$H:$I,2,0))</f>
        <v>Afastamento</v>
      </c>
      <c r="E609" s="187">
        <v>7</v>
      </c>
      <c r="F609" s="187">
        <v>305</v>
      </c>
      <c r="G609" t="s">
        <v>848</v>
      </c>
      <c r="H609" s="71"/>
      <c r="I609" t="s">
        <v>353</v>
      </c>
      <c r="J609" s="187">
        <v>3</v>
      </c>
      <c r="K609" t="s">
        <v>1622</v>
      </c>
      <c r="L609" s="185"/>
      <c r="M609" s="188">
        <v>45911</v>
      </c>
      <c r="N609" s="71"/>
      <c r="O609" s="71"/>
      <c r="P609" s="71"/>
      <c r="Q609" s="71"/>
      <c r="R609" s="71"/>
      <c r="S609" t="s">
        <v>849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FRIOS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Demitido</v>
      </c>
      <c r="E610" s="187">
        <v>7</v>
      </c>
      <c r="F610" s="187">
        <v>249</v>
      </c>
      <c r="G610" t="s">
        <v>894</v>
      </c>
      <c r="H610" s="71"/>
      <c r="I610" t="s">
        <v>395</v>
      </c>
      <c r="J610" s="187">
        <v>7</v>
      </c>
      <c r="K610" t="s">
        <v>1637</v>
      </c>
      <c r="L610" s="185"/>
      <c r="M610" s="188">
        <v>45632</v>
      </c>
      <c r="N610" s="71"/>
      <c r="Q610" s="71"/>
      <c r="R610" s="71"/>
      <c r="S610" t="s">
        <v>851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FRIOS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Férias</v>
      </c>
      <c r="E611" s="187">
        <v>7</v>
      </c>
      <c r="F611" s="187">
        <v>299</v>
      </c>
      <c r="G611" t="s">
        <v>850</v>
      </c>
      <c r="H611" s="71"/>
      <c r="I611" t="s">
        <v>395</v>
      </c>
      <c r="J611" s="187">
        <v>2</v>
      </c>
      <c r="K611" t="s">
        <v>1581</v>
      </c>
      <c r="L611" s="185"/>
      <c r="M611" s="188">
        <v>45887</v>
      </c>
      <c r="N611" s="71"/>
      <c r="Q611" s="71"/>
      <c r="R611" s="71"/>
      <c r="S611" t="s">
        <v>851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FRIOS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Afastamento</v>
      </c>
      <c r="E612" s="187">
        <v>7</v>
      </c>
      <c r="F612" s="187">
        <v>161</v>
      </c>
      <c r="G612" t="s">
        <v>852</v>
      </c>
      <c r="H612" s="71"/>
      <c r="I612" t="s">
        <v>222</v>
      </c>
      <c r="J612" s="187">
        <v>3</v>
      </c>
      <c r="K612" t="s">
        <v>1636</v>
      </c>
      <c r="L612" s="185"/>
      <c r="M612" s="188">
        <v>45110</v>
      </c>
      <c r="N612" s="71"/>
      <c r="O612" s="71"/>
      <c r="P612" s="71"/>
      <c r="Q612" s="71"/>
      <c r="R612" s="71"/>
      <c r="S612" t="s">
        <v>851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GERÊNCIA</v>
      </c>
      <c r="C613" s="72" t="str">
        <f ca="1">IF(D613="Inativo","Inativo",IFERROR(VLOOKUP($G613,Conf!$O:$Q,3,0),IFERROR(VLOOKUP($G613,Conf!$E:$F,2,0),VLOOKUP($S613,Conf!$K:$M,3,0))))</f>
        <v>GERENTE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26</v>
      </c>
      <c r="G613" t="s">
        <v>877</v>
      </c>
      <c r="H613" s="71"/>
      <c r="I613" t="s">
        <v>297</v>
      </c>
      <c r="J613" s="187">
        <v>1</v>
      </c>
      <c r="K613" t="s">
        <v>1407</v>
      </c>
      <c r="L613" s="185"/>
      <c r="M613" s="188">
        <v>44002</v>
      </c>
      <c r="N613" s="71"/>
      <c r="Q613" s="71"/>
      <c r="R613" s="71"/>
      <c r="S613" t="s">
        <v>878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GERÊNCIA</v>
      </c>
      <c r="C614" s="72" t="str">
        <f ca="1">IF(D614="Inativo","Inativo",IFERROR(VLOOKUP($G614,Conf!$O:$Q,3,0),IFERROR(VLOOKUP($G614,Conf!$E:$F,2,0),VLOOKUP($S614,Conf!$K:$M,3,0))))</f>
        <v>SUBGERENTE</v>
      </c>
      <c r="D614" s="72" t="str">
        <f ca="1">IFERROR(IF(TODAY()-K614&gt;365,"Inativo",IF(J614=2,"Férias",IF(J614=7,"Demitido","Afastamento"))),VLOOKUP(J614,Conf!$H:$I,2,0))</f>
        <v>Ativos</v>
      </c>
      <c r="E614" s="187">
        <v>1</v>
      </c>
      <c r="F614" s="187">
        <v>148</v>
      </c>
      <c r="G614" t="s">
        <v>887</v>
      </c>
      <c r="H614" s="71"/>
      <c r="I614" t="s">
        <v>353</v>
      </c>
      <c r="J614" s="187">
        <v>1</v>
      </c>
      <c r="K614" t="s">
        <v>1407</v>
      </c>
      <c r="L614" s="185"/>
      <c r="M614" s="188">
        <v>45590</v>
      </c>
      <c r="N614" s="71"/>
      <c r="Q614" s="71"/>
      <c r="R614" s="71"/>
      <c r="S614" t="s">
        <v>371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HORTIFRUTI</v>
      </c>
      <c r="C615" s="72" t="str">
        <f ca="1">IF(D615="Inativo","Inativo",IFERROR(VLOOKUP($G615,Conf!$O:$Q,3,0),IFERROR(VLOOKUP($G615,Conf!$E:$F,2,0),VLOOKUP($S615,Conf!$K:$M,3,0))))</f>
        <v>ENCARREGADO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</v>
      </c>
      <c r="G615" t="s">
        <v>853</v>
      </c>
      <c r="H615" s="71"/>
      <c r="I615" t="s">
        <v>278</v>
      </c>
      <c r="J615" s="187">
        <v>1</v>
      </c>
      <c r="K615" t="s">
        <v>1407</v>
      </c>
      <c r="L615" s="185"/>
      <c r="M615" s="188">
        <v>43983</v>
      </c>
      <c r="N615" s="71"/>
      <c r="Q615" s="71"/>
      <c r="R615" s="71"/>
      <c r="S615" t="s">
        <v>854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HORTIFRUTI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363</v>
      </c>
      <c r="G616" t="s">
        <v>1577</v>
      </c>
      <c r="H616" s="71"/>
      <c r="I616" t="s">
        <v>220</v>
      </c>
      <c r="J616" s="187">
        <v>1</v>
      </c>
      <c r="K616" t="s">
        <v>1407</v>
      </c>
      <c r="L616" s="185"/>
      <c r="M616" s="188">
        <v>46268</v>
      </c>
      <c r="N616" s="71"/>
      <c r="Q616" s="71"/>
      <c r="R616" s="71"/>
      <c r="S616" t="s">
        <v>856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HORTIFRUTI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269</v>
      </c>
      <c r="G617" t="s">
        <v>857</v>
      </c>
      <c r="H617" s="71"/>
      <c r="I617" t="s">
        <v>225</v>
      </c>
      <c r="J617" s="187">
        <v>1</v>
      </c>
      <c r="K617" t="s">
        <v>1407</v>
      </c>
      <c r="L617" s="185"/>
      <c r="M617" s="188">
        <v>45731</v>
      </c>
      <c r="N617" s="71"/>
      <c r="O617" s="71"/>
      <c r="P617" s="71"/>
      <c r="Q617" s="71"/>
      <c r="R617" s="71"/>
      <c r="S617" t="s">
        <v>856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HORTIFRUTI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323</v>
      </c>
      <c r="G618" t="s">
        <v>858</v>
      </c>
      <c r="H618" s="71"/>
      <c r="I618" t="s">
        <v>322</v>
      </c>
      <c r="J618" s="187">
        <v>1</v>
      </c>
      <c r="K618" t="s">
        <v>1407</v>
      </c>
      <c r="L618" s="185"/>
      <c r="M618" s="188">
        <v>46055</v>
      </c>
      <c r="N618" s="71"/>
      <c r="Q618" s="71"/>
      <c r="R618" s="71"/>
      <c r="S618" t="s">
        <v>856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HORTIFRUTI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368</v>
      </c>
      <c r="G619" t="s">
        <v>1618</v>
      </c>
      <c r="H619" s="71"/>
      <c r="I619" t="s">
        <v>220</v>
      </c>
      <c r="J619" s="187">
        <v>1</v>
      </c>
      <c r="K619" t="s">
        <v>1407</v>
      </c>
      <c r="L619" s="185"/>
      <c r="M619" s="188">
        <v>46282</v>
      </c>
      <c r="N619" s="71"/>
      <c r="O619" s="71"/>
      <c r="P619" s="71"/>
      <c r="Q619" s="71"/>
      <c r="R619" s="71"/>
      <c r="S619" t="s">
        <v>856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Inativo</v>
      </c>
      <c r="C620" s="72" t="str">
        <f ca="1">IF(D620="Inativo","Inativo",IFERROR(VLOOKUP($G620,Conf!$O:$Q,3,0),IFERROR(VLOOKUP($G620,Conf!$E:$F,2,0),VLOOKUP($S620,Conf!$K:$M,3,0))))</f>
        <v>Inativo</v>
      </c>
      <c r="D620" s="72" t="str">
        <f ca="1">IFERROR(IF(TODAY()-K620&gt;365,"Inativo",IF(J620=2,"Férias",IF(J620=7,"Demitido","Afastamento"))),VLOOKUP(J620,Conf!$H:$I,2,0))</f>
        <v>Inativo</v>
      </c>
      <c r="E620" s="187">
        <v>7</v>
      </c>
      <c r="F620" s="187">
        <v>129</v>
      </c>
      <c r="G620" t="s">
        <v>859</v>
      </c>
      <c r="H620" s="71"/>
      <c r="I620" t="s">
        <v>220</v>
      </c>
      <c r="J620" s="187">
        <v>3</v>
      </c>
      <c r="K620" t="s">
        <v>860</v>
      </c>
      <c r="L620" s="185"/>
      <c r="M620" s="188">
        <v>44874</v>
      </c>
      <c r="N620" s="71"/>
      <c r="Q620" s="71"/>
      <c r="R620" s="71"/>
      <c r="S620" t="s">
        <v>861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Inativo</v>
      </c>
      <c r="C621" s="72" t="str">
        <f ca="1">IF(D621="Inativo","Inativo",IFERROR(VLOOKUP($G621,Conf!$O:$Q,3,0),IFERROR(VLOOKUP($G621,Conf!$E:$F,2,0),VLOOKUP($S621,Conf!$K:$M,3,0))))</f>
        <v>Inativo</v>
      </c>
      <c r="D621" s="72" t="str">
        <f ca="1">IFERROR(IF(TODAY()-K621&gt;365,"Inativo",IF(J621=2,"Férias",IF(J621=7,"Demitido","Afastamento"))),VLOOKUP(J621,Conf!$H:$I,2,0))</f>
        <v>Inativo</v>
      </c>
      <c r="E621" s="187">
        <v>7</v>
      </c>
      <c r="F621" s="187">
        <v>1618</v>
      </c>
      <c r="G621" t="s">
        <v>808</v>
      </c>
      <c r="H621" s="71"/>
      <c r="I621" t="s">
        <v>793</v>
      </c>
      <c r="J621" s="187">
        <v>3</v>
      </c>
      <c r="K621" t="s">
        <v>809</v>
      </c>
      <c r="L621" s="185"/>
      <c r="M621" s="188">
        <v>45757</v>
      </c>
      <c r="N621" s="71"/>
      <c r="O621" s="71"/>
      <c r="P621" s="71"/>
      <c r="Q621" s="71"/>
      <c r="R621" s="71"/>
      <c r="S621" t="s">
        <v>409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Inativo</v>
      </c>
      <c r="C622" s="72" t="str">
        <f ca="1">IF(D622="Inativo","Inativo",IFERROR(VLOOKUP($G622,Conf!$O:$Q,3,0),IFERROR(VLOOKUP($G622,Conf!$E:$F,2,0),VLOOKUP($S622,Conf!$K:$M,3,0))))</f>
        <v>Inativo</v>
      </c>
      <c r="D622" s="72" t="str">
        <f ca="1">IFERROR(IF(TODAY()-K622&gt;365,"Inativo",IF(J622=2,"Férias",IF(J622=7,"Demitido","Afastamento"))),VLOOKUP(J622,Conf!$H:$I,2,0))</f>
        <v>Inativo</v>
      </c>
      <c r="E622" s="187">
        <v>7</v>
      </c>
      <c r="F622" s="187">
        <v>86</v>
      </c>
      <c r="G622" t="s">
        <v>862</v>
      </c>
      <c r="H622" s="71"/>
      <c r="I622" t="s">
        <v>258</v>
      </c>
      <c r="J622" s="187">
        <v>3</v>
      </c>
      <c r="K622" t="s">
        <v>863</v>
      </c>
      <c r="L622" s="185"/>
      <c r="M622" s="188">
        <v>44470</v>
      </c>
      <c r="N622" s="71"/>
      <c r="O622" s="71"/>
      <c r="P622" s="71"/>
      <c r="Q622" s="71"/>
      <c r="R622" s="71"/>
      <c r="S622" t="s">
        <v>796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Inativo</v>
      </c>
      <c r="C623" s="72" t="str">
        <f ca="1">IF(D623="Inativo","Inativo",IFERROR(VLOOKUP($G623,Conf!$O:$Q,3,0),IFERROR(VLOOKUP($G623,Conf!$E:$F,2,0),VLOOKUP($S623,Conf!$K:$M,3,0))))</f>
        <v>Inativo</v>
      </c>
      <c r="D623" s="72" t="str">
        <f ca="1">IFERROR(IF(TODAY()-K623&gt;365,"Inativo",IF(J623=2,"Férias",IF(J623=7,"Demitido","Afastamento"))),VLOOKUP(J623,Conf!$H:$I,2,0))</f>
        <v>Inativo</v>
      </c>
      <c r="E623" s="187">
        <v>7</v>
      </c>
      <c r="F623" s="187">
        <v>168</v>
      </c>
      <c r="G623" t="s">
        <v>864</v>
      </c>
      <c r="H623" s="71"/>
      <c r="I623" t="s">
        <v>384</v>
      </c>
      <c r="J623" s="187">
        <v>3</v>
      </c>
      <c r="K623" t="s">
        <v>865</v>
      </c>
      <c r="L623" s="185"/>
      <c r="M623" s="188">
        <v>45174</v>
      </c>
      <c r="N623" s="71"/>
      <c r="O623" s="71"/>
      <c r="P623" s="71"/>
      <c r="Q623" s="71"/>
      <c r="R623" s="71"/>
      <c r="S623" t="s">
        <v>866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CARTAZISTA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319</v>
      </c>
      <c r="G624" t="s">
        <v>874</v>
      </c>
      <c r="H624" s="71"/>
      <c r="I624" t="s">
        <v>401</v>
      </c>
      <c r="J624" s="187">
        <v>1</v>
      </c>
      <c r="K624" t="s">
        <v>1407</v>
      </c>
      <c r="L624" s="185"/>
      <c r="M624" s="188">
        <v>46002</v>
      </c>
      <c r="N624" s="71"/>
      <c r="Q624" s="71"/>
      <c r="R624" s="71"/>
      <c r="S624" t="s">
        <v>741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311</v>
      </c>
      <c r="G625" t="s">
        <v>855</v>
      </c>
      <c r="H625" s="71"/>
      <c r="I625" t="s">
        <v>220</v>
      </c>
      <c r="J625" s="187">
        <v>1</v>
      </c>
      <c r="K625" t="s">
        <v>1407</v>
      </c>
      <c r="L625" s="185"/>
      <c r="M625" s="188">
        <v>45953</v>
      </c>
      <c r="N625" s="71"/>
      <c r="Q625" s="71"/>
      <c r="R625" s="71"/>
      <c r="S625" t="s">
        <v>886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333</v>
      </c>
      <c r="G626" t="s">
        <v>880</v>
      </c>
      <c r="H626" s="71"/>
      <c r="I626" t="s">
        <v>220</v>
      </c>
      <c r="J626" s="187">
        <v>1</v>
      </c>
      <c r="K626" t="s">
        <v>1407</v>
      </c>
      <c r="L626" s="185"/>
      <c r="M626" s="188">
        <v>46114</v>
      </c>
      <c r="N626" s="71"/>
      <c r="Q626" s="71"/>
      <c r="R626" s="71"/>
      <c r="S626" t="s">
        <v>879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366</v>
      </c>
      <c r="G627" t="s">
        <v>1608</v>
      </c>
      <c r="H627" s="71"/>
      <c r="I627" t="s">
        <v>220</v>
      </c>
      <c r="J627" s="187">
        <v>1</v>
      </c>
      <c r="K627" t="s">
        <v>1407</v>
      </c>
      <c r="L627" s="185"/>
      <c r="M627" s="188">
        <v>46279</v>
      </c>
      <c r="N627" s="71"/>
      <c r="Q627" s="71"/>
      <c r="R627" s="71"/>
      <c r="S627" t="s">
        <v>879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361</v>
      </c>
      <c r="G628" t="s">
        <v>1558</v>
      </c>
      <c r="H628" s="71"/>
      <c r="I628" t="s">
        <v>220</v>
      </c>
      <c r="J628" s="187">
        <v>1</v>
      </c>
      <c r="K628" t="s">
        <v>1407</v>
      </c>
      <c r="L628" s="185"/>
      <c r="M628" s="188">
        <v>46266</v>
      </c>
      <c r="N628" s="71"/>
      <c r="Q628" s="71"/>
      <c r="R628" s="71"/>
      <c r="S628" t="s">
        <v>879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352</v>
      </c>
      <c r="G629" t="s">
        <v>1383</v>
      </c>
      <c r="H629" s="71"/>
      <c r="I629" t="s">
        <v>220</v>
      </c>
      <c r="J629" s="187">
        <v>1</v>
      </c>
      <c r="K629" t="s">
        <v>1407</v>
      </c>
      <c r="L629" s="185"/>
      <c r="M629" s="188">
        <v>46204</v>
      </c>
      <c r="N629" s="71"/>
      <c r="Q629" s="71"/>
      <c r="R629" s="71"/>
      <c r="S629" t="s">
        <v>879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321</v>
      </c>
      <c r="G630" t="s">
        <v>883</v>
      </c>
      <c r="H630" s="71"/>
      <c r="I630" t="s">
        <v>220</v>
      </c>
      <c r="J630" s="187">
        <v>1</v>
      </c>
      <c r="K630" t="s">
        <v>1407</v>
      </c>
      <c r="L630" s="185"/>
      <c r="M630" s="188">
        <v>46043</v>
      </c>
      <c r="N630" s="71"/>
      <c r="Q630" s="71"/>
      <c r="R630" s="71"/>
      <c r="S630" t="s">
        <v>879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362</v>
      </c>
      <c r="G631" t="s">
        <v>1559</v>
      </c>
      <c r="H631" s="71"/>
      <c r="I631" t="s">
        <v>220</v>
      </c>
      <c r="J631" s="187">
        <v>1</v>
      </c>
      <c r="K631" t="s">
        <v>1407</v>
      </c>
      <c r="L631" s="185"/>
      <c r="M631" s="188">
        <v>46266</v>
      </c>
      <c r="N631" s="71"/>
      <c r="Q631" s="71"/>
      <c r="R631" s="71"/>
      <c r="S631" t="s">
        <v>879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354</v>
      </c>
      <c r="G632" t="s">
        <v>1455</v>
      </c>
      <c r="H632" s="71"/>
      <c r="I632" t="s">
        <v>220</v>
      </c>
      <c r="J632" s="187">
        <v>1</v>
      </c>
      <c r="K632" t="s">
        <v>1407</v>
      </c>
      <c r="L632" s="185"/>
      <c r="M632" s="188">
        <v>46223</v>
      </c>
      <c r="N632" s="71"/>
      <c r="Q632" s="71"/>
      <c r="R632" s="71"/>
      <c r="S632" t="s">
        <v>879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Férias</v>
      </c>
      <c r="E633" s="187">
        <v>7</v>
      </c>
      <c r="F633" s="187">
        <v>228</v>
      </c>
      <c r="G633" t="s">
        <v>884</v>
      </c>
      <c r="H633" s="71"/>
      <c r="I633" t="s">
        <v>225</v>
      </c>
      <c r="J633" s="187">
        <v>2</v>
      </c>
      <c r="K633" t="s">
        <v>1581</v>
      </c>
      <c r="L633" s="185"/>
      <c r="M633" s="188">
        <v>45553</v>
      </c>
      <c r="N633" s="71"/>
      <c r="O633" s="71"/>
      <c r="P633" s="71"/>
      <c r="Q633" s="71"/>
      <c r="R633" s="71"/>
      <c r="S633" t="s">
        <v>879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LOJA</v>
      </c>
      <c r="C634" s="72" t="str">
        <f ca="1">IF(D634="Inativo","Inativo",IFERROR(VLOOKUP($G634,Conf!$O:$Q,3,0),IFERROR(VLOOKUP($G634,Conf!$E:$F,2,0),VLOOKUP($S634,Conf!$K:$M,3,0))))</f>
        <v>REPOSITOR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30</v>
      </c>
      <c r="G634" t="s">
        <v>885</v>
      </c>
      <c r="H634" s="71"/>
      <c r="I634" t="s">
        <v>265</v>
      </c>
      <c r="J634" s="187">
        <v>1</v>
      </c>
      <c r="K634" t="s">
        <v>1407</v>
      </c>
      <c r="L634" s="185"/>
      <c r="M634" s="188">
        <v>44013</v>
      </c>
      <c r="N634" s="71"/>
      <c r="Q634" s="71"/>
      <c r="R634" s="71"/>
      <c r="S634" t="s">
        <v>879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LOJA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359</v>
      </c>
      <c r="G635" t="s">
        <v>1521</v>
      </c>
      <c r="H635" s="71"/>
      <c r="I635" t="s">
        <v>220</v>
      </c>
      <c r="J635" s="187">
        <v>1</v>
      </c>
      <c r="K635" t="s">
        <v>1407</v>
      </c>
      <c r="L635" s="185"/>
      <c r="M635" s="188">
        <v>46254</v>
      </c>
      <c r="N635" s="71"/>
      <c r="O635" s="71"/>
      <c r="P635" s="71"/>
      <c r="Q635" s="71"/>
      <c r="R635" s="71"/>
      <c r="S635" t="s">
        <v>879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324</v>
      </c>
      <c r="G636" t="s">
        <v>888</v>
      </c>
      <c r="H636" s="71"/>
      <c r="I636" t="s">
        <v>220</v>
      </c>
      <c r="J636" s="187">
        <v>1</v>
      </c>
      <c r="K636" t="s">
        <v>1407</v>
      </c>
      <c r="L636" s="185"/>
      <c r="M636" s="188">
        <v>46055</v>
      </c>
      <c r="N636" s="71"/>
      <c r="Q636" s="71"/>
      <c r="R636" s="71"/>
      <c r="S636" t="s">
        <v>861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332</v>
      </c>
      <c r="G637" t="s">
        <v>891</v>
      </c>
      <c r="H637" s="71"/>
      <c r="I637" t="s">
        <v>220</v>
      </c>
      <c r="J637" s="187">
        <v>1</v>
      </c>
      <c r="K637" t="s">
        <v>1407</v>
      </c>
      <c r="L637" s="185"/>
      <c r="M637" s="188">
        <v>46114</v>
      </c>
      <c r="N637" s="71"/>
      <c r="O637" s="71"/>
      <c r="P637" s="71"/>
      <c r="Q637" s="71"/>
      <c r="R637" s="71"/>
      <c r="S637" t="s">
        <v>861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307</v>
      </c>
      <c r="G638" t="s">
        <v>893</v>
      </c>
      <c r="H638" s="71"/>
      <c r="I638" t="s">
        <v>395</v>
      </c>
      <c r="J638" s="187">
        <v>1</v>
      </c>
      <c r="K638" t="s">
        <v>1407</v>
      </c>
      <c r="L638" s="185"/>
      <c r="M638" s="188">
        <v>45925</v>
      </c>
      <c r="N638" s="71"/>
      <c r="O638" s="71"/>
      <c r="P638" s="71"/>
      <c r="Q638" s="71"/>
      <c r="R638" s="71"/>
      <c r="S638" t="s">
        <v>861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348</v>
      </c>
      <c r="G639" t="s">
        <v>1324</v>
      </c>
      <c r="H639" s="71"/>
      <c r="I639" t="s">
        <v>220</v>
      </c>
      <c r="J639" s="187">
        <v>1</v>
      </c>
      <c r="K639" t="s">
        <v>1407</v>
      </c>
      <c r="L639" s="185"/>
      <c r="M639" s="188">
        <v>46175</v>
      </c>
      <c r="N639" s="71"/>
      <c r="Q639" s="71"/>
      <c r="R639" s="71"/>
      <c r="S639" t="s">
        <v>861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ATENDENTE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245</v>
      </c>
      <c r="G640" t="s">
        <v>896</v>
      </c>
      <c r="H640" s="71"/>
      <c r="I640" t="s">
        <v>897</v>
      </c>
      <c r="J640" s="187">
        <v>1</v>
      </c>
      <c r="K640" t="s">
        <v>1407</v>
      </c>
      <c r="L640" s="185"/>
      <c r="M640" s="188">
        <v>45628</v>
      </c>
      <c r="N640" s="71"/>
      <c r="O640" s="71"/>
      <c r="P640" s="71"/>
      <c r="Q640" s="71"/>
      <c r="R640" s="71"/>
      <c r="S640" t="s">
        <v>861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ATENDENTE</v>
      </c>
      <c r="D641" s="72" t="str">
        <f ca="1">IFERROR(IF(TODAY()-K641&gt;365,"Inativo",IF(J641=2,"Férias",IF(J641=7,"Demitido","Afastamento"))),VLOOKUP(J641,Conf!$H:$I,2,0))</f>
        <v>Férias</v>
      </c>
      <c r="E641" s="187">
        <v>7</v>
      </c>
      <c r="F641" s="187">
        <v>120</v>
      </c>
      <c r="G641" t="s">
        <v>898</v>
      </c>
      <c r="H641" s="71"/>
      <c r="I641" t="s">
        <v>265</v>
      </c>
      <c r="J641" s="187">
        <v>2</v>
      </c>
      <c r="K641" t="s">
        <v>1581</v>
      </c>
      <c r="L641" s="185"/>
      <c r="M641" s="188">
        <v>44806</v>
      </c>
      <c r="N641" s="71"/>
      <c r="Q641" s="71"/>
      <c r="R641" s="71"/>
      <c r="S641" t="s">
        <v>861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292</v>
      </c>
      <c r="G642" t="s">
        <v>889</v>
      </c>
      <c r="H642" s="71"/>
      <c r="I642" t="s">
        <v>897</v>
      </c>
      <c r="J642" s="187">
        <v>1</v>
      </c>
      <c r="K642" t="s">
        <v>1407</v>
      </c>
      <c r="L642" s="185"/>
      <c r="M642" s="188">
        <v>45862</v>
      </c>
      <c r="N642" s="71"/>
      <c r="Q642" s="71"/>
      <c r="R642" s="71"/>
      <c r="S642" t="s">
        <v>890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344</v>
      </c>
      <c r="G643" t="s">
        <v>892</v>
      </c>
      <c r="H643" s="71"/>
      <c r="I643" t="s">
        <v>395</v>
      </c>
      <c r="J643" s="187">
        <v>1</v>
      </c>
      <c r="K643" t="s">
        <v>1407</v>
      </c>
      <c r="L643" s="185"/>
      <c r="M643" s="188">
        <v>46161</v>
      </c>
      <c r="N643" s="71"/>
      <c r="O643" s="71"/>
      <c r="P643" s="71"/>
      <c r="Q643" s="71"/>
      <c r="R643" s="71"/>
      <c r="S643" t="s">
        <v>890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PADARIA</v>
      </c>
      <c r="C644" s="72" t="str">
        <f ca="1">IF(D644="Inativo","Inativo",IFERROR(VLOOKUP($G644,Conf!$O:$Q,3,0),IFERROR(VLOOKUP($G644,Conf!$E:$F,2,0),VLOOKUP($S644,Conf!$K:$M,3,0))))</f>
        <v>ENCARREGADO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301</v>
      </c>
      <c r="G644" t="s">
        <v>899</v>
      </c>
      <c r="H644" s="71"/>
      <c r="I644" t="s">
        <v>353</v>
      </c>
      <c r="J644" s="187">
        <v>1</v>
      </c>
      <c r="K644" t="s">
        <v>1407</v>
      </c>
      <c r="L644" s="185"/>
      <c r="M644" s="188">
        <v>45902</v>
      </c>
      <c r="N644" s="71"/>
      <c r="Q644" s="71"/>
      <c r="R644" s="71"/>
      <c r="S644" t="s">
        <v>675</v>
      </c>
      <c r="T644" s="71"/>
    </row>
    <row r="645" spans="1:20" x14ac:dyDescent="0.3">
      <c r="A645" s="72">
        <f>IFERROR(VLOOKUP($G645,Conf!$B:$C,2,0),E645)</f>
        <v>7</v>
      </c>
      <c r="B645" s="72" t="str">
        <f ca="1">IF(D645="Inativo","Inativo",IFERROR(VLOOKUP($G645,Conf!$O:$Q,2,0),VLOOKUP($S645,Conf!$K:$M,2,0)))</f>
        <v>PADARIA</v>
      </c>
      <c r="C645" s="72" t="str">
        <f ca="1">IF(D645="Inativo","Inativo",IFERROR(VLOOKUP($G645,Conf!$O:$Q,3,0),IFERROR(VLOOKUP($G645,Conf!$E:$F,2,0),VLOOKUP($S645,Conf!$K:$M,3,0))))</f>
        <v>PADEIRO(A)</v>
      </c>
      <c r="D645" s="72" t="str">
        <f ca="1">IFERROR(IF(TODAY()-K645&gt;365,"Inativo",IF(J645=2,"Férias",IF(J645=7,"Demitido","Afastamento"))),VLOOKUP(J645,Conf!$H:$I,2,0))</f>
        <v>Ativos</v>
      </c>
      <c r="E645" s="187">
        <v>7</v>
      </c>
      <c r="F645" s="187">
        <v>327</v>
      </c>
      <c r="G645" t="s">
        <v>895</v>
      </c>
      <c r="H645" s="71"/>
      <c r="I645" t="s">
        <v>384</v>
      </c>
      <c r="J645" s="187">
        <v>1</v>
      </c>
      <c r="K645" t="s">
        <v>1407</v>
      </c>
      <c r="L645" s="185"/>
      <c r="M645" s="188">
        <v>46065</v>
      </c>
      <c r="N645" s="71"/>
      <c r="O645" s="71"/>
      <c r="P645" s="71"/>
      <c r="Q645" s="71"/>
      <c r="R645" s="71"/>
      <c r="S645" t="s">
        <v>900</v>
      </c>
      <c r="T645" s="71"/>
    </row>
    <row r="646" spans="1:20" x14ac:dyDescent="0.3">
      <c r="A646" s="72">
        <f>IFERROR(VLOOKUP($G646,Conf!$B:$C,2,0),E646)</f>
        <v>7</v>
      </c>
      <c r="B646" s="72" t="str">
        <f ca="1">IF(D646="Inativo","Inativo",IFERROR(VLOOKUP($G646,Conf!$O:$Q,2,0),VLOOKUP($S646,Conf!$K:$M,2,0)))</f>
        <v>ROTISSERIA</v>
      </c>
      <c r="C646" s="72" t="str">
        <f ca="1">IF(D646="Inativo","Inativo",IFERROR(VLOOKUP($G646,Conf!$O:$Q,3,0),IFERROR(VLOOKUP($G646,Conf!$E:$F,2,0),VLOOKUP($S646,Conf!$K:$M,3,0))))</f>
        <v>COZINHEIRO</v>
      </c>
      <c r="D646" s="72" t="str">
        <f ca="1">IFERROR(IF(TODAY()-K646&gt;365,"Inativo",IF(J646=2,"Férias",IF(J646=7,"Demitido","Afastamento"))),VLOOKUP(J646,Conf!$H:$I,2,0))</f>
        <v>Ativos</v>
      </c>
      <c r="E646" s="187">
        <v>7</v>
      </c>
      <c r="F646" s="187">
        <v>61</v>
      </c>
      <c r="G646" t="s">
        <v>901</v>
      </c>
      <c r="H646" s="71"/>
      <c r="I646" t="s">
        <v>222</v>
      </c>
      <c r="J646" s="187">
        <v>1</v>
      </c>
      <c r="K646" t="s">
        <v>1407</v>
      </c>
      <c r="L646" s="185"/>
      <c r="M646" s="188">
        <v>44141</v>
      </c>
      <c r="N646" s="71"/>
      <c r="Q646" s="71"/>
      <c r="R646" s="71"/>
      <c r="S646" t="s">
        <v>866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268</v>
      </c>
      <c r="G647" t="s">
        <v>904</v>
      </c>
      <c r="H647" s="71"/>
      <c r="I647" t="s">
        <v>360</v>
      </c>
      <c r="J647" s="187">
        <v>1</v>
      </c>
      <c r="K647" t="s">
        <v>1407</v>
      </c>
      <c r="L647" s="185"/>
      <c r="M647" s="188">
        <v>45840</v>
      </c>
      <c r="N647" s="71"/>
      <c r="Q647" s="71"/>
      <c r="R647" s="71"/>
      <c r="S647" t="s">
        <v>903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91</v>
      </c>
      <c r="G648" t="s">
        <v>905</v>
      </c>
      <c r="H648" s="71"/>
      <c r="I648" t="s">
        <v>222</v>
      </c>
      <c r="J648" s="187">
        <v>1</v>
      </c>
      <c r="K648" t="s">
        <v>1407</v>
      </c>
      <c r="L648" s="185"/>
      <c r="M648" s="188">
        <v>44747</v>
      </c>
      <c r="N648" s="71"/>
      <c r="Q648" s="71"/>
      <c r="R648" s="71"/>
      <c r="S648" t="s">
        <v>903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139</v>
      </c>
      <c r="G649" t="s">
        <v>906</v>
      </c>
      <c r="H649" s="71"/>
      <c r="I649" t="s">
        <v>220</v>
      </c>
      <c r="J649" s="187">
        <v>1</v>
      </c>
      <c r="K649" t="s">
        <v>1407</v>
      </c>
      <c r="L649" s="185"/>
      <c r="M649" s="188">
        <v>45161</v>
      </c>
      <c r="N649" s="71"/>
      <c r="O649" s="71"/>
      <c r="P649" s="71"/>
      <c r="Q649" s="71"/>
      <c r="R649" s="71"/>
      <c r="S649" t="s">
        <v>903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BALCONISTA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369</v>
      </c>
      <c r="G650" t="s">
        <v>1499</v>
      </c>
      <c r="H650" s="71"/>
      <c r="I650" t="s">
        <v>360</v>
      </c>
      <c r="J650" s="187">
        <v>1</v>
      </c>
      <c r="K650" t="s">
        <v>1407</v>
      </c>
      <c r="L650" s="185"/>
      <c r="M650" s="188">
        <v>46248</v>
      </c>
      <c r="N650" s="71"/>
      <c r="O650" s="71"/>
      <c r="P650" s="71"/>
      <c r="Q650" s="71"/>
      <c r="R650" s="71"/>
      <c r="S650" t="s">
        <v>1503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374</v>
      </c>
      <c r="G651" t="s">
        <v>1568</v>
      </c>
      <c r="H651" s="71"/>
      <c r="I651" t="s">
        <v>360</v>
      </c>
      <c r="J651" s="187">
        <v>1</v>
      </c>
      <c r="K651" t="s">
        <v>1407</v>
      </c>
      <c r="L651" s="185"/>
      <c r="M651" s="188">
        <v>46266</v>
      </c>
      <c r="N651" s="71"/>
      <c r="Q651" s="71"/>
      <c r="R651" s="71"/>
      <c r="S651" t="s">
        <v>1503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375</v>
      </c>
      <c r="G652" t="s">
        <v>1611</v>
      </c>
      <c r="H652" s="71"/>
      <c r="I652" t="s">
        <v>360</v>
      </c>
      <c r="J652" s="187">
        <v>1</v>
      </c>
      <c r="K652" t="s">
        <v>1407</v>
      </c>
      <c r="L652" s="185"/>
      <c r="M652" s="188">
        <v>46279</v>
      </c>
      <c r="N652" s="71"/>
      <c r="Q652" s="71"/>
      <c r="R652" s="71"/>
      <c r="S652" t="s">
        <v>789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909</v>
      </c>
      <c r="H653" s="71"/>
      <c r="I653" t="s">
        <v>222</v>
      </c>
      <c r="J653" s="187">
        <v>1</v>
      </c>
      <c r="K653" t="s">
        <v>1407</v>
      </c>
      <c r="L653" s="185"/>
      <c r="M653" s="188">
        <v>45615</v>
      </c>
      <c r="N653" s="71"/>
      <c r="O653" s="71"/>
      <c r="P653" s="71"/>
      <c r="Q653" s="71"/>
      <c r="R653" s="71"/>
      <c r="S653" t="s">
        <v>789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319</v>
      </c>
      <c r="G654" t="s">
        <v>907</v>
      </c>
      <c r="H654" s="71"/>
      <c r="I654" t="s">
        <v>222</v>
      </c>
      <c r="J654" s="187">
        <v>1</v>
      </c>
      <c r="K654" t="s">
        <v>1407</v>
      </c>
      <c r="L654" s="185"/>
      <c r="M654" s="188">
        <v>46071</v>
      </c>
      <c r="N654" s="71"/>
      <c r="O654" s="71"/>
      <c r="P654" s="71"/>
      <c r="Q654" s="71"/>
      <c r="R654" s="71"/>
      <c r="S654" t="s">
        <v>789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908</v>
      </c>
      <c r="H655" s="71"/>
      <c r="I655" t="s">
        <v>222</v>
      </c>
      <c r="J655" s="187">
        <v>1</v>
      </c>
      <c r="K655" t="s">
        <v>1407</v>
      </c>
      <c r="L655" s="185"/>
      <c r="M655" s="188">
        <v>45737</v>
      </c>
      <c r="N655" s="71"/>
      <c r="Q655" s="71"/>
      <c r="R655" s="71"/>
      <c r="S655" t="s">
        <v>910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2374</v>
      </c>
      <c r="G656" t="s">
        <v>959</v>
      </c>
      <c r="H656" s="71"/>
      <c r="I656" t="s">
        <v>960</v>
      </c>
      <c r="J656" s="187">
        <v>1</v>
      </c>
      <c r="K656" t="s">
        <v>1407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APRENDIZ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2376</v>
      </c>
      <c r="G657" t="s">
        <v>961</v>
      </c>
      <c r="H657" s="71"/>
      <c r="I657" t="s">
        <v>960</v>
      </c>
      <c r="J657" s="187">
        <v>1</v>
      </c>
      <c r="K657" t="s">
        <v>1407</v>
      </c>
      <c r="L657" s="185"/>
      <c r="M657" s="188">
        <v>46063</v>
      </c>
      <c r="N657" s="71"/>
      <c r="Q657" s="71"/>
      <c r="R657" s="71"/>
      <c r="S657" t="s">
        <v>22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GESTÃO PESSOAS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2373</v>
      </c>
      <c r="G658" t="s">
        <v>911</v>
      </c>
      <c r="H658" s="71"/>
      <c r="I658" t="s">
        <v>239</v>
      </c>
      <c r="J658" s="187">
        <v>1</v>
      </c>
      <c r="K658" t="s">
        <v>1407</v>
      </c>
      <c r="L658" s="185"/>
      <c r="M658" s="188">
        <v>46062</v>
      </c>
      <c r="N658" s="71"/>
      <c r="O658" s="71"/>
      <c r="P658" s="71"/>
      <c r="Q658" s="71"/>
      <c r="R658" s="71"/>
      <c r="S658" t="s">
        <v>912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377</v>
      </c>
      <c r="G659" t="s">
        <v>1634</v>
      </c>
      <c r="H659" s="71"/>
      <c r="I659" t="s">
        <v>360</v>
      </c>
      <c r="J659" s="187">
        <v>1</v>
      </c>
      <c r="K659" t="s">
        <v>1407</v>
      </c>
      <c r="L659" s="185"/>
      <c r="M659" s="188">
        <v>46283</v>
      </c>
      <c r="N659" s="71"/>
      <c r="Q659" s="71"/>
      <c r="R659" s="71"/>
      <c r="S659" t="s">
        <v>957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Demitido</v>
      </c>
      <c r="E660" s="187">
        <v>8</v>
      </c>
      <c r="F660" s="187">
        <v>363</v>
      </c>
      <c r="G660" t="s">
        <v>1460</v>
      </c>
      <c r="H660" s="71"/>
      <c r="I660" t="s">
        <v>401</v>
      </c>
      <c r="J660" s="187">
        <v>7</v>
      </c>
      <c r="K660" t="s">
        <v>1530</v>
      </c>
      <c r="L660" s="185"/>
      <c r="M660" s="188">
        <v>46225</v>
      </c>
      <c r="N660" s="71"/>
      <c r="Q660" s="71"/>
      <c r="R660" s="71"/>
      <c r="S660" t="s">
        <v>957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373</v>
      </c>
      <c r="G661" t="s">
        <v>1540</v>
      </c>
      <c r="H661" s="71"/>
      <c r="I661" t="s">
        <v>360</v>
      </c>
      <c r="J661" s="187">
        <v>1</v>
      </c>
      <c r="K661" t="s">
        <v>1407</v>
      </c>
      <c r="L661" s="185"/>
      <c r="M661" s="188">
        <v>46259</v>
      </c>
      <c r="N661" s="71"/>
      <c r="Q661" s="71"/>
      <c r="R661" s="71"/>
      <c r="S661" t="s">
        <v>957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LIMPEZA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53</v>
      </c>
      <c r="G662" t="s">
        <v>958</v>
      </c>
      <c r="H662" s="71"/>
      <c r="I662" t="s">
        <v>395</v>
      </c>
      <c r="J662" s="187">
        <v>1</v>
      </c>
      <c r="K662" t="s">
        <v>1407</v>
      </c>
      <c r="L662" s="185"/>
      <c r="M662" s="188">
        <v>44679</v>
      </c>
      <c r="N662" s="71"/>
      <c r="Q662" s="71"/>
      <c r="R662" s="71"/>
      <c r="S662" t="s">
        <v>957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2210</v>
      </c>
      <c r="G663" t="s">
        <v>993</v>
      </c>
      <c r="H663" s="71"/>
      <c r="I663" t="s">
        <v>222</v>
      </c>
      <c r="J663" s="187">
        <v>1</v>
      </c>
      <c r="K663" t="s">
        <v>1407</v>
      </c>
      <c r="L663" s="185"/>
      <c r="M663" s="188">
        <v>45700</v>
      </c>
      <c r="N663" s="71"/>
      <c r="Q663" s="71"/>
      <c r="R663" s="71"/>
      <c r="S663" t="s">
        <v>994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262</v>
      </c>
      <c r="G664" t="s">
        <v>995</v>
      </c>
      <c r="H664" s="71"/>
      <c r="I664" t="s">
        <v>406</v>
      </c>
      <c r="J664" s="187">
        <v>1</v>
      </c>
      <c r="K664" t="s">
        <v>1407</v>
      </c>
      <c r="L664" s="185"/>
      <c r="M664" s="188">
        <v>45810</v>
      </c>
      <c r="N664" s="71"/>
      <c r="O664" s="71"/>
      <c r="P664" s="71"/>
      <c r="Q664" s="71"/>
      <c r="R664" s="71"/>
      <c r="S664" t="s">
        <v>992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2429</v>
      </c>
      <c r="G665" t="s">
        <v>996</v>
      </c>
      <c r="H665" s="71"/>
      <c r="I665" t="s">
        <v>360</v>
      </c>
      <c r="J665" s="187">
        <v>1</v>
      </c>
      <c r="K665" t="s">
        <v>1407</v>
      </c>
      <c r="L665" s="185"/>
      <c r="M665" s="188">
        <v>46174</v>
      </c>
      <c r="N665" s="71"/>
      <c r="O665" s="71"/>
      <c r="P665" s="71"/>
      <c r="Q665" s="71"/>
      <c r="R665" s="71"/>
      <c r="S665" t="s">
        <v>994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Demitido</v>
      </c>
      <c r="E666" s="187">
        <v>8</v>
      </c>
      <c r="F666" s="187">
        <v>2343</v>
      </c>
      <c r="G666" t="s">
        <v>997</v>
      </c>
      <c r="H666" s="71"/>
      <c r="I666" t="s">
        <v>360</v>
      </c>
      <c r="J666" s="187">
        <v>7</v>
      </c>
      <c r="K666" t="s">
        <v>1635</v>
      </c>
      <c r="L666" s="185"/>
      <c r="M666" s="188">
        <v>45995</v>
      </c>
      <c r="N666" s="71"/>
      <c r="Q666" s="71"/>
      <c r="R666" s="71"/>
      <c r="S666" t="s">
        <v>994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ADMINISTRATIVO</v>
      </c>
      <c r="C667" s="72" t="str">
        <f ca="1">IF(D667="Inativo","Inativo",IFERROR(VLOOKUP($G667,Conf!$O:$Q,3,0),IFERROR(VLOOKUP($G667,Conf!$E:$F,2,0),VLOOKUP($S667,Conf!$K:$M,3,0))))</f>
        <v>PREVENÇÃO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197</v>
      </c>
      <c r="G667" t="s">
        <v>998</v>
      </c>
      <c r="H667" s="71"/>
      <c r="I667" t="s">
        <v>360</v>
      </c>
      <c r="J667" s="187">
        <v>1</v>
      </c>
      <c r="K667" t="s">
        <v>1407</v>
      </c>
      <c r="L667" s="185"/>
      <c r="M667" s="188">
        <v>45506</v>
      </c>
      <c r="N667" s="71"/>
      <c r="O667" s="71"/>
      <c r="P667" s="71"/>
      <c r="Q667" s="71"/>
      <c r="R667" s="71"/>
      <c r="S667" t="s">
        <v>992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356</v>
      </c>
      <c r="G668" t="s">
        <v>1428</v>
      </c>
      <c r="H668" s="71"/>
      <c r="I668" t="s">
        <v>322</v>
      </c>
      <c r="J668" s="187">
        <v>1</v>
      </c>
      <c r="K668" t="s">
        <v>1407</v>
      </c>
      <c r="L668" s="185"/>
      <c r="M668" s="188">
        <v>46212</v>
      </c>
      <c r="N668" s="71"/>
      <c r="O668" s="71"/>
      <c r="P668" s="71"/>
      <c r="Q668" s="71"/>
      <c r="R668" s="71"/>
      <c r="S668" t="s">
        <v>913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133</v>
      </c>
      <c r="G669" t="s">
        <v>984</v>
      </c>
      <c r="H669" s="71"/>
      <c r="I669" t="s">
        <v>395</v>
      </c>
      <c r="J669" s="187">
        <v>1</v>
      </c>
      <c r="K669" t="s">
        <v>1407</v>
      </c>
      <c r="L669" s="185"/>
      <c r="M669" s="188">
        <v>45097</v>
      </c>
      <c r="N669" s="71"/>
      <c r="Q669" s="71"/>
      <c r="R669" s="71"/>
      <c r="S669" t="s">
        <v>913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CONFEITARIA</v>
      </c>
      <c r="C670" s="72" t="str">
        <f ca="1">IF(D670="Inativo","Inativo",IFERROR(VLOOKUP($G670,Conf!$O:$Q,3,0),IFERROR(VLOOKUP($G670,Conf!$E:$F,2,0),VLOOKUP($S670,Conf!$K:$M,3,0))))</f>
        <v>CONFEITEIRO(A)</v>
      </c>
      <c r="D670" s="72" t="str">
        <f ca="1">IFERROR(IF(TODAY()-K670&gt;365,"Inativo",IF(J670=2,"Férias",IF(J670=7,"Demitido","Afastamento"))),VLOOKUP(J670,Conf!$H:$I,2,0))</f>
        <v>Demitido</v>
      </c>
      <c r="E670" s="187">
        <v>8</v>
      </c>
      <c r="F670" s="187">
        <v>352</v>
      </c>
      <c r="G670" t="s">
        <v>1384</v>
      </c>
      <c r="H670" s="71"/>
      <c r="I670" t="s">
        <v>322</v>
      </c>
      <c r="J670" s="187">
        <v>7</v>
      </c>
      <c r="K670" t="s">
        <v>1550</v>
      </c>
      <c r="L670" s="185"/>
      <c r="M670" s="188">
        <v>46197</v>
      </c>
      <c r="N670" s="71"/>
      <c r="Q670" s="71"/>
      <c r="R670" s="71"/>
      <c r="S670" t="s">
        <v>913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CONFEITARIA</v>
      </c>
      <c r="C671" s="72" t="str">
        <f ca="1">IF(D671="Inativo","Inativo",IFERROR(VLOOKUP($G671,Conf!$O:$Q,3,0),IFERROR(VLOOKUP($G671,Conf!$E:$F,2,0),VLOOKUP($S671,Conf!$K:$M,3,0))))</f>
        <v>CONFEITEIRO(A)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255</v>
      </c>
      <c r="G671" t="s">
        <v>914</v>
      </c>
      <c r="H671" s="71"/>
      <c r="I671" t="s">
        <v>244</v>
      </c>
      <c r="J671" s="187">
        <v>1</v>
      </c>
      <c r="K671" t="s">
        <v>1407</v>
      </c>
      <c r="L671" s="185"/>
      <c r="M671" s="188">
        <v>45785</v>
      </c>
      <c r="N671" s="71"/>
      <c r="Q671" s="71"/>
      <c r="R671" s="71"/>
      <c r="S671" t="s">
        <v>913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DEPOSITO</v>
      </c>
      <c r="C672" s="72" t="str">
        <f ca="1">IF(D672="Inativo","Inativo",IFERROR(VLOOKUP($G672,Conf!$O:$Q,3,0),IFERROR(VLOOKUP($G672,Conf!$E:$F,2,0),VLOOKUP($S672,Conf!$K:$M,3,0))))</f>
        <v>AUXILIAR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370</v>
      </c>
      <c r="G672" t="s">
        <v>1522</v>
      </c>
      <c r="H672" s="71"/>
      <c r="I672" t="s">
        <v>265</v>
      </c>
      <c r="J672" s="187">
        <v>1</v>
      </c>
      <c r="K672" t="s">
        <v>1407</v>
      </c>
      <c r="L672" s="185"/>
      <c r="M672" s="188">
        <v>46252</v>
      </c>
      <c r="N672" s="71"/>
      <c r="O672" s="71"/>
      <c r="P672" s="71"/>
      <c r="Q672" s="71"/>
      <c r="R672" s="71"/>
      <c r="S672" t="s">
        <v>1327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DEPOSITO</v>
      </c>
      <c r="C673" s="72" t="str">
        <f ca="1">IF(D673="Inativo","Inativo",IFERROR(VLOOKUP($G673,Conf!$O:$Q,3,0),IFERROR(VLOOKUP($G673,Conf!$E:$F,2,0),VLOOKUP($S673,Conf!$K:$M,3,0))))</f>
        <v>AUXILIAR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378</v>
      </c>
      <c r="G673" t="s">
        <v>1645</v>
      </c>
      <c r="H673" s="71"/>
      <c r="I673" t="s">
        <v>297</v>
      </c>
      <c r="J673" s="187">
        <v>1</v>
      </c>
      <c r="K673" t="s">
        <v>1407</v>
      </c>
      <c r="L673" s="185"/>
      <c r="M673" s="188">
        <v>46289</v>
      </c>
      <c r="N673" s="71"/>
      <c r="O673" s="71"/>
      <c r="P673" s="71"/>
      <c r="Q673" s="71"/>
      <c r="R673" s="71"/>
      <c r="S673" t="s">
        <v>1327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DEPOSITO</v>
      </c>
      <c r="C674" s="72" t="str">
        <f ca="1">IF(D674="Inativo","Inativo",IFERROR(VLOOKUP($G674,Conf!$O:$Q,3,0),IFERROR(VLOOKUP($G674,Conf!$E:$F,2,0),VLOOKUP($S674,Conf!$K:$M,3,0))))</f>
        <v>ENCARREGADO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283</v>
      </c>
      <c r="G674" t="s">
        <v>964</v>
      </c>
      <c r="H674" s="71"/>
      <c r="I674" t="s">
        <v>360</v>
      </c>
      <c r="J674" s="187">
        <v>1</v>
      </c>
      <c r="K674" t="s">
        <v>1407</v>
      </c>
      <c r="L674" s="185"/>
      <c r="M674" s="188">
        <v>45917</v>
      </c>
      <c r="N674" s="71"/>
      <c r="O674" s="71"/>
      <c r="P674" s="71"/>
      <c r="Q674" s="71"/>
      <c r="R674" s="71"/>
      <c r="S674" t="s">
        <v>965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DEPOSITO</v>
      </c>
      <c r="C675" s="72" t="str">
        <f ca="1">IF(D675="Inativo","Inativo",IFERROR(VLOOKUP($G675,Conf!$O:$Q,3,0),IFERROR(VLOOKUP($G675,Conf!$E:$F,2,0),VLOOKUP($S675,Conf!$K:$M,3,0))))</f>
        <v>ENCARREGADO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222</v>
      </c>
      <c r="G675" t="s">
        <v>966</v>
      </c>
      <c r="H675" s="71"/>
      <c r="I675" t="s">
        <v>360</v>
      </c>
      <c r="J675" s="187">
        <v>1</v>
      </c>
      <c r="K675" t="s">
        <v>1407</v>
      </c>
      <c r="L675" s="185"/>
      <c r="M675" s="188">
        <v>45670</v>
      </c>
      <c r="N675" s="71"/>
      <c r="O675" s="71"/>
      <c r="P675" s="71"/>
      <c r="Q675" s="71"/>
      <c r="R675" s="71"/>
      <c r="S675" t="s">
        <v>965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E-COMMERCE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2014</v>
      </c>
      <c r="G676" t="s">
        <v>924</v>
      </c>
      <c r="H676" s="71"/>
      <c r="I676" t="s">
        <v>220</v>
      </c>
      <c r="J676" s="187">
        <v>1</v>
      </c>
      <c r="K676" t="s">
        <v>1407</v>
      </c>
      <c r="L676" s="185"/>
      <c r="M676" s="188">
        <v>45194</v>
      </c>
      <c r="N676" s="71"/>
      <c r="O676" s="71"/>
      <c r="P676" s="71"/>
      <c r="Q676" s="71"/>
      <c r="R676" s="71"/>
      <c r="S676" t="s">
        <v>743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EMPACOTADOR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205</v>
      </c>
      <c r="G677" t="s">
        <v>916</v>
      </c>
      <c r="H677" s="71"/>
      <c r="I677" t="s">
        <v>360</v>
      </c>
      <c r="J677" s="187">
        <v>1</v>
      </c>
      <c r="K677" t="s">
        <v>1407</v>
      </c>
      <c r="L677" s="185"/>
      <c r="M677" s="188">
        <v>45547</v>
      </c>
      <c r="N677" s="71"/>
      <c r="Q677" s="71"/>
      <c r="R677" s="71"/>
      <c r="S677" t="s">
        <v>917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EMPACOTADOR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2409</v>
      </c>
      <c r="G678" t="s">
        <v>918</v>
      </c>
      <c r="H678" s="71"/>
      <c r="I678" t="s">
        <v>360</v>
      </c>
      <c r="J678" s="187">
        <v>1</v>
      </c>
      <c r="K678" t="s">
        <v>1407</v>
      </c>
      <c r="L678" s="185"/>
      <c r="M678" s="188">
        <v>46100</v>
      </c>
      <c r="N678" s="71"/>
      <c r="Q678" s="71"/>
      <c r="R678" s="71"/>
      <c r="S678" t="s">
        <v>266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EMPACOTADOR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2461</v>
      </c>
      <c r="G679" t="s">
        <v>1620</v>
      </c>
      <c r="H679" s="71"/>
      <c r="I679" t="s">
        <v>360</v>
      </c>
      <c r="J679" s="187">
        <v>1</v>
      </c>
      <c r="K679" t="s">
        <v>1407</v>
      </c>
      <c r="L679" s="185"/>
      <c r="M679" s="188">
        <v>46281</v>
      </c>
      <c r="N679" s="71"/>
      <c r="Q679" s="71"/>
      <c r="R679" s="71"/>
      <c r="S679" t="s">
        <v>266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EMPACOTADOR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1981</v>
      </c>
      <c r="G680" t="s">
        <v>919</v>
      </c>
      <c r="H680" s="71"/>
      <c r="I680" t="s">
        <v>233</v>
      </c>
      <c r="J680" s="187">
        <v>1</v>
      </c>
      <c r="K680" t="s">
        <v>1407</v>
      </c>
      <c r="L680" s="185"/>
      <c r="M680" s="188">
        <v>45040</v>
      </c>
      <c r="N680" s="71"/>
      <c r="Q680" s="71"/>
      <c r="R680" s="71"/>
      <c r="S680" t="s">
        <v>266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ENCARREGADO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2300</v>
      </c>
      <c r="G681" t="s">
        <v>920</v>
      </c>
      <c r="H681" s="71"/>
      <c r="I681" t="s">
        <v>220</v>
      </c>
      <c r="J681" s="187">
        <v>1</v>
      </c>
      <c r="K681" t="s">
        <v>1407</v>
      </c>
      <c r="L681" s="185"/>
      <c r="M681" s="188">
        <v>45875</v>
      </c>
      <c r="N681" s="71"/>
      <c r="O681" s="71"/>
      <c r="P681" s="71"/>
      <c r="Q681" s="71"/>
      <c r="R681" s="71"/>
      <c r="S681" t="s">
        <v>415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FISCAL DE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1851</v>
      </c>
      <c r="G682" t="s">
        <v>921</v>
      </c>
      <c r="H682" s="71"/>
      <c r="I682" t="s">
        <v>360</v>
      </c>
      <c r="J682" s="187">
        <v>1</v>
      </c>
      <c r="K682" t="s">
        <v>1407</v>
      </c>
      <c r="L682" s="185"/>
      <c r="M682" s="188">
        <v>44691</v>
      </c>
      <c r="N682" s="71"/>
      <c r="Q682" s="71"/>
      <c r="R682" s="71"/>
      <c r="S682" t="s">
        <v>279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FISCAL DE CAIXA</v>
      </c>
      <c r="D683" s="72" t="str">
        <f ca="1">IFERROR(IF(TODAY()-K683&gt;365,"Inativo",IF(J683=2,"Férias",IF(J683=7,"Demitido","Afastamento"))),VLOOKUP(J683,Conf!$H:$I,2,0))</f>
        <v>Afastamento</v>
      </c>
      <c r="E683" s="187">
        <v>8</v>
      </c>
      <c r="F683" s="187">
        <v>2415</v>
      </c>
      <c r="G683" t="s">
        <v>922</v>
      </c>
      <c r="H683" s="71"/>
      <c r="I683" t="s">
        <v>360</v>
      </c>
      <c r="J683" s="187">
        <v>14</v>
      </c>
      <c r="K683" t="s">
        <v>1651</v>
      </c>
      <c r="L683" s="185"/>
      <c r="M683" s="188">
        <v>46113</v>
      </c>
      <c r="N683" s="71"/>
      <c r="Q683" s="71"/>
      <c r="R683" s="71"/>
      <c r="S683" t="s">
        <v>279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FISCAL DE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2451</v>
      </c>
      <c r="G684" t="s">
        <v>1500</v>
      </c>
      <c r="H684" s="71"/>
      <c r="I684" t="s">
        <v>360</v>
      </c>
      <c r="J684" s="187">
        <v>1</v>
      </c>
      <c r="K684" t="s">
        <v>1407</v>
      </c>
      <c r="L684" s="185"/>
      <c r="M684" s="188">
        <v>46247</v>
      </c>
      <c r="N684" s="71"/>
      <c r="O684" s="71"/>
      <c r="P684" s="71"/>
      <c r="Q684" s="71"/>
      <c r="R684" s="71"/>
      <c r="S684" t="s">
        <v>279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FISCAL DE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2459</v>
      </c>
      <c r="G685" t="s">
        <v>1610</v>
      </c>
      <c r="H685" s="71"/>
      <c r="I685" t="s">
        <v>247</v>
      </c>
      <c r="J685" s="187">
        <v>1</v>
      </c>
      <c r="K685" t="s">
        <v>1407</v>
      </c>
      <c r="L685" s="185"/>
      <c r="M685" s="188">
        <v>46279</v>
      </c>
      <c r="N685" s="71"/>
      <c r="Q685" s="71"/>
      <c r="R685" s="71"/>
      <c r="S685" t="s">
        <v>279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FISCAL DE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2303</v>
      </c>
      <c r="G686" t="s">
        <v>923</v>
      </c>
      <c r="H686" s="71"/>
      <c r="I686" t="s">
        <v>360</v>
      </c>
      <c r="J686" s="187">
        <v>1</v>
      </c>
      <c r="K686" t="s">
        <v>1407</v>
      </c>
      <c r="L686" s="185"/>
      <c r="M686" s="188">
        <v>45882</v>
      </c>
      <c r="N686" s="71"/>
      <c r="Q686" s="71"/>
      <c r="R686" s="71"/>
      <c r="S686" t="s">
        <v>279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2237</v>
      </c>
      <c r="G687" t="s">
        <v>925</v>
      </c>
      <c r="H687" s="71"/>
      <c r="I687" t="s">
        <v>360</v>
      </c>
      <c r="J687" s="187">
        <v>1</v>
      </c>
      <c r="K687" t="s">
        <v>1407</v>
      </c>
      <c r="L687" s="185"/>
      <c r="M687" s="188">
        <v>45737</v>
      </c>
      <c r="N687" s="71"/>
      <c r="O687" s="71"/>
      <c r="P687" s="71"/>
      <c r="Q687" s="71"/>
      <c r="R687" s="71"/>
      <c r="S687" t="s">
        <v>285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2265</v>
      </c>
      <c r="G688" t="s">
        <v>926</v>
      </c>
      <c r="H688" s="71"/>
      <c r="I688" t="s">
        <v>360</v>
      </c>
      <c r="J688" s="187">
        <v>1</v>
      </c>
      <c r="K688" t="s">
        <v>1407</v>
      </c>
      <c r="L688" s="185"/>
      <c r="M688" s="188">
        <v>45791</v>
      </c>
      <c r="N688" s="71"/>
      <c r="Q688" s="71"/>
      <c r="R688" s="71"/>
      <c r="S688" t="s">
        <v>285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2295</v>
      </c>
      <c r="G689" t="s">
        <v>927</v>
      </c>
      <c r="H689" s="71"/>
      <c r="I689" t="s">
        <v>360</v>
      </c>
      <c r="J689" s="187">
        <v>1</v>
      </c>
      <c r="K689" t="s">
        <v>1407</v>
      </c>
      <c r="L689" s="185"/>
      <c r="M689" s="188">
        <v>45847</v>
      </c>
      <c r="N689" s="71"/>
      <c r="O689" s="71"/>
      <c r="P689" s="71"/>
      <c r="Q689" s="71"/>
      <c r="R689" s="71"/>
      <c r="S689" t="s">
        <v>285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2420</v>
      </c>
      <c r="G690" t="s">
        <v>929</v>
      </c>
      <c r="H690" s="71"/>
      <c r="I690" t="s">
        <v>360</v>
      </c>
      <c r="J690" s="187">
        <v>1</v>
      </c>
      <c r="K690" t="s">
        <v>1407</v>
      </c>
      <c r="L690" s="185"/>
      <c r="M690" s="188">
        <v>46125</v>
      </c>
      <c r="N690" s="71"/>
      <c r="Q690" s="71"/>
      <c r="R690" s="71"/>
      <c r="S690" t="s">
        <v>285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Demitido</v>
      </c>
      <c r="E691" s="187">
        <v>8</v>
      </c>
      <c r="F691" s="187">
        <v>2351</v>
      </c>
      <c r="G691" t="s">
        <v>930</v>
      </c>
      <c r="H691" s="71"/>
      <c r="I691" t="s">
        <v>360</v>
      </c>
      <c r="J691" s="187">
        <v>7</v>
      </c>
      <c r="K691" t="s">
        <v>1650</v>
      </c>
      <c r="L691" s="185"/>
      <c r="M691" s="188">
        <v>46036</v>
      </c>
      <c r="N691" s="71"/>
      <c r="Q691" s="71"/>
      <c r="R691" s="71"/>
      <c r="S691" t="s">
        <v>285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1805</v>
      </c>
      <c r="G692" t="s">
        <v>931</v>
      </c>
      <c r="H692" s="71"/>
      <c r="I692" t="s">
        <v>225</v>
      </c>
      <c r="J692" s="187">
        <v>1</v>
      </c>
      <c r="K692" t="s">
        <v>1407</v>
      </c>
      <c r="L692" s="185"/>
      <c r="M692" s="188">
        <v>44641</v>
      </c>
      <c r="N692" s="71"/>
      <c r="O692" s="71"/>
      <c r="P692" s="71"/>
      <c r="Q692" s="71"/>
      <c r="R692" s="71"/>
      <c r="S692" t="s">
        <v>285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2143</v>
      </c>
      <c r="G693" t="s">
        <v>932</v>
      </c>
      <c r="H693" s="71"/>
      <c r="I693" t="s">
        <v>225</v>
      </c>
      <c r="J693" s="187">
        <v>1</v>
      </c>
      <c r="K693" t="s">
        <v>1407</v>
      </c>
      <c r="L693" s="185"/>
      <c r="M693" s="188">
        <v>45547</v>
      </c>
      <c r="N693" s="71"/>
      <c r="Q693" s="71"/>
      <c r="R693" s="71"/>
      <c r="S693" t="s">
        <v>285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2170</v>
      </c>
      <c r="G694" t="s">
        <v>933</v>
      </c>
      <c r="H694" s="71"/>
      <c r="I694" t="s">
        <v>360</v>
      </c>
      <c r="J694" s="187">
        <v>1</v>
      </c>
      <c r="K694" t="s">
        <v>1407</v>
      </c>
      <c r="L694" s="185"/>
      <c r="M694" s="188">
        <v>45602</v>
      </c>
      <c r="N694" s="71"/>
      <c r="O694" s="71"/>
      <c r="P694" s="71"/>
      <c r="Q694" s="71"/>
      <c r="R694" s="71"/>
      <c r="S694" t="s">
        <v>285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2012</v>
      </c>
      <c r="G695" t="s">
        <v>934</v>
      </c>
      <c r="H695" s="71"/>
      <c r="I695" t="s">
        <v>225</v>
      </c>
      <c r="J695" s="187">
        <v>1</v>
      </c>
      <c r="K695" t="s">
        <v>1407</v>
      </c>
      <c r="L695" s="185"/>
      <c r="M695" s="188">
        <v>45191</v>
      </c>
      <c r="N695" s="71"/>
      <c r="O695" s="71"/>
      <c r="P695" s="71"/>
      <c r="Q695" s="71"/>
      <c r="R695" s="71"/>
      <c r="S695" t="s">
        <v>285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2448</v>
      </c>
      <c r="G696" t="s">
        <v>1462</v>
      </c>
      <c r="H696" s="71"/>
      <c r="I696" t="s">
        <v>360</v>
      </c>
      <c r="J696" s="187">
        <v>1</v>
      </c>
      <c r="K696" t="s">
        <v>1407</v>
      </c>
      <c r="L696" s="185"/>
      <c r="M696" s="188">
        <v>46228</v>
      </c>
      <c r="N696" s="71"/>
      <c r="Q696" s="71"/>
      <c r="R696" s="71"/>
      <c r="S696" t="s">
        <v>285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Férias</v>
      </c>
      <c r="E697" s="187">
        <v>8</v>
      </c>
      <c r="F697" s="187">
        <v>1846</v>
      </c>
      <c r="G697" t="s">
        <v>935</v>
      </c>
      <c r="H697" s="71"/>
      <c r="I697" t="s">
        <v>225</v>
      </c>
      <c r="J697" s="187">
        <v>2</v>
      </c>
      <c r="K697" t="s">
        <v>1597</v>
      </c>
      <c r="L697" s="185"/>
      <c r="M697" s="188">
        <v>44690</v>
      </c>
      <c r="N697" s="71"/>
      <c r="O697" s="71"/>
      <c r="P697" s="71"/>
      <c r="Q697" s="71"/>
      <c r="R697" s="71"/>
      <c r="S697" t="s">
        <v>285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2439</v>
      </c>
      <c r="G698" t="s">
        <v>1323</v>
      </c>
      <c r="H698" s="71"/>
      <c r="I698" t="s">
        <v>902</v>
      </c>
      <c r="J698" s="187">
        <v>1</v>
      </c>
      <c r="K698" t="s">
        <v>1407</v>
      </c>
      <c r="L698" s="185"/>
      <c r="M698" s="188">
        <v>46184</v>
      </c>
      <c r="N698" s="71"/>
      <c r="Q698" s="71"/>
      <c r="R698" s="71"/>
      <c r="S698" t="s">
        <v>285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2456</v>
      </c>
      <c r="G699" t="s">
        <v>1569</v>
      </c>
      <c r="H699" s="71"/>
      <c r="I699" t="s">
        <v>902</v>
      </c>
      <c r="J699" s="187">
        <v>1</v>
      </c>
      <c r="K699" t="s">
        <v>1407</v>
      </c>
      <c r="L699" s="185"/>
      <c r="M699" s="188">
        <v>46266</v>
      </c>
      <c r="N699" s="71"/>
      <c r="Q699" s="71"/>
      <c r="R699" s="71"/>
      <c r="S699" t="s">
        <v>285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2455</v>
      </c>
      <c r="G700" t="s">
        <v>1560</v>
      </c>
      <c r="H700" s="71"/>
      <c r="I700" t="s">
        <v>902</v>
      </c>
      <c r="J700" s="187">
        <v>1</v>
      </c>
      <c r="K700" t="s">
        <v>1407</v>
      </c>
      <c r="L700" s="185"/>
      <c r="M700" s="188">
        <v>46273</v>
      </c>
      <c r="N700" s="71"/>
      <c r="Q700" s="71"/>
      <c r="R700" s="71"/>
      <c r="S700" t="s">
        <v>285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2454</v>
      </c>
      <c r="G701" t="s">
        <v>1541</v>
      </c>
      <c r="H701" s="71"/>
      <c r="I701" t="s">
        <v>360</v>
      </c>
      <c r="J701" s="187">
        <v>1</v>
      </c>
      <c r="K701" t="s">
        <v>1407</v>
      </c>
      <c r="L701" s="185"/>
      <c r="M701" s="188">
        <v>46259</v>
      </c>
      <c r="N701" s="71"/>
      <c r="O701" s="71"/>
      <c r="P701" s="71"/>
      <c r="Q701" s="71"/>
      <c r="R701" s="71"/>
      <c r="S701" t="s">
        <v>285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Férias</v>
      </c>
      <c r="E702" s="187">
        <v>8</v>
      </c>
      <c r="F702" s="187">
        <v>2246</v>
      </c>
      <c r="G702" t="s">
        <v>936</v>
      </c>
      <c r="H702" s="71"/>
      <c r="I702" t="s">
        <v>360</v>
      </c>
      <c r="J702" s="187">
        <v>2</v>
      </c>
      <c r="K702" t="s">
        <v>1597</v>
      </c>
      <c r="L702" s="185"/>
      <c r="M702" s="188">
        <v>45750</v>
      </c>
      <c r="N702" s="71"/>
      <c r="O702" s="71"/>
      <c r="P702" s="71"/>
      <c r="Q702" s="71"/>
      <c r="R702" s="71"/>
      <c r="S702" t="s">
        <v>285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2095</v>
      </c>
      <c r="G703" t="s">
        <v>937</v>
      </c>
      <c r="H703" s="71"/>
      <c r="I703" t="s">
        <v>225</v>
      </c>
      <c r="J703" s="187">
        <v>1</v>
      </c>
      <c r="K703" t="s">
        <v>1407</v>
      </c>
      <c r="L703" s="185"/>
      <c r="M703" s="188">
        <v>45455</v>
      </c>
      <c r="N703" s="71"/>
      <c r="O703" s="71"/>
      <c r="P703" s="71"/>
      <c r="Q703" s="71"/>
      <c r="R703" s="71"/>
      <c r="S703" t="s">
        <v>285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1828</v>
      </c>
      <c r="G704" t="s">
        <v>938</v>
      </c>
      <c r="H704" s="71"/>
      <c r="I704" t="s">
        <v>220</v>
      </c>
      <c r="J704" s="187">
        <v>1</v>
      </c>
      <c r="K704" t="s">
        <v>1407</v>
      </c>
      <c r="L704" s="185"/>
      <c r="M704" s="188">
        <v>44670</v>
      </c>
      <c r="N704" s="71"/>
      <c r="Q704" s="71"/>
      <c r="R704" s="71"/>
      <c r="S704" t="s">
        <v>285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2458</v>
      </c>
      <c r="G705" t="s">
        <v>1587</v>
      </c>
      <c r="H705" s="71"/>
      <c r="I705" t="s">
        <v>360</v>
      </c>
      <c r="J705" s="187">
        <v>1</v>
      </c>
      <c r="K705" t="s">
        <v>1407</v>
      </c>
      <c r="L705" s="185"/>
      <c r="M705" s="188">
        <v>46273</v>
      </c>
      <c r="N705" s="71"/>
      <c r="O705" s="71"/>
      <c r="P705" s="71"/>
      <c r="Q705" s="71"/>
      <c r="R705" s="71"/>
      <c r="S705" t="s">
        <v>285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177</v>
      </c>
      <c r="G706" t="s">
        <v>939</v>
      </c>
      <c r="H706" s="71"/>
      <c r="I706" t="s">
        <v>220</v>
      </c>
      <c r="J706" s="187">
        <v>1</v>
      </c>
      <c r="K706" t="s">
        <v>1407</v>
      </c>
      <c r="L706" s="185"/>
      <c r="M706" s="188">
        <v>45385</v>
      </c>
      <c r="N706" s="71"/>
      <c r="Q706" s="71"/>
      <c r="R706" s="71"/>
      <c r="S706" t="s">
        <v>940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ATENDENTE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313</v>
      </c>
      <c r="G707" t="s">
        <v>941</v>
      </c>
      <c r="H707" s="71"/>
      <c r="I707" t="s">
        <v>360</v>
      </c>
      <c r="J707" s="187">
        <v>1</v>
      </c>
      <c r="K707" t="s">
        <v>1407</v>
      </c>
      <c r="L707" s="185"/>
      <c r="M707" s="188">
        <v>46056</v>
      </c>
      <c r="N707" s="71"/>
      <c r="Q707" s="71"/>
      <c r="R707" s="71"/>
      <c r="S707" t="s">
        <v>940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ATENDENTE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289</v>
      </c>
      <c r="G708" t="s">
        <v>942</v>
      </c>
      <c r="H708" s="71"/>
      <c r="I708" t="s">
        <v>902</v>
      </c>
      <c r="J708" s="187">
        <v>1</v>
      </c>
      <c r="K708" t="s">
        <v>1407</v>
      </c>
      <c r="L708" s="185"/>
      <c r="M708" s="188">
        <v>45938</v>
      </c>
      <c r="N708" s="71"/>
      <c r="O708" s="71"/>
      <c r="P708" s="71"/>
      <c r="Q708" s="71"/>
      <c r="R708" s="71"/>
      <c r="S708" t="s">
        <v>940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ENCARREGADO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</v>
      </c>
      <c r="G709" t="s">
        <v>943</v>
      </c>
      <c r="H709" s="71"/>
      <c r="I709" t="s">
        <v>222</v>
      </c>
      <c r="J709" s="187">
        <v>1</v>
      </c>
      <c r="K709" t="s">
        <v>1407</v>
      </c>
      <c r="L709" s="185"/>
      <c r="M709" s="188">
        <v>44634</v>
      </c>
      <c r="N709" s="71"/>
      <c r="O709" s="71"/>
      <c r="P709" s="71"/>
      <c r="Q709" s="71"/>
      <c r="R709" s="71"/>
      <c r="S709" t="s">
        <v>944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21</v>
      </c>
      <c r="G710" t="s">
        <v>946</v>
      </c>
      <c r="H710" s="71"/>
      <c r="I710" t="s">
        <v>384</v>
      </c>
      <c r="J710" s="187">
        <v>1</v>
      </c>
      <c r="K710" t="s">
        <v>1407</v>
      </c>
      <c r="L710" s="185"/>
      <c r="M710" s="188">
        <v>44648</v>
      </c>
      <c r="N710" s="71"/>
      <c r="Q710" s="71"/>
      <c r="R710" s="71"/>
      <c r="S710" t="s">
        <v>947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FRIOS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290</v>
      </c>
      <c r="G711" t="s">
        <v>948</v>
      </c>
      <c r="H711" s="71"/>
      <c r="I711" t="s">
        <v>360</v>
      </c>
      <c r="J711" s="187">
        <v>1</v>
      </c>
      <c r="K711" t="s">
        <v>1407</v>
      </c>
      <c r="L711" s="185"/>
      <c r="M711" s="188">
        <v>45945</v>
      </c>
      <c r="N711" s="71"/>
      <c r="Q711" s="71"/>
      <c r="R711" s="71"/>
      <c r="S711" t="s">
        <v>945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FRIOS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364</v>
      </c>
      <c r="G712" t="s">
        <v>1469</v>
      </c>
      <c r="H712" s="71"/>
      <c r="I712" t="s">
        <v>360</v>
      </c>
      <c r="J712" s="187">
        <v>7</v>
      </c>
      <c r="K712" t="s">
        <v>1579</v>
      </c>
      <c r="L712" s="185"/>
      <c r="M712" s="188">
        <v>46237</v>
      </c>
      <c r="N712" s="71"/>
      <c r="O712" s="71"/>
      <c r="P712" s="71"/>
      <c r="Q712" s="71"/>
      <c r="R712" s="71"/>
      <c r="S712" t="s">
        <v>945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GERÊNCIA</v>
      </c>
      <c r="C713" s="72" t="str">
        <f ca="1">IF(D713="Inativo","Inativo",IFERROR(VLOOKUP($G713,Conf!$O:$Q,3,0),IFERROR(VLOOKUP($G713,Conf!$E:$F,2,0),VLOOKUP($S713,Conf!$K:$M,3,0))))</f>
        <v>GERENTE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2175</v>
      </c>
      <c r="G713" t="s">
        <v>967</v>
      </c>
      <c r="H713" s="71"/>
      <c r="I713" t="s">
        <v>353</v>
      </c>
      <c r="J713" s="187">
        <v>1</v>
      </c>
      <c r="K713" t="s">
        <v>1407</v>
      </c>
      <c r="L713" s="185"/>
      <c r="M713" s="188">
        <v>45609</v>
      </c>
      <c r="N713" s="71"/>
      <c r="O713" s="71"/>
      <c r="P713" s="71"/>
      <c r="Q713" s="71"/>
      <c r="R713" s="71"/>
      <c r="S713" t="s">
        <v>354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GERÊNCIA</v>
      </c>
      <c r="C714" s="72" t="str">
        <f ca="1">IF(D714="Inativo","Inativo",IFERROR(VLOOKUP($G714,Conf!$O:$Q,3,0),IFERROR(VLOOKUP($G714,Conf!$E:$F,2,0),VLOOKUP($S714,Conf!$K:$M,3,0))))</f>
        <v>SUBGERENTE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228</v>
      </c>
      <c r="G714" t="s">
        <v>977</v>
      </c>
      <c r="H714" s="71"/>
      <c r="I714" t="s">
        <v>353</v>
      </c>
      <c r="J714" s="187">
        <v>1</v>
      </c>
      <c r="K714" t="s">
        <v>1407</v>
      </c>
      <c r="L714" s="185"/>
      <c r="M714" s="188">
        <v>45695</v>
      </c>
      <c r="N714" s="71"/>
      <c r="Q714" s="71"/>
      <c r="R714" s="71"/>
      <c r="S714" t="s">
        <v>978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ENCARREGADO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271</v>
      </c>
      <c r="G715" t="s">
        <v>949</v>
      </c>
      <c r="H715" s="71"/>
      <c r="I715" t="s">
        <v>258</v>
      </c>
      <c r="J715" s="187">
        <v>1</v>
      </c>
      <c r="K715" t="s">
        <v>1407</v>
      </c>
      <c r="L715" s="185"/>
      <c r="M715" s="188">
        <v>45848</v>
      </c>
      <c r="N715" s="71"/>
      <c r="O715" s="71"/>
      <c r="P715" s="71"/>
      <c r="Q715" s="71"/>
      <c r="R715" s="71"/>
      <c r="S715" t="s">
        <v>950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300</v>
      </c>
      <c r="G716" t="s">
        <v>951</v>
      </c>
      <c r="H716" s="71"/>
      <c r="I716" t="s">
        <v>222</v>
      </c>
      <c r="J716" s="187">
        <v>1</v>
      </c>
      <c r="K716" t="s">
        <v>1407</v>
      </c>
      <c r="L716" s="185"/>
      <c r="M716" s="188">
        <v>45980</v>
      </c>
      <c r="N716" s="71"/>
      <c r="Q716" s="71"/>
      <c r="R716" s="71"/>
      <c r="S716" t="s">
        <v>952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379</v>
      </c>
      <c r="G717" t="s">
        <v>1646</v>
      </c>
      <c r="H717" s="71"/>
      <c r="I717" t="s">
        <v>360</v>
      </c>
      <c r="J717" s="187">
        <v>1</v>
      </c>
      <c r="K717" t="s">
        <v>1407</v>
      </c>
      <c r="L717" s="185"/>
      <c r="M717" s="188">
        <v>46290</v>
      </c>
      <c r="N717" s="71"/>
      <c r="Q717" s="71"/>
      <c r="R717" s="71"/>
      <c r="S717" t="s">
        <v>952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358</v>
      </c>
      <c r="G718" t="s">
        <v>1438</v>
      </c>
      <c r="H718" s="71"/>
      <c r="I718" t="s">
        <v>360</v>
      </c>
      <c r="J718" s="187">
        <v>1</v>
      </c>
      <c r="K718" t="s">
        <v>1407</v>
      </c>
      <c r="L718" s="185"/>
      <c r="M718" s="188">
        <v>46218</v>
      </c>
      <c r="N718" s="71"/>
      <c r="Q718" s="71"/>
      <c r="R718" s="71"/>
      <c r="S718" t="s">
        <v>952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371</v>
      </c>
      <c r="G719" t="s">
        <v>1523</v>
      </c>
      <c r="H719" s="71"/>
      <c r="I719" t="s">
        <v>360</v>
      </c>
      <c r="J719" s="187">
        <v>1</v>
      </c>
      <c r="K719" t="s">
        <v>1407</v>
      </c>
      <c r="L719" s="185"/>
      <c r="M719" s="188">
        <v>46254</v>
      </c>
      <c r="N719" s="71"/>
      <c r="O719" s="71"/>
      <c r="P719" s="71"/>
      <c r="Q719" s="71"/>
      <c r="R719" s="71"/>
      <c r="S719" t="s">
        <v>952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354</v>
      </c>
      <c r="G720" t="s">
        <v>1386</v>
      </c>
      <c r="H720" s="71"/>
      <c r="I720" t="s">
        <v>220</v>
      </c>
      <c r="J720" s="187">
        <v>1</v>
      </c>
      <c r="K720" t="s">
        <v>1407</v>
      </c>
      <c r="L720" s="185"/>
      <c r="M720" s="188">
        <v>46204</v>
      </c>
      <c r="N720" s="71"/>
      <c r="Q720" s="71"/>
      <c r="R720" s="71"/>
      <c r="S720" t="s">
        <v>952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357</v>
      </c>
      <c r="G721" t="s">
        <v>1437</v>
      </c>
      <c r="H721" s="71"/>
      <c r="I721" t="s">
        <v>222</v>
      </c>
      <c r="J721" s="187">
        <v>1</v>
      </c>
      <c r="K721" t="s">
        <v>1407</v>
      </c>
      <c r="L721" s="185"/>
      <c r="M721" s="188">
        <v>46218</v>
      </c>
      <c r="N721" s="71"/>
      <c r="Q721" s="71"/>
      <c r="R721" s="71"/>
      <c r="S721" t="s">
        <v>952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HORTIFRUTI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Demitido</v>
      </c>
      <c r="E722" s="187">
        <v>8</v>
      </c>
      <c r="F722" s="187">
        <v>331</v>
      </c>
      <c r="G722" t="s">
        <v>953</v>
      </c>
      <c r="H722" s="71"/>
      <c r="I722" t="s">
        <v>360</v>
      </c>
      <c r="J722" s="187">
        <v>7</v>
      </c>
      <c r="K722" t="s">
        <v>1598</v>
      </c>
      <c r="L722" s="185"/>
      <c r="M722" s="188">
        <v>46097</v>
      </c>
      <c r="N722" s="71"/>
      <c r="Q722" s="71"/>
      <c r="R722" s="71"/>
      <c r="S722" t="s">
        <v>952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Inativo</v>
      </c>
      <c r="C723" s="72" t="str">
        <f ca="1">IF(D723="Inativo","Inativo",IFERROR(VLOOKUP($G723,Conf!$O:$Q,3,0),IFERROR(VLOOKUP($G723,Conf!$E:$F,2,0),VLOOKUP($S723,Conf!$K:$M,3,0))))</f>
        <v>Inativo</v>
      </c>
      <c r="D723" s="72" t="str">
        <f ca="1">IFERROR(IF(TODAY()-K723&gt;365,"Inativo",IF(J723=2,"Férias",IF(J723=7,"Demitido","Afastamento"))),VLOOKUP(J723,Conf!$H:$I,2,0))</f>
        <v>Inativo</v>
      </c>
      <c r="E723" s="187">
        <v>8</v>
      </c>
      <c r="F723" s="187">
        <v>34</v>
      </c>
      <c r="G723" t="s">
        <v>954</v>
      </c>
      <c r="H723" s="71"/>
      <c r="I723" t="s">
        <v>222</v>
      </c>
      <c r="J723" s="187">
        <v>3</v>
      </c>
      <c r="K723" t="s">
        <v>955</v>
      </c>
      <c r="L723" s="185"/>
      <c r="M723" s="188">
        <v>44643</v>
      </c>
      <c r="N723" s="71"/>
      <c r="O723" s="71"/>
      <c r="P723" s="71"/>
      <c r="Q723" s="71"/>
      <c r="R723" s="71"/>
      <c r="S723" t="s">
        <v>956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CARTAZISTA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178</v>
      </c>
      <c r="G724" t="s">
        <v>962</v>
      </c>
      <c r="H724" s="71"/>
      <c r="I724" t="s">
        <v>225</v>
      </c>
      <c r="J724" s="187">
        <v>1</v>
      </c>
      <c r="K724" t="s">
        <v>1407</v>
      </c>
      <c r="L724" s="185"/>
      <c r="M724" s="188">
        <v>45385</v>
      </c>
      <c r="N724" s="71"/>
      <c r="O724" s="71"/>
      <c r="P724" s="71"/>
      <c r="Q724" s="71"/>
      <c r="R724" s="71"/>
      <c r="S724" t="s">
        <v>963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334</v>
      </c>
      <c r="G725" t="s">
        <v>969</v>
      </c>
      <c r="H725" s="71"/>
      <c r="I725" t="s">
        <v>360</v>
      </c>
      <c r="J725" s="187">
        <v>1</v>
      </c>
      <c r="K725" t="s">
        <v>1407</v>
      </c>
      <c r="L725" s="185"/>
      <c r="M725" s="188">
        <v>46113</v>
      </c>
      <c r="N725" s="71"/>
      <c r="O725" s="71"/>
      <c r="P725" s="71"/>
      <c r="Q725" s="71"/>
      <c r="R725" s="71"/>
      <c r="S725" t="s">
        <v>970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326</v>
      </c>
      <c r="G726" t="s">
        <v>971</v>
      </c>
      <c r="H726" s="71"/>
      <c r="I726" t="s">
        <v>360</v>
      </c>
      <c r="J726" s="187">
        <v>1</v>
      </c>
      <c r="K726" t="s">
        <v>1407</v>
      </c>
      <c r="L726" s="185"/>
      <c r="M726" s="188">
        <v>46086</v>
      </c>
      <c r="N726" s="71"/>
      <c r="O726" s="71"/>
      <c r="P726" s="71"/>
      <c r="Q726" s="71"/>
      <c r="R726" s="71"/>
      <c r="S726" t="s">
        <v>968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323</v>
      </c>
      <c r="G727" t="s">
        <v>973</v>
      </c>
      <c r="H727" s="71"/>
      <c r="I727" t="s">
        <v>360</v>
      </c>
      <c r="J727" s="187">
        <v>1</v>
      </c>
      <c r="K727" t="s">
        <v>1407</v>
      </c>
      <c r="L727" s="185"/>
      <c r="M727" s="188">
        <v>46085</v>
      </c>
      <c r="N727" s="71"/>
      <c r="O727" s="71"/>
      <c r="P727" s="71"/>
      <c r="Q727" s="71"/>
      <c r="R727" s="71"/>
      <c r="S727" t="s">
        <v>968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376</v>
      </c>
      <c r="G728" t="s">
        <v>1621</v>
      </c>
      <c r="H728" s="71"/>
      <c r="I728" t="s">
        <v>360</v>
      </c>
      <c r="J728" s="187">
        <v>1</v>
      </c>
      <c r="K728" t="s">
        <v>1407</v>
      </c>
      <c r="L728" s="185"/>
      <c r="M728" s="188">
        <v>46280</v>
      </c>
      <c r="N728" s="71"/>
      <c r="Q728" s="71"/>
      <c r="R728" s="71"/>
      <c r="S728" t="s">
        <v>968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336</v>
      </c>
      <c r="G729" t="s">
        <v>974</v>
      </c>
      <c r="H729" s="71"/>
      <c r="I729" t="s">
        <v>222</v>
      </c>
      <c r="J729" s="187">
        <v>1</v>
      </c>
      <c r="K729" t="s">
        <v>1407</v>
      </c>
      <c r="L729" s="185"/>
      <c r="M729" s="188">
        <v>46114</v>
      </c>
      <c r="N729" s="71"/>
      <c r="Q729" s="71"/>
      <c r="R729" s="71"/>
      <c r="S729" t="s">
        <v>968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353</v>
      </c>
      <c r="G730" t="s">
        <v>1385</v>
      </c>
      <c r="H730" s="71"/>
      <c r="I730" t="s">
        <v>222</v>
      </c>
      <c r="J730" s="187">
        <v>1</v>
      </c>
      <c r="K730" t="s">
        <v>1407</v>
      </c>
      <c r="L730" s="185"/>
      <c r="M730" s="188">
        <v>46204</v>
      </c>
      <c r="N730" s="71"/>
      <c r="O730" s="71"/>
      <c r="P730" s="71"/>
      <c r="Q730" s="71"/>
      <c r="R730" s="71"/>
      <c r="S730" t="s">
        <v>968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368</v>
      </c>
      <c r="G731" t="s">
        <v>1498</v>
      </c>
      <c r="H731" s="71"/>
      <c r="I731" t="s">
        <v>360</v>
      </c>
      <c r="J731" s="187">
        <v>1</v>
      </c>
      <c r="K731" t="s">
        <v>1407</v>
      </c>
      <c r="L731" s="185"/>
      <c r="M731" s="188">
        <v>46247</v>
      </c>
      <c r="N731" s="71"/>
      <c r="Q731" s="71"/>
      <c r="R731" s="71"/>
      <c r="S731" t="s">
        <v>968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335</v>
      </c>
      <c r="G732" t="s">
        <v>975</v>
      </c>
      <c r="H732" s="71"/>
      <c r="I732" t="s">
        <v>360</v>
      </c>
      <c r="J732" s="187">
        <v>1</v>
      </c>
      <c r="K732" t="s">
        <v>1407</v>
      </c>
      <c r="L732" s="185"/>
      <c r="M732" s="188">
        <v>46113</v>
      </c>
      <c r="N732" s="71"/>
      <c r="O732" s="71"/>
      <c r="P732" s="71"/>
      <c r="Q732" s="71"/>
      <c r="R732" s="71"/>
      <c r="S732" t="s">
        <v>968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355</v>
      </c>
      <c r="G733" t="s">
        <v>1421</v>
      </c>
      <c r="H733" s="71"/>
      <c r="I733" t="s">
        <v>360</v>
      </c>
      <c r="J733" s="187">
        <v>1</v>
      </c>
      <c r="K733" t="s">
        <v>1407</v>
      </c>
      <c r="L733" s="185"/>
      <c r="M733" s="188">
        <v>46209</v>
      </c>
      <c r="N733" s="71"/>
      <c r="Q733" s="71"/>
      <c r="R733" s="71"/>
      <c r="S733" t="s">
        <v>968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347</v>
      </c>
      <c r="G734" t="s">
        <v>660</v>
      </c>
      <c r="H734" s="71"/>
      <c r="I734" t="s">
        <v>360</v>
      </c>
      <c r="J734" s="187">
        <v>1</v>
      </c>
      <c r="K734" t="s">
        <v>1407</v>
      </c>
      <c r="L734" s="185"/>
      <c r="M734" s="188">
        <v>46175</v>
      </c>
      <c r="N734" s="71"/>
      <c r="O734" s="71"/>
      <c r="P734" s="71"/>
      <c r="Q734" s="71"/>
      <c r="R734" s="71"/>
      <c r="S734" t="s">
        <v>968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346</v>
      </c>
      <c r="G735" t="s">
        <v>976</v>
      </c>
      <c r="H735" s="71"/>
      <c r="I735" t="s">
        <v>322</v>
      </c>
      <c r="J735" s="187">
        <v>1</v>
      </c>
      <c r="K735" t="s">
        <v>1407</v>
      </c>
      <c r="L735" s="185"/>
      <c r="M735" s="188">
        <v>46160</v>
      </c>
      <c r="N735" s="71"/>
      <c r="Q735" s="71"/>
      <c r="R735" s="71"/>
      <c r="S735" t="s">
        <v>968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ATENDENTE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343</v>
      </c>
      <c r="G736" t="s">
        <v>985</v>
      </c>
      <c r="H736" s="71"/>
      <c r="I736" t="s">
        <v>360</v>
      </c>
      <c r="J736" s="187">
        <v>1</v>
      </c>
      <c r="K736" t="s">
        <v>1407</v>
      </c>
      <c r="L736" s="185"/>
      <c r="M736" s="188">
        <v>46150</v>
      </c>
      <c r="N736" s="71"/>
      <c r="O736" s="71"/>
      <c r="P736" s="71"/>
      <c r="Q736" s="71"/>
      <c r="R736" s="71"/>
      <c r="S736" t="s">
        <v>979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286</v>
      </c>
      <c r="G737" t="s">
        <v>980</v>
      </c>
      <c r="H737" s="71"/>
      <c r="I737" t="s">
        <v>360</v>
      </c>
      <c r="J737" s="187">
        <v>1</v>
      </c>
      <c r="K737" t="s">
        <v>1407</v>
      </c>
      <c r="L737" s="185"/>
      <c r="M737" s="188">
        <v>45931</v>
      </c>
      <c r="N737" s="71"/>
      <c r="O737" s="71"/>
      <c r="P737" s="71"/>
      <c r="Q737" s="71"/>
      <c r="R737" s="71"/>
      <c r="S737" t="s">
        <v>981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270</v>
      </c>
      <c r="G738" t="s">
        <v>982</v>
      </c>
      <c r="H738" s="71"/>
      <c r="I738" t="s">
        <v>360</v>
      </c>
      <c r="J738" s="187">
        <v>1</v>
      </c>
      <c r="K738" t="s">
        <v>1407</v>
      </c>
      <c r="L738" s="185"/>
      <c r="M738" s="188">
        <v>45848</v>
      </c>
      <c r="N738" s="71"/>
      <c r="O738" s="71"/>
      <c r="P738" s="71"/>
      <c r="Q738" s="71"/>
      <c r="R738" s="71"/>
      <c r="S738" t="s">
        <v>981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130</v>
      </c>
      <c r="G739" t="s">
        <v>983</v>
      </c>
      <c r="H739" s="71"/>
      <c r="I739" t="s">
        <v>395</v>
      </c>
      <c r="J739" s="187">
        <v>1</v>
      </c>
      <c r="K739" t="s">
        <v>1407</v>
      </c>
      <c r="L739" s="185"/>
      <c r="M739" s="188">
        <v>45070</v>
      </c>
      <c r="N739" s="71"/>
      <c r="Q739" s="71"/>
      <c r="R739" s="71"/>
      <c r="S739" t="s">
        <v>981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366</v>
      </c>
      <c r="G740" t="s">
        <v>1485</v>
      </c>
      <c r="H740" s="71"/>
      <c r="I740" t="s">
        <v>360</v>
      </c>
      <c r="J740" s="187">
        <v>1</v>
      </c>
      <c r="K740" t="s">
        <v>1407</v>
      </c>
      <c r="L740" s="185"/>
      <c r="M740" s="188">
        <v>46240</v>
      </c>
      <c r="N740" s="71"/>
      <c r="Q740" s="71"/>
      <c r="R740" s="71"/>
      <c r="S740" t="s">
        <v>981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367</v>
      </c>
      <c r="G741" t="s">
        <v>928</v>
      </c>
      <c r="H741" s="71"/>
      <c r="I741" t="s">
        <v>360</v>
      </c>
      <c r="J741" s="187">
        <v>1</v>
      </c>
      <c r="K741" t="s">
        <v>1407</v>
      </c>
      <c r="L741" s="185"/>
      <c r="M741" s="188">
        <v>46240</v>
      </c>
      <c r="N741" s="71"/>
      <c r="O741" s="71"/>
      <c r="P741" s="71"/>
      <c r="Q741" s="71"/>
      <c r="R741" s="71"/>
      <c r="S741" t="s">
        <v>981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372</v>
      </c>
      <c r="G742" t="s">
        <v>1524</v>
      </c>
      <c r="H742" s="71"/>
      <c r="I742" t="s">
        <v>1528</v>
      </c>
      <c r="J742" s="187">
        <v>1</v>
      </c>
      <c r="K742" t="s">
        <v>1407</v>
      </c>
      <c r="L742" s="185"/>
      <c r="M742" s="188">
        <v>46254</v>
      </c>
      <c r="N742" s="71"/>
      <c r="O742" s="71"/>
      <c r="P742" s="71"/>
      <c r="Q742" s="71"/>
      <c r="R742" s="71"/>
      <c r="S742" t="s">
        <v>981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365</v>
      </c>
      <c r="G743" t="s">
        <v>1470</v>
      </c>
      <c r="H743" s="71"/>
      <c r="I743" t="s">
        <v>360</v>
      </c>
      <c r="J743" s="187">
        <v>1</v>
      </c>
      <c r="K743" t="s">
        <v>1407</v>
      </c>
      <c r="L743" s="185"/>
      <c r="M743" s="188">
        <v>46238</v>
      </c>
      <c r="N743" s="71"/>
      <c r="Q743" s="71"/>
      <c r="R743" s="71"/>
      <c r="S743" t="s">
        <v>981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350</v>
      </c>
      <c r="G744" t="s">
        <v>1326</v>
      </c>
      <c r="H744" s="71"/>
      <c r="I744" t="s">
        <v>222</v>
      </c>
      <c r="J744" s="187">
        <v>1</v>
      </c>
      <c r="K744" t="s">
        <v>1407</v>
      </c>
      <c r="L744" s="185"/>
      <c r="M744" s="188">
        <v>46188</v>
      </c>
      <c r="N744" s="71"/>
      <c r="Q744" s="71"/>
      <c r="R744" s="71"/>
      <c r="S744" t="s">
        <v>981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ENCARREGADO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279</v>
      </c>
      <c r="G745" t="s">
        <v>986</v>
      </c>
      <c r="H745" s="71"/>
      <c r="I745" t="s">
        <v>278</v>
      </c>
      <c r="J745" s="187">
        <v>1</v>
      </c>
      <c r="K745" t="s">
        <v>1407</v>
      </c>
      <c r="L745" s="185"/>
      <c r="M745" s="188">
        <v>45890</v>
      </c>
      <c r="N745" s="71"/>
      <c r="O745" s="71"/>
      <c r="P745" s="71"/>
      <c r="Q745" s="71"/>
      <c r="R745" s="71"/>
      <c r="S745" t="s">
        <v>956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38</v>
      </c>
      <c r="G746" t="s">
        <v>987</v>
      </c>
      <c r="H746" s="71"/>
      <c r="I746" t="s">
        <v>222</v>
      </c>
      <c r="J746" s="187">
        <v>1</v>
      </c>
      <c r="K746" t="s">
        <v>1407</v>
      </c>
      <c r="L746" s="185"/>
      <c r="M746" s="188">
        <v>44670</v>
      </c>
      <c r="N746" s="71"/>
      <c r="Q746" s="71"/>
      <c r="R746" s="71"/>
      <c r="S746" t="s">
        <v>988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PADEIRO(A)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23</v>
      </c>
      <c r="G747" t="s">
        <v>989</v>
      </c>
      <c r="H747" s="71"/>
      <c r="I747" t="s">
        <v>222</v>
      </c>
      <c r="J747" s="187">
        <v>1</v>
      </c>
      <c r="K747" t="s">
        <v>1407</v>
      </c>
      <c r="L747" s="185"/>
      <c r="M747" s="188">
        <v>44648</v>
      </c>
      <c r="N747" s="71"/>
      <c r="Q747" s="71"/>
      <c r="R747" s="71"/>
      <c r="S747" t="s">
        <v>990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PADEIRO(A)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207</v>
      </c>
      <c r="G748" t="s">
        <v>991</v>
      </c>
      <c r="H748" s="71"/>
      <c r="I748" t="s">
        <v>395</v>
      </c>
      <c r="J748" s="187">
        <v>1</v>
      </c>
      <c r="K748" t="s">
        <v>1407</v>
      </c>
      <c r="L748" s="185"/>
      <c r="M748" s="188">
        <v>45559</v>
      </c>
      <c r="N748" s="71"/>
      <c r="O748" s="71"/>
      <c r="P748" s="71"/>
      <c r="Q748" s="71"/>
      <c r="R748" s="71"/>
      <c r="S748" t="s">
        <v>988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ROTISSERIA</v>
      </c>
      <c r="C749" s="72" t="str">
        <f ca="1">IF(D749="Inativo","Inativo",IFERROR(VLOOKUP($G749,Conf!$O:$Q,3,0),IFERROR(VLOOKUP($G749,Conf!$E:$F,2,0),VLOOKUP($S749,Conf!$K:$M,3,0))))</f>
        <v>COZINHEIRO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135</v>
      </c>
      <c r="G749" t="s">
        <v>999</v>
      </c>
      <c r="H749" s="71"/>
      <c r="I749" t="s">
        <v>395</v>
      </c>
      <c r="J749" s="187">
        <v>1</v>
      </c>
      <c r="K749" t="s">
        <v>1407</v>
      </c>
      <c r="L749" s="185"/>
      <c r="M749" s="188">
        <v>45100</v>
      </c>
      <c r="N749" s="71"/>
      <c r="Q749" s="71"/>
      <c r="R749" s="71"/>
      <c r="S749" t="s">
        <v>1000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ROTISSERIA</v>
      </c>
      <c r="C750" s="72" t="str">
        <f ca="1">IF(D750="Inativo","Inativo",IFERROR(VLOOKUP($G750,Conf!$O:$Q,3,0),IFERROR(VLOOKUP($G750,Conf!$E:$F,2,0),VLOOKUP($S750,Conf!$K:$M,3,0))))</f>
        <v>COZINHEIRO</v>
      </c>
      <c r="D750" s="72" t="str">
        <f ca="1">IFERROR(IF(TODAY()-K750&gt;365,"Inativo",IF(J750=2,"Férias",IF(J750=7,"Demitido","Afastamento"))),VLOOKUP(J750,Conf!$H:$I,2,0))</f>
        <v>Afastamento</v>
      </c>
      <c r="E750" s="187">
        <v>8</v>
      </c>
      <c r="F750" s="187">
        <v>209</v>
      </c>
      <c r="G750" t="s">
        <v>1001</v>
      </c>
      <c r="H750" s="71"/>
      <c r="I750" t="s">
        <v>395</v>
      </c>
      <c r="J750" s="187">
        <v>3</v>
      </c>
      <c r="K750" t="s">
        <v>1597</v>
      </c>
      <c r="L750" s="185"/>
      <c r="M750" s="188">
        <v>45567</v>
      </c>
      <c r="N750" s="71"/>
      <c r="O750" s="71"/>
      <c r="P750" s="71"/>
      <c r="Q750" s="71"/>
      <c r="R750" s="71"/>
      <c r="S750" t="s">
        <v>1000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ANALISTA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11</v>
      </c>
      <c r="G751" t="s">
        <v>1004</v>
      </c>
      <c r="H751" s="71"/>
      <c r="I751" t="s">
        <v>611</v>
      </c>
      <c r="J751" s="187">
        <v>1</v>
      </c>
      <c r="K751" t="s">
        <v>1407</v>
      </c>
      <c r="L751" s="185"/>
      <c r="M751" s="188">
        <v>43922</v>
      </c>
      <c r="N751" s="71"/>
      <c r="Q751" s="71"/>
      <c r="R751" s="71"/>
      <c r="S751" t="s">
        <v>1005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388</v>
      </c>
      <c r="G752" t="s">
        <v>1146</v>
      </c>
      <c r="H752" s="71"/>
      <c r="I752" t="s">
        <v>574</v>
      </c>
      <c r="J752" s="187">
        <v>1</v>
      </c>
      <c r="K752" t="s">
        <v>1407</v>
      </c>
      <c r="L752" s="185"/>
      <c r="M752" s="188">
        <v>46077</v>
      </c>
      <c r="N752" s="71"/>
      <c r="O752" s="71"/>
      <c r="P752" s="71"/>
      <c r="Q752" s="71"/>
      <c r="R752" s="71"/>
      <c r="S752" t="s">
        <v>1147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APRENDIZ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390</v>
      </c>
      <c r="G753" t="s">
        <v>1148</v>
      </c>
      <c r="H753" s="71"/>
      <c r="I753" t="s">
        <v>574</v>
      </c>
      <c r="J753" s="187">
        <v>1</v>
      </c>
      <c r="K753" t="s">
        <v>1407</v>
      </c>
      <c r="L753" s="185"/>
      <c r="M753" s="188">
        <v>46077</v>
      </c>
      <c r="N753" s="71"/>
      <c r="Q753" s="71"/>
      <c r="R753" s="71"/>
      <c r="S753" t="s">
        <v>1147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APRENDIZ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389</v>
      </c>
      <c r="G754" t="s">
        <v>1149</v>
      </c>
      <c r="H754" s="71"/>
      <c r="I754" t="s">
        <v>574</v>
      </c>
      <c r="J754" s="187">
        <v>1</v>
      </c>
      <c r="K754" t="s">
        <v>1407</v>
      </c>
      <c r="L754" s="185"/>
      <c r="M754" s="188">
        <v>46077</v>
      </c>
      <c r="N754" s="71"/>
      <c r="O754" s="71"/>
      <c r="P754" s="71"/>
      <c r="Q754" s="71"/>
      <c r="R754" s="71"/>
      <c r="S754" t="s">
        <v>1147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Afastamento</v>
      </c>
      <c r="E755" s="187">
        <v>30</v>
      </c>
      <c r="F755" s="187">
        <v>60</v>
      </c>
      <c r="G755" t="s">
        <v>1009</v>
      </c>
      <c r="H755" s="71"/>
      <c r="I755" t="s">
        <v>239</v>
      </c>
      <c r="J755" s="187">
        <v>6</v>
      </c>
      <c r="K755" t="s">
        <v>1344</v>
      </c>
      <c r="L755" s="185"/>
      <c r="M755" s="188">
        <v>45194</v>
      </c>
      <c r="N755" s="71"/>
      <c r="Q755" s="71"/>
      <c r="R755" s="71"/>
      <c r="S755" t="s">
        <v>1010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341</v>
      </c>
      <c r="G756" t="s">
        <v>1013</v>
      </c>
      <c r="H756" s="71"/>
      <c r="I756" t="s">
        <v>613</v>
      </c>
      <c r="J756" s="187">
        <v>1</v>
      </c>
      <c r="K756" t="s">
        <v>1407</v>
      </c>
      <c r="L756" s="185"/>
      <c r="M756" s="188">
        <v>45588</v>
      </c>
      <c r="N756" s="71"/>
      <c r="O756" s="71"/>
      <c r="P756" s="71"/>
      <c r="Q756" s="71"/>
      <c r="R756" s="71"/>
      <c r="S756" t="s">
        <v>1014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1015</v>
      </c>
      <c r="H757" s="71"/>
      <c r="I757" t="s">
        <v>239</v>
      </c>
      <c r="J757" s="187">
        <v>1</v>
      </c>
      <c r="K757" t="s">
        <v>1407</v>
      </c>
      <c r="L757" s="185"/>
      <c r="M757" s="188">
        <v>46042</v>
      </c>
      <c r="N757" s="71"/>
      <c r="Q757" s="71"/>
      <c r="R757" s="71"/>
      <c r="S757" t="s">
        <v>1010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1016</v>
      </c>
      <c r="H758" s="71"/>
      <c r="I758" t="s">
        <v>613</v>
      </c>
      <c r="J758" s="187">
        <v>1</v>
      </c>
      <c r="K758" t="s">
        <v>1407</v>
      </c>
      <c r="L758" s="185"/>
      <c r="M758" s="188">
        <v>45139</v>
      </c>
      <c r="N758" s="71"/>
      <c r="Q758" s="71"/>
      <c r="R758" s="71"/>
      <c r="S758" t="s">
        <v>1017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254</v>
      </c>
      <c r="H759" s="71"/>
      <c r="I759" t="s">
        <v>1011</v>
      </c>
      <c r="J759" s="187">
        <v>1</v>
      </c>
      <c r="K759" t="s">
        <v>1407</v>
      </c>
      <c r="L759" s="185"/>
      <c r="M759" s="188">
        <v>46146</v>
      </c>
      <c r="N759" s="71"/>
      <c r="Q759" s="71"/>
      <c r="R759" s="71"/>
      <c r="S759" t="s">
        <v>1018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1020</v>
      </c>
      <c r="H760" s="71"/>
      <c r="I760" t="s">
        <v>1021</v>
      </c>
      <c r="J760" s="187">
        <v>1</v>
      </c>
      <c r="K760" t="s">
        <v>1407</v>
      </c>
      <c r="L760" s="185"/>
      <c r="M760" s="188">
        <v>44816</v>
      </c>
      <c r="N760" s="71"/>
      <c r="O760" s="71"/>
      <c r="P760" s="71"/>
      <c r="Q760" s="71"/>
      <c r="R760" s="71"/>
      <c r="S760" t="s">
        <v>1325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1023</v>
      </c>
      <c r="H761" s="71"/>
      <c r="I761" t="s">
        <v>440</v>
      </c>
      <c r="J761" s="187">
        <v>1</v>
      </c>
      <c r="K761" t="s">
        <v>1407</v>
      </c>
      <c r="L761" s="185"/>
      <c r="M761" s="188">
        <v>45201</v>
      </c>
      <c r="N761" s="71"/>
      <c r="Q761" s="71"/>
      <c r="R761" s="71"/>
      <c r="S761" t="s">
        <v>1017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1024</v>
      </c>
      <c r="H762" s="71"/>
      <c r="I762" t="s">
        <v>1011</v>
      </c>
      <c r="J762" s="187">
        <v>1</v>
      </c>
      <c r="K762" t="s">
        <v>1407</v>
      </c>
      <c r="L762" s="185"/>
      <c r="M762" s="188">
        <v>46072</v>
      </c>
      <c r="N762" s="71"/>
      <c r="Q762" s="71"/>
      <c r="R762" s="71"/>
      <c r="S762" t="s">
        <v>1019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1025</v>
      </c>
      <c r="H763" s="71"/>
      <c r="I763" t="s">
        <v>239</v>
      </c>
      <c r="J763" s="187">
        <v>1</v>
      </c>
      <c r="K763" t="s">
        <v>1407</v>
      </c>
      <c r="L763" s="185"/>
      <c r="M763" s="188">
        <v>45839</v>
      </c>
      <c r="N763" s="71"/>
      <c r="Q763" s="71"/>
      <c r="R763" s="71"/>
      <c r="S763" t="s">
        <v>1010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18</v>
      </c>
      <c r="G764" t="s">
        <v>1028</v>
      </c>
      <c r="H764" s="71"/>
      <c r="I764" t="s">
        <v>1029</v>
      </c>
      <c r="J764" s="187">
        <v>1</v>
      </c>
      <c r="K764" t="s">
        <v>1407</v>
      </c>
      <c r="L764" s="185"/>
      <c r="M764" s="188">
        <v>43116</v>
      </c>
      <c r="N764" s="71"/>
      <c r="Q764" s="71"/>
      <c r="R764" s="71"/>
      <c r="S764" t="s">
        <v>1030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162</v>
      </c>
      <c r="G765" t="s">
        <v>1031</v>
      </c>
      <c r="H765" s="71"/>
      <c r="I765" t="s">
        <v>1007</v>
      </c>
      <c r="J765" s="187">
        <v>1</v>
      </c>
      <c r="K765" t="s">
        <v>1407</v>
      </c>
      <c r="L765" s="185"/>
      <c r="M765" s="188">
        <v>43528</v>
      </c>
      <c r="N765" s="71"/>
      <c r="Q765" s="71"/>
      <c r="R765" s="71"/>
      <c r="S765" t="s">
        <v>1014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79</v>
      </c>
      <c r="G766" t="s">
        <v>1032</v>
      </c>
      <c r="H766" s="71"/>
      <c r="I766" t="s">
        <v>613</v>
      </c>
      <c r="J766" s="187">
        <v>1</v>
      </c>
      <c r="K766" t="s">
        <v>1407</v>
      </c>
      <c r="L766" s="185"/>
      <c r="M766" s="188">
        <v>45323</v>
      </c>
      <c r="N766" s="71"/>
      <c r="Q766" s="71"/>
      <c r="R766" s="71"/>
      <c r="S766" t="s">
        <v>1017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20</v>
      </c>
      <c r="G767" t="s">
        <v>1033</v>
      </c>
      <c r="H767" s="71"/>
      <c r="I767" t="s">
        <v>611</v>
      </c>
      <c r="J767" s="187">
        <v>1</v>
      </c>
      <c r="K767" t="s">
        <v>1407</v>
      </c>
      <c r="L767" s="185"/>
      <c r="M767" s="188">
        <v>45019</v>
      </c>
      <c r="N767" s="71"/>
      <c r="Q767" s="71"/>
      <c r="R767" s="71"/>
      <c r="S767" t="s">
        <v>1017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301</v>
      </c>
      <c r="G768" t="s">
        <v>1034</v>
      </c>
      <c r="H768" s="71"/>
      <c r="I768" t="s">
        <v>255</v>
      </c>
      <c r="J768" s="187">
        <v>1</v>
      </c>
      <c r="K768" t="s">
        <v>1407</v>
      </c>
      <c r="L768" s="185"/>
      <c r="M768" s="188">
        <v>46153</v>
      </c>
      <c r="N768" s="71"/>
      <c r="O768" s="71"/>
      <c r="P768" s="71"/>
      <c r="Q768" s="71"/>
      <c r="R768" s="71"/>
      <c r="S768" t="s">
        <v>1624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294</v>
      </c>
      <c r="G769" t="s">
        <v>1036</v>
      </c>
      <c r="H769" s="71"/>
      <c r="I769" t="s">
        <v>1011</v>
      </c>
      <c r="J769" s="187">
        <v>1</v>
      </c>
      <c r="K769" t="s">
        <v>1407</v>
      </c>
      <c r="L769" s="185"/>
      <c r="M769" s="188">
        <v>46076</v>
      </c>
      <c r="N769" s="71"/>
      <c r="O769" s="71"/>
      <c r="P769" s="71"/>
      <c r="Q769" s="71"/>
      <c r="R769" s="71"/>
      <c r="S769" t="s">
        <v>1439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249</v>
      </c>
      <c r="G770" t="s">
        <v>1037</v>
      </c>
      <c r="H770" s="71"/>
      <c r="I770" t="s">
        <v>1011</v>
      </c>
      <c r="J770" s="187">
        <v>1</v>
      </c>
      <c r="K770" t="s">
        <v>1407</v>
      </c>
      <c r="L770" s="185"/>
      <c r="M770" s="188">
        <v>45943</v>
      </c>
      <c r="N770" s="71"/>
      <c r="Q770" s="71"/>
      <c r="R770" s="71"/>
      <c r="S770" t="s">
        <v>1038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80</v>
      </c>
      <c r="G771" t="s">
        <v>1039</v>
      </c>
      <c r="H771" s="71"/>
      <c r="I771" t="s">
        <v>611</v>
      </c>
      <c r="J771" s="187">
        <v>1</v>
      </c>
      <c r="K771" t="s">
        <v>1407</v>
      </c>
      <c r="L771" s="185"/>
      <c r="M771" s="188">
        <v>44440</v>
      </c>
      <c r="N771" s="71"/>
      <c r="Q771" s="71"/>
      <c r="R771" s="71"/>
      <c r="S771" t="s">
        <v>1040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113</v>
      </c>
      <c r="G772" t="s">
        <v>1041</v>
      </c>
      <c r="H772" s="71"/>
      <c r="I772" t="s">
        <v>611</v>
      </c>
      <c r="J772" s="187">
        <v>1</v>
      </c>
      <c r="K772" t="s">
        <v>1407</v>
      </c>
      <c r="L772" s="185"/>
      <c r="M772" s="188">
        <v>44744</v>
      </c>
      <c r="N772" s="71"/>
      <c r="Q772" s="71"/>
      <c r="R772" s="71"/>
      <c r="S772" t="s">
        <v>1040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216</v>
      </c>
      <c r="G773" t="s">
        <v>1053</v>
      </c>
      <c r="H773" s="71"/>
      <c r="I773" t="s">
        <v>485</v>
      </c>
      <c r="J773" s="187">
        <v>1</v>
      </c>
      <c r="K773" t="s">
        <v>1407</v>
      </c>
      <c r="L773" s="185"/>
      <c r="M773" s="188">
        <v>44214</v>
      </c>
      <c r="N773" s="71"/>
      <c r="Q773" s="71"/>
      <c r="R773" s="71"/>
      <c r="S773" t="s">
        <v>1054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361</v>
      </c>
      <c r="G774" t="s">
        <v>1042</v>
      </c>
      <c r="H774" s="71"/>
      <c r="I774" t="s">
        <v>239</v>
      </c>
      <c r="J774" s="187">
        <v>1</v>
      </c>
      <c r="K774" t="s">
        <v>1407</v>
      </c>
      <c r="L774" s="185"/>
      <c r="M774" s="188">
        <v>45839</v>
      </c>
      <c r="N774" s="71"/>
      <c r="Q774" s="71"/>
      <c r="R774" s="71"/>
      <c r="S774" t="s">
        <v>1043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265</v>
      </c>
      <c r="G775" t="s">
        <v>1044</v>
      </c>
      <c r="H775" s="71"/>
      <c r="I775" t="s">
        <v>440</v>
      </c>
      <c r="J775" s="187">
        <v>1</v>
      </c>
      <c r="K775" t="s">
        <v>1407</v>
      </c>
      <c r="L775" s="185"/>
      <c r="M775" s="188">
        <v>44671</v>
      </c>
      <c r="N775" s="71"/>
      <c r="O775" s="71"/>
      <c r="P775" s="71"/>
      <c r="Q775" s="71"/>
      <c r="R775" s="71"/>
      <c r="S775" t="s">
        <v>1043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48</v>
      </c>
      <c r="G776" t="s">
        <v>1045</v>
      </c>
      <c r="H776" s="71"/>
      <c r="I776" t="s">
        <v>440</v>
      </c>
      <c r="J776" s="187">
        <v>1</v>
      </c>
      <c r="K776" t="s">
        <v>1407</v>
      </c>
      <c r="L776" s="185"/>
      <c r="M776" s="188">
        <v>41276</v>
      </c>
      <c r="N776" s="71"/>
      <c r="Q776" s="71"/>
      <c r="R776" s="71"/>
      <c r="S776" t="s">
        <v>1046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195</v>
      </c>
      <c r="G777" t="s">
        <v>1047</v>
      </c>
      <c r="H777" s="71"/>
      <c r="I777" t="s">
        <v>353</v>
      </c>
      <c r="J777" s="187">
        <v>1</v>
      </c>
      <c r="K777" t="s">
        <v>1407</v>
      </c>
      <c r="L777" s="185"/>
      <c r="M777" s="188">
        <v>45748</v>
      </c>
      <c r="N777" s="71"/>
      <c r="O777" s="71"/>
      <c r="P777" s="71"/>
      <c r="Q777" s="71"/>
      <c r="R777" s="71"/>
      <c r="S777" t="s">
        <v>1048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298</v>
      </c>
      <c r="G778" t="s">
        <v>1049</v>
      </c>
      <c r="H778" s="71"/>
      <c r="I778" t="s">
        <v>1011</v>
      </c>
      <c r="J778" s="187">
        <v>1</v>
      </c>
      <c r="K778" t="s">
        <v>1407</v>
      </c>
      <c r="L778" s="185"/>
      <c r="M778" s="188">
        <v>46082</v>
      </c>
      <c r="N778" s="71"/>
      <c r="Q778" s="71"/>
      <c r="R778" s="71"/>
      <c r="S778" t="s">
        <v>1050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297</v>
      </c>
      <c r="G779" t="s">
        <v>1051</v>
      </c>
      <c r="H779" s="71"/>
      <c r="I779" t="s">
        <v>1011</v>
      </c>
      <c r="J779" s="187">
        <v>1</v>
      </c>
      <c r="K779" t="s">
        <v>1407</v>
      </c>
      <c r="L779" s="185"/>
      <c r="M779" s="188">
        <v>46083</v>
      </c>
      <c r="N779" s="71"/>
      <c r="Q779" s="71"/>
      <c r="R779" s="71"/>
      <c r="S779" t="s">
        <v>1052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FATURISTA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23</v>
      </c>
      <c r="G780" t="s">
        <v>1006</v>
      </c>
      <c r="I780" t="s">
        <v>1007</v>
      </c>
      <c r="J780" s="187">
        <v>1</v>
      </c>
      <c r="K780" t="s">
        <v>1407</v>
      </c>
      <c r="M780" s="188">
        <v>45035</v>
      </c>
      <c r="S780" t="s">
        <v>1008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241</v>
      </c>
      <c r="G781" t="s">
        <v>1026</v>
      </c>
      <c r="H781" s="71"/>
      <c r="I781" t="s">
        <v>1027</v>
      </c>
      <c r="J781" s="187">
        <v>1</v>
      </c>
      <c r="K781" t="s">
        <v>1407</v>
      </c>
      <c r="L781" s="185"/>
      <c r="M781" s="188">
        <v>44384</v>
      </c>
      <c r="N781" s="71"/>
      <c r="Q781" s="71"/>
      <c r="R781" s="71"/>
      <c r="S781" t="s">
        <v>1014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272</v>
      </c>
      <c r="G782" t="s">
        <v>1165</v>
      </c>
      <c r="H782" s="71"/>
      <c r="I782" t="s">
        <v>239</v>
      </c>
      <c r="J782" s="187">
        <v>1</v>
      </c>
      <c r="K782" t="s">
        <v>1407</v>
      </c>
      <c r="L782" s="185"/>
      <c r="M782" s="188">
        <v>46031</v>
      </c>
      <c r="N782" s="71"/>
      <c r="Q782" s="71"/>
      <c r="R782" s="71"/>
      <c r="S782" t="s">
        <v>1166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57</v>
      </c>
      <c r="G783" t="s">
        <v>1167</v>
      </c>
      <c r="H783" s="71"/>
      <c r="I783" t="s">
        <v>384</v>
      </c>
      <c r="J783" s="187">
        <v>1</v>
      </c>
      <c r="K783" t="s">
        <v>1407</v>
      </c>
      <c r="L783" s="185"/>
      <c r="M783" s="188">
        <v>45041</v>
      </c>
      <c r="N783" s="71"/>
      <c r="Q783" s="71"/>
      <c r="R783" s="71"/>
      <c r="S783" t="s">
        <v>1163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153</v>
      </c>
      <c r="G784" t="s">
        <v>1168</v>
      </c>
      <c r="H784" s="71"/>
      <c r="I784" t="s">
        <v>440</v>
      </c>
      <c r="J784" s="187">
        <v>1</v>
      </c>
      <c r="K784" t="s">
        <v>1407</v>
      </c>
      <c r="L784" s="185"/>
      <c r="M784" s="188">
        <v>45604</v>
      </c>
      <c r="N784" s="71"/>
      <c r="Q784" s="71"/>
      <c r="R784" s="71"/>
      <c r="S784" t="s">
        <v>1166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SUPERVISOR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89</v>
      </c>
      <c r="G785" t="s">
        <v>1187</v>
      </c>
      <c r="H785" s="71"/>
      <c r="I785" t="s">
        <v>414</v>
      </c>
      <c r="J785" s="187">
        <v>1</v>
      </c>
      <c r="K785" t="s">
        <v>1407</v>
      </c>
      <c r="L785" s="185"/>
      <c r="M785" s="188">
        <v>44509</v>
      </c>
      <c r="N785" s="71"/>
      <c r="Q785" s="71"/>
      <c r="R785" s="71"/>
      <c r="S785" t="s">
        <v>1188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288</v>
      </c>
      <c r="G786" t="s">
        <v>1055</v>
      </c>
      <c r="H786" s="71"/>
      <c r="I786" t="s">
        <v>353</v>
      </c>
      <c r="J786" s="187">
        <v>1</v>
      </c>
      <c r="K786" t="s">
        <v>1407</v>
      </c>
      <c r="L786" s="185"/>
      <c r="M786" s="188">
        <v>46063</v>
      </c>
      <c r="N786" s="71"/>
      <c r="Q786" s="71"/>
      <c r="R786" s="71"/>
      <c r="S786" t="s">
        <v>1056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95</v>
      </c>
      <c r="G787" t="s">
        <v>1002</v>
      </c>
      <c r="H787" s="71"/>
      <c r="I787" t="s">
        <v>247</v>
      </c>
      <c r="J787" s="187">
        <v>1</v>
      </c>
      <c r="K787" t="s">
        <v>1407</v>
      </c>
      <c r="L787" s="185"/>
      <c r="M787" s="188">
        <v>44569</v>
      </c>
      <c r="N787" s="71"/>
      <c r="Q787" s="71"/>
      <c r="R787" s="71"/>
      <c r="S787" t="s">
        <v>1003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COMPRADOR</v>
      </c>
      <c r="C788" s="72" t="str">
        <f ca="1">IF(D788="Inativo","Inativo",IFERROR(VLOOKUP($G788,Conf!$O:$Q,3,0),IFERROR(VLOOKUP($G788,Conf!$E:$F,2,0),VLOOKUP($S788,Conf!$K:$M,3,0))))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902</v>
      </c>
      <c r="G788" s="71" t="s">
        <v>1440</v>
      </c>
      <c r="H788" s="71"/>
      <c r="I788" s="71" t="s">
        <v>611</v>
      </c>
      <c r="J788" s="71">
        <v>1</v>
      </c>
      <c r="K788" s="185" t="s">
        <v>1407</v>
      </c>
      <c r="L788" s="185"/>
      <c r="M788" s="185">
        <v>43983</v>
      </c>
      <c r="N788" s="71"/>
      <c r="Q788" s="71"/>
      <c r="R788" s="71"/>
      <c r="S788" s="71" t="s">
        <v>1057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94</v>
      </c>
      <c r="G789" t="s">
        <v>1058</v>
      </c>
      <c r="H789" s="71"/>
      <c r="I789" t="s">
        <v>440</v>
      </c>
      <c r="J789" s="187">
        <v>1</v>
      </c>
      <c r="K789" t="s">
        <v>1407</v>
      </c>
      <c r="L789" s="185"/>
      <c r="M789" s="188">
        <v>44568</v>
      </c>
      <c r="N789" s="71"/>
      <c r="Q789" s="71"/>
      <c r="R789" s="71"/>
      <c r="S789" t="s">
        <v>1059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903</v>
      </c>
      <c r="G790" s="71" t="s">
        <v>1441</v>
      </c>
      <c r="H790" s="71"/>
      <c r="I790" s="71" t="s">
        <v>611</v>
      </c>
      <c r="J790" s="71">
        <v>1</v>
      </c>
      <c r="K790" s="185" t="s">
        <v>1407</v>
      </c>
      <c r="L790" s="185"/>
      <c r="M790" s="185">
        <v>43983</v>
      </c>
      <c r="N790" s="71"/>
      <c r="Q790" s="71"/>
      <c r="R790" s="71"/>
      <c r="S790" s="71" t="s">
        <v>1057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146</v>
      </c>
      <c r="G791" t="s">
        <v>1060</v>
      </c>
      <c r="H791" s="71"/>
      <c r="I791" t="s">
        <v>611</v>
      </c>
      <c r="J791" s="187">
        <v>1</v>
      </c>
      <c r="K791" t="s">
        <v>1407</v>
      </c>
      <c r="L791" s="185"/>
      <c r="M791" s="188">
        <v>43314</v>
      </c>
      <c r="N791" s="71"/>
      <c r="Q791" s="71"/>
      <c r="R791" s="71"/>
      <c r="S791" t="s">
        <v>1057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131</v>
      </c>
      <c r="G792" t="s">
        <v>1061</v>
      </c>
      <c r="H792" s="71"/>
      <c r="I792" t="s">
        <v>611</v>
      </c>
      <c r="J792" s="187">
        <v>1</v>
      </c>
      <c r="K792" t="s">
        <v>1407</v>
      </c>
      <c r="L792" s="185"/>
      <c r="M792" s="188">
        <v>45537</v>
      </c>
      <c r="N792" s="71"/>
      <c r="Q792" s="71"/>
      <c r="R792" s="71"/>
      <c r="S792" t="s">
        <v>1062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108</v>
      </c>
      <c r="G793" t="s">
        <v>1063</v>
      </c>
      <c r="H793" s="71"/>
      <c r="I793" t="s">
        <v>297</v>
      </c>
      <c r="J793" s="187">
        <v>1</v>
      </c>
      <c r="K793" t="s">
        <v>1407</v>
      </c>
      <c r="L793" s="185"/>
      <c r="M793" s="188">
        <v>44730</v>
      </c>
      <c r="N793" s="71"/>
      <c r="Q793" s="71"/>
      <c r="R793" s="71"/>
      <c r="S793" t="s">
        <v>1064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901</v>
      </c>
      <c r="G794" s="71" t="s">
        <v>1443</v>
      </c>
      <c r="H794" s="71"/>
      <c r="I794" s="71" t="s">
        <v>611</v>
      </c>
      <c r="J794" s="71">
        <v>1</v>
      </c>
      <c r="K794" s="185" t="s">
        <v>1407</v>
      </c>
      <c r="L794" s="185"/>
      <c r="M794" s="185">
        <v>46174</v>
      </c>
      <c r="N794" s="71"/>
      <c r="Q794" s="71"/>
      <c r="R794" s="71"/>
      <c r="S794" s="71" t="s">
        <v>1057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DEPOSITO</v>
      </c>
      <c r="C795" s="72" t="str">
        <f ca="1">IF(D795="Inativo","Inativo",IFERROR(VLOOKUP($G795,Conf!$O:$Q,3,0),IFERROR(VLOOKUP($G795,Conf!$E:$F,2,0),VLOOKUP($S795,Conf!$K:$M,3,0))))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411</v>
      </c>
      <c r="G795" t="s">
        <v>1430</v>
      </c>
      <c r="H795" s="71"/>
      <c r="I795" t="s">
        <v>440</v>
      </c>
      <c r="J795" s="187">
        <v>1</v>
      </c>
      <c r="K795" t="s">
        <v>1407</v>
      </c>
      <c r="L795" s="185"/>
      <c r="M795" s="188">
        <v>46216</v>
      </c>
      <c r="N795" s="71"/>
      <c r="Q795" s="71"/>
      <c r="R795" s="71"/>
      <c r="S795" t="s">
        <v>1065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DEPOSITO</v>
      </c>
      <c r="C796" s="72" t="str">
        <f ca="1">IF(D796="Inativo","Inativo",IFERROR(VLOOKUP($G796,Conf!$O:$Q,3,0),IFERROR(VLOOKUP($G796,Conf!$E:$F,2,0),VLOOKUP($S796,Conf!$K:$M,3,0))))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418</v>
      </c>
      <c r="G796" t="s">
        <v>1562</v>
      </c>
      <c r="H796" s="71"/>
      <c r="I796" t="s">
        <v>611</v>
      </c>
      <c r="J796" s="187">
        <v>1</v>
      </c>
      <c r="K796" t="s">
        <v>1407</v>
      </c>
      <c r="L796" s="185"/>
      <c r="M796" s="188">
        <v>46266</v>
      </c>
      <c r="N796" s="71"/>
      <c r="Q796" s="71"/>
      <c r="R796" s="71"/>
      <c r="S796" t="s">
        <v>1069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319</v>
      </c>
      <c r="G797" t="s">
        <v>1072</v>
      </c>
      <c r="I797" t="s">
        <v>613</v>
      </c>
      <c r="J797" s="187">
        <v>1</v>
      </c>
      <c r="K797" t="s">
        <v>1407</v>
      </c>
      <c r="M797" s="188">
        <v>45364</v>
      </c>
      <c r="S797" t="s">
        <v>1073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419</v>
      </c>
      <c r="G798" t="s">
        <v>1563</v>
      </c>
      <c r="H798" s="71"/>
      <c r="I798" t="s">
        <v>611</v>
      </c>
      <c r="J798" s="187">
        <v>1</v>
      </c>
      <c r="K798" t="s">
        <v>1407</v>
      </c>
      <c r="L798" s="185"/>
      <c r="M798" s="188">
        <v>46266</v>
      </c>
      <c r="N798" s="71"/>
      <c r="O798" s="71"/>
      <c r="P798" s="71"/>
      <c r="Q798" s="71"/>
      <c r="R798" s="71"/>
      <c r="S798" t="s">
        <v>1069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404</v>
      </c>
      <c r="G799" t="s">
        <v>1313</v>
      </c>
      <c r="H799" s="71"/>
      <c r="I799" t="s">
        <v>611</v>
      </c>
      <c r="J799" s="187">
        <v>1</v>
      </c>
      <c r="K799" t="s">
        <v>1407</v>
      </c>
      <c r="L799" s="185"/>
      <c r="M799" s="188">
        <v>46176</v>
      </c>
      <c r="N799" s="71"/>
      <c r="O799" s="71"/>
      <c r="P799" s="71"/>
      <c r="Q799" s="71"/>
      <c r="R799" s="71"/>
      <c r="S799" t="s">
        <v>1069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374</v>
      </c>
      <c r="G800" t="s">
        <v>1075</v>
      </c>
      <c r="H800" s="71"/>
      <c r="I800" t="s">
        <v>611</v>
      </c>
      <c r="J800" s="187">
        <v>1</v>
      </c>
      <c r="K800" t="s">
        <v>1407</v>
      </c>
      <c r="L800" s="185"/>
      <c r="M800" s="188">
        <v>46009</v>
      </c>
      <c r="N800" s="71"/>
      <c r="O800" s="71"/>
      <c r="P800" s="71"/>
      <c r="Q800" s="71"/>
      <c r="R800" s="71"/>
      <c r="S800" t="s">
        <v>1065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401</v>
      </c>
      <c r="G801" t="s">
        <v>1078</v>
      </c>
      <c r="H801" s="71"/>
      <c r="I801" t="s">
        <v>611</v>
      </c>
      <c r="J801" s="187">
        <v>1</v>
      </c>
      <c r="K801" t="s">
        <v>1407</v>
      </c>
      <c r="L801" s="185"/>
      <c r="M801" s="188">
        <v>46174</v>
      </c>
      <c r="N801" s="71"/>
      <c r="Q801" s="71"/>
      <c r="R801" s="71"/>
      <c r="S801" t="s">
        <v>1069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405</v>
      </c>
      <c r="G802" t="s">
        <v>1347</v>
      </c>
      <c r="H802" s="71"/>
      <c r="I802" t="s">
        <v>611</v>
      </c>
      <c r="J802" s="187">
        <v>1</v>
      </c>
      <c r="K802" t="s">
        <v>1407</v>
      </c>
      <c r="L802" s="185"/>
      <c r="M802" s="188">
        <v>46189</v>
      </c>
      <c r="N802" s="71"/>
      <c r="O802" s="71"/>
      <c r="P802" s="71"/>
      <c r="Q802" s="71"/>
      <c r="R802" s="71"/>
      <c r="S802" t="s">
        <v>1069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330</v>
      </c>
      <c r="G803" t="s">
        <v>1083</v>
      </c>
      <c r="H803" s="71"/>
      <c r="I803" t="s">
        <v>440</v>
      </c>
      <c r="J803" s="187">
        <v>1</v>
      </c>
      <c r="K803" t="s">
        <v>1407</v>
      </c>
      <c r="L803" s="185"/>
      <c r="M803" s="188">
        <v>45509</v>
      </c>
      <c r="N803" s="71"/>
      <c r="Q803" s="71"/>
      <c r="R803" s="71"/>
      <c r="S803" t="s">
        <v>1065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417</v>
      </c>
      <c r="G804" t="s">
        <v>1561</v>
      </c>
      <c r="H804" s="71"/>
      <c r="I804" t="s">
        <v>613</v>
      </c>
      <c r="J804" s="187">
        <v>1</v>
      </c>
      <c r="K804" t="s">
        <v>1407</v>
      </c>
      <c r="L804" s="185"/>
      <c r="M804" s="188">
        <v>46266</v>
      </c>
      <c r="N804" s="71"/>
      <c r="Q804" s="71"/>
      <c r="R804" s="71"/>
      <c r="S804" t="s">
        <v>1065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420</v>
      </c>
      <c r="G805" t="s">
        <v>1578</v>
      </c>
      <c r="H805" s="71"/>
      <c r="I805" t="s">
        <v>613</v>
      </c>
      <c r="J805" s="187">
        <v>1</v>
      </c>
      <c r="K805" t="s">
        <v>1407</v>
      </c>
      <c r="L805" s="185"/>
      <c r="M805" s="188">
        <v>46267</v>
      </c>
      <c r="N805" s="71"/>
      <c r="Q805" s="71"/>
      <c r="R805" s="71"/>
      <c r="S805" t="s">
        <v>1065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386</v>
      </c>
      <c r="G806" t="s">
        <v>1085</v>
      </c>
      <c r="H806" s="71"/>
      <c r="I806" t="s">
        <v>611</v>
      </c>
      <c r="J806" s="187">
        <v>1</v>
      </c>
      <c r="K806" t="s">
        <v>1407</v>
      </c>
      <c r="L806" s="185"/>
      <c r="M806" s="188">
        <v>46069</v>
      </c>
      <c r="N806" s="71"/>
      <c r="O806" s="71"/>
      <c r="P806" s="71"/>
      <c r="Q806" s="71"/>
      <c r="R806" s="71"/>
      <c r="S806" t="s">
        <v>1065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378</v>
      </c>
      <c r="G807" t="s">
        <v>1086</v>
      </c>
      <c r="H807" s="71"/>
      <c r="I807" t="s">
        <v>613</v>
      </c>
      <c r="J807" s="187">
        <v>1</v>
      </c>
      <c r="K807" t="s">
        <v>1407</v>
      </c>
      <c r="L807" s="185"/>
      <c r="M807" s="188">
        <v>46042</v>
      </c>
      <c r="N807" s="71"/>
      <c r="Q807" s="71"/>
      <c r="R807" s="71"/>
      <c r="S807" t="s">
        <v>1069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415</v>
      </c>
      <c r="G808" t="s">
        <v>1535</v>
      </c>
      <c r="H808" s="71"/>
      <c r="I808" t="s">
        <v>613</v>
      </c>
      <c r="J808" s="187">
        <v>1</v>
      </c>
      <c r="K808" t="s">
        <v>1407</v>
      </c>
      <c r="L808" s="185"/>
      <c r="M808" s="188">
        <v>46258</v>
      </c>
      <c r="N808" s="71"/>
      <c r="Q808" s="71"/>
      <c r="R808" s="71"/>
      <c r="S808" t="s">
        <v>1065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305</v>
      </c>
      <c r="G809" t="s">
        <v>1087</v>
      </c>
      <c r="H809" s="71"/>
      <c r="I809" t="s">
        <v>613</v>
      </c>
      <c r="J809" s="187">
        <v>1</v>
      </c>
      <c r="K809" t="s">
        <v>1407</v>
      </c>
      <c r="L809" s="185"/>
      <c r="M809" s="188">
        <v>45267</v>
      </c>
      <c r="N809" s="71"/>
      <c r="O809" s="71"/>
      <c r="P809" s="71"/>
      <c r="Q809" s="71"/>
      <c r="R809" s="71"/>
      <c r="S809" t="s">
        <v>1073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410</v>
      </c>
      <c r="G810" t="s">
        <v>1429</v>
      </c>
      <c r="H810" s="71"/>
      <c r="I810" t="s">
        <v>440</v>
      </c>
      <c r="J810" s="187">
        <v>1</v>
      </c>
      <c r="K810" t="s">
        <v>1407</v>
      </c>
      <c r="L810" s="185"/>
      <c r="M810" s="188">
        <v>46212</v>
      </c>
      <c r="N810" s="71"/>
      <c r="Q810" s="71"/>
      <c r="R810" s="71"/>
      <c r="S810" t="s">
        <v>1065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406</v>
      </c>
      <c r="G811" t="s">
        <v>1348</v>
      </c>
      <c r="H811" s="71"/>
      <c r="I811" t="s">
        <v>611</v>
      </c>
      <c r="J811" s="187">
        <v>1</v>
      </c>
      <c r="K811" t="s">
        <v>1407</v>
      </c>
      <c r="L811" s="185"/>
      <c r="M811" s="188">
        <v>46189</v>
      </c>
      <c r="N811" s="71"/>
      <c r="O811" s="71"/>
      <c r="P811" s="71"/>
      <c r="Q811" s="71"/>
      <c r="R811" s="71"/>
      <c r="S811" t="s">
        <v>1065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377</v>
      </c>
      <c r="G812" t="s">
        <v>1089</v>
      </c>
      <c r="H812" s="71"/>
      <c r="I812" t="s">
        <v>611</v>
      </c>
      <c r="J812" s="187">
        <v>1</v>
      </c>
      <c r="K812" t="s">
        <v>1407</v>
      </c>
      <c r="L812" s="185"/>
      <c r="M812" s="188">
        <v>46036</v>
      </c>
      <c r="N812" s="71"/>
      <c r="Q812" s="71"/>
      <c r="R812" s="71"/>
      <c r="S812" t="s">
        <v>1065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387</v>
      </c>
      <c r="G813" t="s">
        <v>1094</v>
      </c>
      <c r="H813" s="71"/>
      <c r="I813" t="s">
        <v>440</v>
      </c>
      <c r="J813" s="187">
        <v>1</v>
      </c>
      <c r="K813" t="s">
        <v>1407</v>
      </c>
      <c r="L813" s="185"/>
      <c r="M813" s="188">
        <v>46071</v>
      </c>
      <c r="N813" s="71"/>
      <c r="O813" s="71"/>
      <c r="P813" s="71"/>
      <c r="Q813" s="71"/>
      <c r="R813" s="71"/>
      <c r="S813" t="s">
        <v>1065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385</v>
      </c>
      <c r="G814" t="s">
        <v>1097</v>
      </c>
      <c r="H814" s="71"/>
      <c r="I814" t="s">
        <v>440</v>
      </c>
      <c r="J814" s="187">
        <v>1</v>
      </c>
      <c r="K814" t="s">
        <v>1407</v>
      </c>
      <c r="L814" s="185"/>
      <c r="M814" s="188">
        <v>46066</v>
      </c>
      <c r="N814" s="71"/>
      <c r="Q814" s="71"/>
      <c r="R814" s="71"/>
      <c r="S814" t="s">
        <v>1065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310</v>
      </c>
      <c r="G815" t="s">
        <v>1098</v>
      </c>
      <c r="H815" s="71"/>
      <c r="I815" t="s">
        <v>1021</v>
      </c>
      <c r="J815" s="187">
        <v>1</v>
      </c>
      <c r="K815" t="s">
        <v>1407</v>
      </c>
      <c r="L815" s="185"/>
      <c r="M815" s="188">
        <v>45308</v>
      </c>
      <c r="N815" s="71"/>
      <c r="Q815" s="71"/>
      <c r="R815" s="71"/>
      <c r="S815" t="s">
        <v>1073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187">
        <v>30</v>
      </c>
      <c r="F816" s="187">
        <v>414</v>
      </c>
      <c r="G816" t="s">
        <v>1527</v>
      </c>
      <c r="H816" s="71"/>
      <c r="I816" t="s">
        <v>613</v>
      </c>
      <c r="J816" s="187">
        <v>7</v>
      </c>
      <c r="K816" t="s">
        <v>1581</v>
      </c>
      <c r="L816" s="185"/>
      <c r="M816" s="188">
        <v>46253</v>
      </c>
      <c r="N816" s="71"/>
      <c r="O816" s="71"/>
      <c r="P816" s="71"/>
      <c r="Q816" s="71"/>
      <c r="R816" s="71"/>
      <c r="S816" t="s">
        <v>1065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379</v>
      </c>
      <c r="G817" t="s">
        <v>1100</v>
      </c>
      <c r="H817" s="71"/>
      <c r="I817" t="s">
        <v>440</v>
      </c>
      <c r="J817" s="187">
        <v>1</v>
      </c>
      <c r="K817" t="s">
        <v>1407</v>
      </c>
      <c r="L817" s="185"/>
      <c r="M817" s="188">
        <v>46045</v>
      </c>
      <c r="N817" s="71"/>
      <c r="Q817" s="71"/>
      <c r="R817" s="71"/>
      <c r="S817" t="s">
        <v>1065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Demitido</v>
      </c>
      <c r="E818" s="187">
        <v>30</v>
      </c>
      <c r="F818" s="187">
        <v>407</v>
      </c>
      <c r="G818" t="s">
        <v>1349</v>
      </c>
      <c r="H818" s="71"/>
      <c r="I818" t="s">
        <v>611</v>
      </c>
      <c r="J818" s="187">
        <v>7</v>
      </c>
      <c r="K818" t="s">
        <v>1652</v>
      </c>
      <c r="L818" s="185"/>
      <c r="M818" s="188">
        <v>46195</v>
      </c>
      <c r="N818" s="71"/>
      <c r="Q818" s="71"/>
      <c r="R818" s="71"/>
      <c r="S818" t="s">
        <v>1065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394</v>
      </c>
      <c r="G819" t="s">
        <v>1101</v>
      </c>
      <c r="H819" s="71"/>
      <c r="I819" t="s">
        <v>611</v>
      </c>
      <c r="J819" s="187">
        <v>1</v>
      </c>
      <c r="K819" t="s">
        <v>1407</v>
      </c>
      <c r="L819" s="185"/>
      <c r="M819" s="188">
        <v>46100</v>
      </c>
      <c r="N819" s="71"/>
      <c r="Q819" s="71"/>
      <c r="R819" s="71"/>
      <c r="S819" t="s">
        <v>1069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412</v>
      </c>
      <c r="G820" t="s">
        <v>1525</v>
      </c>
      <c r="H820" s="71"/>
      <c r="I820" t="s">
        <v>613</v>
      </c>
      <c r="J820" s="187">
        <v>1</v>
      </c>
      <c r="K820" t="s">
        <v>1407</v>
      </c>
      <c r="L820" s="185"/>
      <c r="M820" s="188">
        <v>46252</v>
      </c>
      <c r="N820" s="71"/>
      <c r="O820" s="71"/>
      <c r="P820" s="71"/>
      <c r="Q820" s="71"/>
      <c r="R820" s="71"/>
      <c r="S820" t="s">
        <v>1065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422</v>
      </c>
      <c r="G821" t="s">
        <v>1603</v>
      </c>
      <c r="H821" s="71"/>
      <c r="I821" t="s">
        <v>613</v>
      </c>
      <c r="J821" s="187">
        <v>7</v>
      </c>
      <c r="K821" t="s">
        <v>1635</v>
      </c>
      <c r="L821" s="185"/>
      <c r="M821" s="188">
        <v>46279</v>
      </c>
      <c r="N821" s="71"/>
      <c r="Q821" s="71"/>
      <c r="R821" s="71"/>
      <c r="S821" t="s">
        <v>1065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Férias</v>
      </c>
      <c r="E822" s="187">
        <v>30</v>
      </c>
      <c r="F822" s="187">
        <v>111</v>
      </c>
      <c r="G822" t="s">
        <v>1102</v>
      </c>
      <c r="H822" s="71"/>
      <c r="I822" t="s">
        <v>440</v>
      </c>
      <c r="J822" s="187">
        <v>2</v>
      </c>
      <c r="K822" t="s">
        <v>1579</v>
      </c>
      <c r="L822" s="185"/>
      <c r="M822" s="188">
        <v>42156</v>
      </c>
      <c r="N822" s="71"/>
      <c r="Q822" s="71"/>
      <c r="R822" s="71"/>
      <c r="S822" t="s">
        <v>1103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CAMARA FRIA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306</v>
      </c>
      <c r="G823" t="s">
        <v>1105</v>
      </c>
      <c r="H823" s="71"/>
      <c r="I823" t="s">
        <v>613</v>
      </c>
      <c r="J823" s="187">
        <v>1</v>
      </c>
      <c r="K823" t="s">
        <v>1407</v>
      </c>
      <c r="L823" s="185"/>
      <c r="M823" s="188">
        <v>45296</v>
      </c>
      <c r="N823" s="71"/>
      <c r="Q823" s="71"/>
      <c r="R823" s="71"/>
      <c r="S823" t="s">
        <v>1106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CONFERENTE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352</v>
      </c>
      <c r="G824" t="s">
        <v>1066</v>
      </c>
      <c r="H824" s="71"/>
      <c r="I824" t="s">
        <v>440</v>
      </c>
      <c r="J824" s="187">
        <v>1</v>
      </c>
      <c r="K824" t="s">
        <v>1407</v>
      </c>
      <c r="L824" s="185"/>
      <c r="M824" s="188">
        <v>45726</v>
      </c>
      <c r="N824" s="71"/>
      <c r="Q824" s="71"/>
      <c r="R824" s="71"/>
      <c r="S824" t="s">
        <v>1116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371</v>
      </c>
      <c r="G825" t="s">
        <v>1110</v>
      </c>
      <c r="H825" s="71"/>
      <c r="I825" t="s">
        <v>440</v>
      </c>
      <c r="J825" s="187">
        <v>1</v>
      </c>
      <c r="K825" t="s">
        <v>1407</v>
      </c>
      <c r="L825" s="185"/>
      <c r="M825" s="188">
        <v>45993</v>
      </c>
      <c r="N825" s="71"/>
      <c r="Q825" s="71"/>
      <c r="R825" s="71"/>
      <c r="S825" t="s">
        <v>1111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308</v>
      </c>
      <c r="G826" t="s">
        <v>1113</v>
      </c>
      <c r="H826" s="71"/>
      <c r="I826" t="s">
        <v>440</v>
      </c>
      <c r="J826" s="187">
        <v>1</v>
      </c>
      <c r="K826" t="s">
        <v>1407</v>
      </c>
      <c r="L826" s="185"/>
      <c r="M826" s="188">
        <v>45299</v>
      </c>
      <c r="N826" s="71"/>
      <c r="O826" s="71"/>
      <c r="P826" s="71"/>
      <c r="Q826" s="71"/>
      <c r="R826" s="71"/>
      <c r="S826" t="s">
        <v>1111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366</v>
      </c>
      <c r="G827" t="s">
        <v>1081</v>
      </c>
      <c r="H827" s="71"/>
      <c r="I827" t="s">
        <v>440</v>
      </c>
      <c r="J827" s="187">
        <v>1</v>
      </c>
      <c r="K827" t="s">
        <v>1407</v>
      </c>
      <c r="L827" s="185"/>
      <c r="M827" s="188">
        <v>45964</v>
      </c>
      <c r="N827" s="71"/>
      <c r="Q827" s="71"/>
      <c r="R827" s="71"/>
      <c r="S827" t="s">
        <v>1111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373</v>
      </c>
      <c r="G828" t="s">
        <v>1084</v>
      </c>
      <c r="H828" s="71"/>
      <c r="I828" t="s">
        <v>440</v>
      </c>
      <c r="J828" s="187">
        <v>1</v>
      </c>
      <c r="K828" t="s">
        <v>1407</v>
      </c>
      <c r="L828" s="185"/>
      <c r="M828" s="188">
        <v>45999</v>
      </c>
      <c r="N828" s="71"/>
      <c r="Q828" s="71"/>
      <c r="R828" s="71"/>
      <c r="S828" t="s">
        <v>1111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382</v>
      </c>
      <c r="G829" t="s">
        <v>1114</v>
      </c>
      <c r="H829" s="71"/>
      <c r="I829" t="s">
        <v>440</v>
      </c>
      <c r="J829" s="187">
        <v>1</v>
      </c>
      <c r="K829" t="s">
        <v>1407</v>
      </c>
      <c r="L829" s="185"/>
      <c r="M829" s="188">
        <v>46055</v>
      </c>
      <c r="N829" s="71"/>
      <c r="Q829" s="71"/>
      <c r="R829" s="71"/>
      <c r="S829" t="s">
        <v>1111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357</v>
      </c>
      <c r="G830" t="s">
        <v>1115</v>
      </c>
      <c r="H830" s="71"/>
      <c r="I830" t="s">
        <v>440</v>
      </c>
      <c r="J830" s="187">
        <v>1</v>
      </c>
      <c r="K830" t="s">
        <v>1407</v>
      </c>
      <c r="L830" s="185"/>
      <c r="M830" s="188">
        <v>45761</v>
      </c>
      <c r="N830" s="71"/>
      <c r="Q830" s="71"/>
      <c r="R830" s="71"/>
      <c r="S830" t="s">
        <v>1116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304</v>
      </c>
      <c r="G831" t="s">
        <v>1117</v>
      </c>
      <c r="H831" s="71"/>
      <c r="I831" t="s">
        <v>613</v>
      </c>
      <c r="J831" s="187">
        <v>1</v>
      </c>
      <c r="K831" t="s">
        <v>1407</v>
      </c>
      <c r="L831" s="185"/>
      <c r="M831" s="188">
        <v>45261</v>
      </c>
      <c r="N831" s="71"/>
      <c r="Q831" s="71"/>
      <c r="R831" s="71"/>
      <c r="S831" t="s">
        <v>1111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421</v>
      </c>
      <c r="G832" t="s">
        <v>1593</v>
      </c>
      <c r="H832" s="71"/>
      <c r="I832" t="s">
        <v>613</v>
      </c>
      <c r="J832" s="187">
        <v>1</v>
      </c>
      <c r="K832" t="s">
        <v>1407</v>
      </c>
      <c r="L832" s="185"/>
      <c r="M832" s="188">
        <v>46275</v>
      </c>
      <c r="N832" s="71"/>
      <c r="Q832" s="71"/>
      <c r="R832" s="71"/>
      <c r="S832" t="s">
        <v>1111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250</v>
      </c>
      <c r="G833" t="s">
        <v>1119</v>
      </c>
      <c r="H833" s="71"/>
      <c r="I833" t="s">
        <v>255</v>
      </c>
      <c r="J833" s="187">
        <v>1</v>
      </c>
      <c r="K833" t="s">
        <v>1407</v>
      </c>
      <c r="L833" s="185"/>
      <c r="M833" s="188">
        <v>44494</v>
      </c>
      <c r="N833" s="71"/>
      <c r="Q833" s="71"/>
      <c r="R833" s="71"/>
      <c r="S833" t="s">
        <v>1116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328</v>
      </c>
      <c r="G834" t="s">
        <v>1120</v>
      </c>
      <c r="H834" s="71"/>
      <c r="I834" t="s">
        <v>1121</v>
      </c>
      <c r="J834" s="187">
        <v>1</v>
      </c>
      <c r="K834" t="s">
        <v>1407</v>
      </c>
      <c r="L834" s="185"/>
      <c r="M834" s="188">
        <v>45463</v>
      </c>
      <c r="N834" s="71"/>
      <c r="Q834" s="71"/>
      <c r="R834" s="71"/>
      <c r="S834" t="s">
        <v>1116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112</v>
      </c>
      <c r="G835" t="s">
        <v>1122</v>
      </c>
      <c r="H835" s="71"/>
      <c r="I835" t="s">
        <v>611</v>
      </c>
      <c r="J835" s="187">
        <v>1</v>
      </c>
      <c r="K835" t="s">
        <v>1407</v>
      </c>
      <c r="L835" s="185"/>
      <c r="M835" s="188">
        <v>42156</v>
      </c>
      <c r="N835" s="71"/>
      <c r="Q835" s="71"/>
      <c r="R835" s="71"/>
      <c r="S835" t="s">
        <v>1116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416</v>
      </c>
      <c r="G836" t="s">
        <v>1542</v>
      </c>
      <c r="H836" s="71"/>
      <c r="I836" t="s">
        <v>613</v>
      </c>
      <c r="J836" s="187">
        <v>1</v>
      </c>
      <c r="K836" t="s">
        <v>1407</v>
      </c>
      <c r="L836" s="185"/>
      <c r="M836" s="188">
        <v>46274</v>
      </c>
      <c r="N836" s="71"/>
      <c r="Q836" s="71"/>
      <c r="R836" s="71"/>
      <c r="S836" t="s">
        <v>1111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119</v>
      </c>
      <c r="G837" t="s">
        <v>1123</v>
      </c>
      <c r="H837" s="71"/>
      <c r="I837" t="s">
        <v>1021</v>
      </c>
      <c r="J837" s="187">
        <v>1</v>
      </c>
      <c r="K837" t="s">
        <v>1407</v>
      </c>
      <c r="L837" s="185"/>
      <c r="M837" s="188">
        <v>42571</v>
      </c>
      <c r="N837" s="71"/>
      <c r="Q837" s="71"/>
      <c r="R837" s="71"/>
      <c r="S837" t="s">
        <v>1124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363</v>
      </c>
      <c r="G838" t="s">
        <v>1126</v>
      </c>
      <c r="H838" s="71"/>
      <c r="I838" t="s">
        <v>613</v>
      </c>
      <c r="J838" s="187">
        <v>1</v>
      </c>
      <c r="K838" t="s">
        <v>1407</v>
      </c>
      <c r="L838" s="185"/>
      <c r="M838" s="188">
        <v>45932</v>
      </c>
      <c r="N838" s="71"/>
      <c r="Q838" s="71"/>
      <c r="R838" s="71"/>
      <c r="S838" t="s">
        <v>1116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EMPILHADEIRA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399</v>
      </c>
      <c r="G839" t="s">
        <v>1129</v>
      </c>
      <c r="H839" s="71"/>
      <c r="I839" t="s">
        <v>440</v>
      </c>
      <c r="J839" s="187">
        <v>1</v>
      </c>
      <c r="K839" t="s">
        <v>1407</v>
      </c>
      <c r="L839" s="185"/>
      <c r="M839" s="188">
        <v>46156</v>
      </c>
      <c r="N839" s="71"/>
      <c r="O839" s="71"/>
      <c r="P839" s="71"/>
      <c r="Q839" s="71"/>
      <c r="R839" s="71"/>
      <c r="S839" t="s">
        <v>1130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403</v>
      </c>
      <c r="G840" t="s">
        <v>1079</v>
      </c>
      <c r="H840" s="71"/>
      <c r="I840" t="s">
        <v>611</v>
      </c>
      <c r="J840" s="187">
        <v>1</v>
      </c>
      <c r="K840" t="s">
        <v>1407</v>
      </c>
      <c r="L840" s="185"/>
      <c r="M840" s="188">
        <v>46174</v>
      </c>
      <c r="N840" s="71"/>
      <c r="O840" s="71"/>
      <c r="P840" s="71"/>
      <c r="Q840" s="71"/>
      <c r="R840" s="71"/>
      <c r="S840" t="s">
        <v>1130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413</v>
      </c>
      <c r="G841" t="s">
        <v>1526</v>
      </c>
      <c r="H841" s="71"/>
      <c r="I841" t="s">
        <v>613</v>
      </c>
      <c r="J841" s="187">
        <v>1</v>
      </c>
      <c r="K841" t="s">
        <v>1407</v>
      </c>
      <c r="L841" s="185"/>
      <c r="M841" s="188">
        <v>46252</v>
      </c>
      <c r="N841" s="71"/>
      <c r="Q841" s="71"/>
      <c r="R841" s="71"/>
      <c r="S841" t="s">
        <v>1130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264</v>
      </c>
      <c r="G842" t="s">
        <v>1131</v>
      </c>
      <c r="H842" s="71"/>
      <c r="I842" t="s">
        <v>611</v>
      </c>
      <c r="J842" s="187">
        <v>1</v>
      </c>
      <c r="K842" t="s">
        <v>1407</v>
      </c>
      <c r="L842" s="185"/>
      <c r="M842" s="188">
        <v>44655</v>
      </c>
      <c r="N842" s="71"/>
      <c r="Q842" s="71"/>
      <c r="R842" s="71"/>
      <c r="S842" t="s">
        <v>1130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339</v>
      </c>
      <c r="G843" t="s">
        <v>1095</v>
      </c>
      <c r="H843" s="71"/>
      <c r="I843" t="s">
        <v>440</v>
      </c>
      <c r="J843" s="187">
        <v>1</v>
      </c>
      <c r="K843" t="s">
        <v>1407</v>
      </c>
      <c r="L843" s="185"/>
      <c r="M843" s="188">
        <v>45566</v>
      </c>
      <c r="N843" s="71"/>
      <c r="Q843" s="71"/>
      <c r="R843" s="71"/>
      <c r="S843" t="s">
        <v>1130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117</v>
      </c>
      <c r="G844" t="s">
        <v>1133</v>
      </c>
      <c r="H844" s="71"/>
      <c r="I844" t="s">
        <v>440</v>
      </c>
      <c r="J844" s="187">
        <v>1</v>
      </c>
      <c r="K844" t="s">
        <v>1407</v>
      </c>
      <c r="L844" s="185"/>
      <c r="M844" s="188">
        <v>42558</v>
      </c>
      <c r="N844" s="71"/>
      <c r="Q844" s="71"/>
      <c r="R844" s="71"/>
      <c r="S844" t="s">
        <v>1130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313</v>
      </c>
      <c r="G845" t="s">
        <v>1137</v>
      </c>
      <c r="H845" s="71"/>
      <c r="I845" t="s">
        <v>613</v>
      </c>
      <c r="J845" s="187">
        <v>1</v>
      </c>
      <c r="K845" t="s">
        <v>1407</v>
      </c>
      <c r="L845" s="185"/>
      <c r="M845" s="188">
        <v>45327</v>
      </c>
      <c r="N845" s="71"/>
      <c r="Q845" s="71"/>
      <c r="R845" s="71"/>
      <c r="S845" t="s">
        <v>1138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395</v>
      </c>
      <c r="G846" t="s">
        <v>1143</v>
      </c>
      <c r="H846" s="71"/>
      <c r="I846" t="s">
        <v>353</v>
      </c>
      <c r="J846" s="187">
        <v>1</v>
      </c>
      <c r="K846" t="s">
        <v>1407</v>
      </c>
      <c r="L846" s="185"/>
      <c r="M846" s="188">
        <v>46125</v>
      </c>
      <c r="N846" s="71"/>
      <c r="Q846" s="71"/>
      <c r="R846" s="71"/>
      <c r="S846" t="s">
        <v>1144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49</v>
      </c>
      <c r="G847" t="s">
        <v>1145</v>
      </c>
      <c r="H847" s="71"/>
      <c r="I847" t="s">
        <v>353</v>
      </c>
      <c r="J847" s="187">
        <v>1</v>
      </c>
      <c r="K847" t="s">
        <v>1407</v>
      </c>
      <c r="L847" s="185"/>
      <c r="M847" s="188">
        <v>41276</v>
      </c>
      <c r="N847" s="71"/>
      <c r="Q847" s="71"/>
      <c r="R847" s="71"/>
      <c r="S847" t="s">
        <v>1144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Férias</v>
      </c>
      <c r="E848" s="187">
        <v>30</v>
      </c>
      <c r="F848" s="187">
        <v>360</v>
      </c>
      <c r="G848" t="s">
        <v>1141</v>
      </c>
      <c r="H848" s="71"/>
      <c r="I848" t="s">
        <v>440</v>
      </c>
      <c r="J848" s="187">
        <v>2</v>
      </c>
      <c r="K848" t="s">
        <v>1598</v>
      </c>
      <c r="L848" s="185"/>
      <c r="M848" s="188">
        <v>45813</v>
      </c>
      <c r="N848" s="71"/>
      <c r="O848" s="71"/>
      <c r="P848" s="71"/>
      <c r="Q848" s="71"/>
      <c r="R848" s="71"/>
      <c r="S848" t="s">
        <v>1142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138</v>
      </c>
      <c r="G849" t="s">
        <v>1150</v>
      </c>
      <c r="H849" s="71"/>
      <c r="I849" t="s">
        <v>611</v>
      </c>
      <c r="J849" s="187">
        <v>1</v>
      </c>
      <c r="K849" t="s">
        <v>1407</v>
      </c>
      <c r="L849" s="185"/>
      <c r="M849" s="188">
        <v>43132</v>
      </c>
      <c r="N849" s="71"/>
      <c r="Q849" s="71"/>
      <c r="R849" s="71"/>
      <c r="S849" t="s">
        <v>1151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5</v>
      </c>
      <c r="G850" t="s">
        <v>1152</v>
      </c>
      <c r="H850" s="71"/>
      <c r="I850" t="s">
        <v>440</v>
      </c>
      <c r="J850" s="187">
        <v>1</v>
      </c>
      <c r="K850" t="s">
        <v>1407</v>
      </c>
      <c r="L850" s="185"/>
      <c r="M850" s="188">
        <v>43683</v>
      </c>
      <c r="N850" s="71"/>
      <c r="Q850" s="71"/>
      <c r="R850" s="71"/>
      <c r="S850" t="s">
        <v>263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11</v>
      </c>
      <c r="G851" t="s">
        <v>1153</v>
      </c>
      <c r="H851" s="71"/>
      <c r="I851" t="s">
        <v>611</v>
      </c>
      <c r="J851" s="187">
        <v>1</v>
      </c>
      <c r="K851" t="s">
        <v>1407</v>
      </c>
      <c r="L851" s="185"/>
      <c r="M851" s="188">
        <v>40634</v>
      </c>
      <c r="N851" s="71"/>
      <c r="Q851" s="71"/>
      <c r="R851" s="71"/>
      <c r="S851" t="s">
        <v>1151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6</v>
      </c>
      <c r="G852" t="s">
        <v>1154</v>
      </c>
      <c r="H852" s="71"/>
      <c r="I852" t="s">
        <v>1011</v>
      </c>
      <c r="J852" s="187">
        <v>1</v>
      </c>
      <c r="K852" t="s">
        <v>1407</v>
      </c>
      <c r="L852" s="185"/>
      <c r="M852" s="188">
        <v>43710</v>
      </c>
      <c r="N852" s="71"/>
      <c r="Q852" s="71"/>
      <c r="R852" s="71"/>
      <c r="S852" t="s">
        <v>263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Férias</v>
      </c>
      <c r="E853" s="187">
        <v>30</v>
      </c>
      <c r="F853" s="187">
        <v>10</v>
      </c>
      <c r="G853" t="s">
        <v>1155</v>
      </c>
      <c r="H853" s="71"/>
      <c r="I853" t="s">
        <v>1156</v>
      </c>
      <c r="J853" s="187">
        <v>2</v>
      </c>
      <c r="K853" t="s">
        <v>1579</v>
      </c>
      <c r="L853" s="185"/>
      <c r="M853" s="188">
        <v>43864</v>
      </c>
      <c r="N853" s="71"/>
      <c r="Q853" s="71"/>
      <c r="R853" s="71"/>
      <c r="S853" t="s">
        <v>409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167</v>
      </c>
      <c r="G854" t="s">
        <v>1157</v>
      </c>
      <c r="H854" s="71"/>
      <c r="I854" t="s">
        <v>440</v>
      </c>
      <c r="J854" s="187">
        <v>1</v>
      </c>
      <c r="K854" t="s">
        <v>1407</v>
      </c>
      <c r="L854" s="185"/>
      <c r="M854" s="188">
        <v>43634</v>
      </c>
      <c r="N854" s="71"/>
      <c r="Q854" s="71"/>
      <c r="R854" s="71"/>
      <c r="S854" t="s">
        <v>1151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</v>
      </c>
      <c r="G855" t="s">
        <v>1158</v>
      </c>
      <c r="H855" s="71"/>
      <c r="I855" t="s">
        <v>440</v>
      </c>
      <c r="J855" s="187">
        <v>1</v>
      </c>
      <c r="K855" t="s">
        <v>1407</v>
      </c>
      <c r="L855" s="185"/>
      <c r="M855" s="188">
        <v>43467</v>
      </c>
      <c r="N855" s="71"/>
      <c r="Q855" s="71"/>
      <c r="R855" s="71"/>
      <c r="S855" t="s">
        <v>263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Demitido</v>
      </c>
      <c r="E856" s="187">
        <v>30</v>
      </c>
      <c r="F856" s="187">
        <v>242</v>
      </c>
      <c r="G856" t="s">
        <v>1159</v>
      </c>
      <c r="H856" s="71"/>
      <c r="I856" t="s">
        <v>613</v>
      </c>
      <c r="J856" s="187">
        <v>7</v>
      </c>
      <c r="K856" t="s">
        <v>1550</v>
      </c>
      <c r="L856" s="185"/>
      <c r="M856" s="188">
        <v>44385</v>
      </c>
      <c r="N856" s="71"/>
      <c r="Q856" s="71"/>
      <c r="R856" s="71"/>
      <c r="S856" t="s">
        <v>1151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17</v>
      </c>
      <c r="G857" t="s">
        <v>1160</v>
      </c>
      <c r="H857" s="71"/>
      <c r="I857" t="s">
        <v>1011</v>
      </c>
      <c r="J857" s="187">
        <v>1</v>
      </c>
      <c r="K857" t="s">
        <v>1407</v>
      </c>
      <c r="L857" s="185"/>
      <c r="M857" s="188">
        <v>44623</v>
      </c>
      <c r="N857" s="71"/>
      <c r="Q857" s="71"/>
      <c r="R857" s="71"/>
      <c r="S857" t="s">
        <v>263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Inativo</v>
      </c>
      <c r="C858" s="72" t="str">
        <f ca="1">IF(D858="Inativo","Inativo",IFERROR(VLOOKUP($G858,Conf!$O:$Q,3,0),IFERROR(VLOOKUP($G858,Conf!$E:$F,2,0),VLOOKUP($S858,Conf!$K:$M,3,0))))</f>
        <v>Inativo</v>
      </c>
      <c r="D858" s="72" t="str">
        <f ca="1">IFERROR(IF(TODAY()-K858&gt;365,"Inativo",IF(J858=2,"Férias",IF(J858=7,"Demitido","Afastamento"))),VLOOKUP(J858,Conf!$H:$I,2,0))</f>
        <v>Inativo</v>
      </c>
      <c r="E858" s="187">
        <v>30</v>
      </c>
      <c r="F858" s="187">
        <v>50</v>
      </c>
      <c r="G858" t="s">
        <v>1161</v>
      </c>
      <c r="H858" s="71"/>
      <c r="I858" t="s">
        <v>220</v>
      </c>
      <c r="J858" s="187">
        <v>3</v>
      </c>
      <c r="K858" t="s">
        <v>1162</v>
      </c>
      <c r="L858" s="185"/>
      <c r="M858" s="188">
        <v>44809</v>
      </c>
      <c r="N858" s="71"/>
      <c r="O858" s="71"/>
      <c r="P858" s="71"/>
      <c r="Q858" s="71"/>
      <c r="R858" s="71"/>
      <c r="S858" t="s">
        <v>1163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66</v>
      </c>
      <c r="G859" t="s">
        <v>1169</v>
      </c>
      <c r="H859" s="71"/>
      <c r="I859" t="s">
        <v>440</v>
      </c>
      <c r="J859" s="187">
        <v>1</v>
      </c>
      <c r="K859" t="s">
        <v>1407</v>
      </c>
      <c r="L859" s="185"/>
      <c r="M859" s="188">
        <v>45629</v>
      </c>
      <c r="N859" s="71"/>
      <c r="Q859" s="71"/>
      <c r="R859" s="71"/>
      <c r="S859" t="s">
        <v>1170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21</v>
      </c>
      <c r="G860" t="s">
        <v>1171</v>
      </c>
      <c r="H860" s="71"/>
      <c r="I860" t="s">
        <v>440</v>
      </c>
      <c r="J860" s="187">
        <v>1</v>
      </c>
      <c r="K860" t="s">
        <v>1407</v>
      </c>
      <c r="L860" s="185"/>
      <c r="M860" s="188">
        <v>43525</v>
      </c>
      <c r="N860" s="71"/>
      <c r="Q860" s="71"/>
      <c r="R860" s="71"/>
      <c r="S860" t="s">
        <v>1170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41</v>
      </c>
      <c r="G861" t="s">
        <v>1172</v>
      </c>
      <c r="H861" s="71"/>
      <c r="I861" t="s">
        <v>440</v>
      </c>
      <c r="J861" s="187">
        <v>1</v>
      </c>
      <c r="K861" t="s">
        <v>1407</v>
      </c>
      <c r="L861" s="185"/>
      <c r="M861" s="188">
        <v>44544</v>
      </c>
      <c r="N861" s="71"/>
      <c r="Q861" s="71"/>
      <c r="R861" s="71"/>
      <c r="S861" t="s">
        <v>1170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52</v>
      </c>
      <c r="G862" t="s">
        <v>1173</v>
      </c>
      <c r="H862" s="71"/>
      <c r="I862" t="s">
        <v>440</v>
      </c>
      <c r="J862" s="187">
        <v>1</v>
      </c>
      <c r="K862" t="s">
        <v>1407</v>
      </c>
      <c r="L862" s="185"/>
      <c r="M862" s="188">
        <v>44837</v>
      </c>
      <c r="N862" s="71"/>
      <c r="O862" s="71"/>
      <c r="P862" s="71"/>
      <c r="Q862" s="71"/>
      <c r="R862" s="71"/>
      <c r="S862" t="s">
        <v>1170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60</v>
      </c>
      <c r="G863" t="s">
        <v>1174</v>
      </c>
      <c r="H863" s="71"/>
      <c r="I863" t="s">
        <v>440</v>
      </c>
      <c r="J863" s="187">
        <v>1</v>
      </c>
      <c r="K863" t="s">
        <v>1407</v>
      </c>
      <c r="L863" s="185"/>
      <c r="M863" s="188">
        <v>45223</v>
      </c>
      <c r="N863" s="71"/>
      <c r="Q863" s="71"/>
      <c r="R863" s="71"/>
      <c r="S863" t="s">
        <v>1175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20</v>
      </c>
      <c r="G864" t="s">
        <v>1176</v>
      </c>
      <c r="H864" s="71"/>
      <c r="I864" t="s">
        <v>1177</v>
      </c>
      <c r="J864" s="187">
        <v>1</v>
      </c>
      <c r="K864" t="s">
        <v>1407</v>
      </c>
      <c r="L864" s="185"/>
      <c r="M864" s="188">
        <v>43497</v>
      </c>
      <c r="N864" s="71"/>
      <c r="Q864" s="71"/>
      <c r="R864" s="71"/>
      <c r="S864" t="s">
        <v>1178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17</v>
      </c>
      <c r="G865" t="s">
        <v>1179</v>
      </c>
      <c r="H865" s="71"/>
      <c r="I865" t="s">
        <v>440</v>
      </c>
      <c r="J865" s="187">
        <v>1</v>
      </c>
      <c r="K865" t="s">
        <v>1407</v>
      </c>
      <c r="L865" s="185"/>
      <c r="M865" s="188">
        <v>43885</v>
      </c>
      <c r="N865" s="71"/>
      <c r="O865" s="71"/>
      <c r="P865" s="71"/>
      <c r="Q865" s="71"/>
      <c r="R865" s="71"/>
      <c r="S865" t="s">
        <v>1170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PEDREIRO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69</v>
      </c>
      <c r="G866" t="s">
        <v>1182</v>
      </c>
      <c r="H866" s="71"/>
      <c r="I866" t="s">
        <v>1021</v>
      </c>
      <c r="J866" s="187">
        <v>1</v>
      </c>
      <c r="K866" t="s">
        <v>1407</v>
      </c>
      <c r="L866" s="185"/>
      <c r="M866" s="188">
        <v>46092</v>
      </c>
      <c r="N866" s="71"/>
      <c r="Q866" s="71"/>
      <c r="R866" s="71"/>
      <c r="S866" t="s">
        <v>1181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Férias</v>
      </c>
      <c r="E867" s="187">
        <v>30</v>
      </c>
      <c r="F867" s="187">
        <v>16</v>
      </c>
      <c r="G867" t="s">
        <v>1183</v>
      </c>
      <c r="H867" s="71"/>
      <c r="I867" t="s">
        <v>220</v>
      </c>
      <c r="J867" s="187">
        <v>2</v>
      </c>
      <c r="K867" t="s">
        <v>1579</v>
      </c>
      <c r="L867" s="185"/>
      <c r="M867" s="188">
        <v>42705</v>
      </c>
      <c r="N867" s="71"/>
      <c r="Q867" s="71"/>
      <c r="R867" s="71"/>
      <c r="S867" t="s">
        <v>1184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PINTOR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67</v>
      </c>
      <c r="G868" t="s">
        <v>1185</v>
      </c>
      <c r="H868" s="71"/>
      <c r="I868" t="s">
        <v>1011</v>
      </c>
      <c r="J868" s="187">
        <v>1</v>
      </c>
      <c r="K868" t="s">
        <v>1407</v>
      </c>
      <c r="L868" s="185"/>
      <c r="M868" s="188">
        <v>45679</v>
      </c>
      <c r="N868" s="71"/>
      <c r="Q868" s="71"/>
      <c r="R868" s="71"/>
      <c r="S868" t="s">
        <v>1184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900008</v>
      </c>
      <c r="G869" t="s">
        <v>1225</v>
      </c>
      <c r="H869" s="71"/>
      <c r="I869" t="s">
        <v>1011</v>
      </c>
      <c r="J869" s="187">
        <v>1</v>
      </c>
      <c r="K869" t="s">
        <v>1407</v>
      </c>
      <c r="L869" s="185"/>
      <c r="M869" s="188">
        <v>45597</v>
      </c>
      <c r="N869" s="71"/>
      <c r="O869" s="71"/>
      <c r="P869" s="71"/>
      <c r="Q869" s="71"/>
      <c r="R869" s="71"/>
      <c r="S869" t="s">
        <v>1190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900004</v>
      </c>
      <c r="G870" t="s">
        <v>1226</v>
      </c>
      <c r="H870" s="71"/>
      <c r="I870" t="s">
        <v>1011</v>
      </c>
      <c r="J870" s="187">
        <v>1</v>
      </c>
      <c r="K870" t="s">
        <v>1407</v>
      </c>
      <c r="L870" s="185"/>
      <c r="M870" s="188">
        <v>45597</v>
      </c>
      <c r="N870" s="71"/>
      <c r="Q870" s="71"/>
      <c r="R870" s="71"/>
      <c r="S870" t="s">
        <v>1190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1227</v>
      </c>
      <c r="H871" s="71"/>
      <c r="I871" t="s">
        <v>1193</v>
      </c>
      <c r="J871" s="187">
        <v>1</v>
      </c>
      <c r="K871" t="s">
        <v>1407</v>
      </c>
      <c r="L871" s="185"/>
      <c r="M871" s="188">
        <v>45597</v>
      </c>
      <c r="N871" s="71"/>
      <c r="Q871" s="71"/>
      <c r="R871" s="71"/>
      <c r="S871" t="s">
        <v>1190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900001</v>
      </c>
      <c r="G872" t="s">
        <v>1228</v>
      </c>
      <c r="H872" s="71"/>
      <c r="I872" t="s">
        <v>1193</v>
      </c>
      <c r="J872" s="187">
        <v>1</v>
      </c>
      <c r="K872" t="s">
        <v>1407</v>
      </c>
      <c r="L872" s="185"/>
      <c r="M872" s="188">
        <v>44986</v>
      </c>
      <c r="N872" s="71"/>
      <c r="Q872" s="71"/>
      <c r="R872" s="71"/>
      <c r="S872" t="s">
        <v>1190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900007</v>
      </c>
      <c r="G873" t="s">
        <v>1229</v>
      </c>
      <c r="H873" s="71"/>
      <c r="I873" t="s">
        <v>220</v>
      </c>
      <c r="J873" s="187">
        <v>1</v>
      </c>
      <c r="K873" t="s">
        <v>1407</v>
      </c>
      <c r="L873" s="185"/>
      <c r="M873" s="188">
        <v>45597</v>
      </c>
      <c r="N873" s="71"/>
      <c r="O873" s="71"/>
      <c r="P873" s="71"/>
      <c r="Q873" s="71"/>
      <c r="R873" s="71"/>
      <c r="S873" t="s">
        <v>1190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900006</v>
      </c>
      <c r="G874" t="s">
        <v>1230</v>
      </c>
      <c r="H874" s="71"/>
      <c r="I874" t="s">
        <v>220</v>
      </c>
      <c r="J874" s="187">
        <v>1</v>
      </c>
      <c r="K874" t="s">
        <v>1407</v>
      </c>
      <c r="L874" s="185"/>
      <c r="M874" s="188">
        <v>45597</v>
      </c>
      <c r="N874" s="71"/>
      <c r="Q874" s="71"/>
      <c r="R874" s="71"/>
      <c r="S874" t="s">
        <v>1190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900002</v>
      </c>
      <c r="G875" t="s">
        <v>1231</v>
      </c>
      <c r="H875" s="71"/>
      <c r="I875" t="s">
        <v>1011</v>
      </c>
      <c r="J875" s="187">
        <v>1</v>
      </c>
      <c r="K875" t="s">
        <v>1407</v>
      </c>
      <c r="L875" s="185"/>
      <c r="M875" s="188">
        <v>45414</v>
      </c>
      <c r="N875" s="71"/>
      <c r="Q875" s="71"/>
      <c r="R875" s="71"/>
      <c r="S875" t="s">
        <v>1190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900002</v>
      </c>
      <c r="G876" t="s">
        <v>1192</v>
      </c>
      <c r="H876" s="71"/>
      <c r="I876" t="s">
        <v>1193</v>
      </c>
      <c r="J876" s="187">
        <v>1</v>
      </c>
      <c r="K876" t="s">
        <v>1407</v>
      </c>
      <c r="L876" s="185"/>
      <c r="M876" s="188">
        <v>40756</v>
      </c>
      <c r="N876" s="71"/>
      <c r="Q876" s="71"/>
      <c r="R876" s="71"/>
      <c r="S876" t="s">
        <v>1190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900005</v>
      </c>
      <c r="G877" t="s">
        <v>1232</v>
      </c>
      <c r="H877" s="71"/>
      <c r="I877" t="s">
        <v>1011</v>
      </c>
      <c r="J877" s="187">
        <v>1</v>
      </c>
      <c r="K877" t="s">
        <v>1407</v>
      </c>
      <c r="L877" s="185"/>
      <c r="M877" s="188">
        <v>45597</v>
      </c>
      <c r="N877" s="71"/>
      <c r="Q877" s="71"/>
      <c r="R877" s="71"/>
      <c r="S877" t="s">
        <v>1190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7</v>
      </c>
      <c r="F878" s="187">
        <v>900002</v>
      </c>
      <c r="G878" t="s">
        <v>1194</v>
      </c>
      <c r="H878" s="71"/>
      <c r="I878" t="s">
        <v>220</v>
      </c>
      <c r="J878" s="187">
        <v>1</v>
      </c>
      <c r="K878" t="s">
        <v>1407</v>
      </c>
      <c r="L878" s="185"/>
      <c r="M878" s="188">
        <v>44562</v>
      </c>
      <c r="N878" s="71"/>
      <c r="Q878" s="71"/>
      <c r="R878" s="71"/>
      <c r="S878" t="s">
        <v>1195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900001</v>
      </c>
      <c r="G879" t="s">
        <v>1196</v>
      </c>
      <c r="H879" s="71"/>
      <c r="I879" t="s">
        <v>1193</v>
      </c>
      <c r="J879" s="187">
        <v>1</v>
      </c>
      <c r="K879" t="s">
        <v>1407</v>
      </c>
      <c r="L879" s="185"/>
      <c r="M879" s="188">
        <v>40695</v>
      </c>
      <c r="N879" s="71"/>
      <c r="Q879" s="71"/>
      <c r="R879" s="71"/>
      <c r="S879" t="s">
        <v>1190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SUPERVISOR</v>
      </c>
      <c r="C880" s="72" t="str">
        <f ca="1">IF(D880="Inativo","Inativo",IFERROR(VLOOKUP($G880,Conf!$O:$Q,3,0),IFERROR(VLOOKUP($G880,Conf!$E:$F,2,0),VLOOKUP($S880,Conf!$K:$M,3,0))))</f>
        <v>SUPERVISOR</v>
      </c>
      <c r="D880" s="72" t="str">
        <f ca="1">IFERROR(IF(TODAY()-K880&gt;365,"Inativo",IF(J880=2,"Férias",IF(J880=7,"Demitido","Afastamento"))),VLOOKUP(J880,Conf!$H:$I,2,0))</f>
        <v>Ativos</v>
      </c>
      <c r="E880" s="187">
        <v>8</v>
      </c>
      <c r="F880" s="187">
        <v>100</v>
      </c>
      <c r="G880" t="s">
        <v>1233</v>
      </c>
      <c r="H880" s="71"/>
      <c r="I880" t="s">
        <v>220</v>
      </c>
      <c r="J880" s="187">
        <v>1</v>
      </c>
      <c r="K880" t="s">
        <v>1407</v>
      </c>
      <c r="L880" s="185"/>
      <c r="M880" s="188">
        <v>44805</v>
      </c>
      <c r="N880" s="71"/>
      <c r="Q880" s="71"/>
      <c r="R880" s="71"/>
      <c r="S880" t="s">
        <v>1234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TI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171</v>
      </c>
      <c r="G881" t="s">
        <v>1197</v>
      </c>
      <c r="H881" s="71"/>
      <c r="I881" t="s">
        <v>611</v>
      </c>
      <c r="J881" s="187">
        <v>1</v>
      </c>
      <c r="K881" t="s">
        <v>1407</v>
      </c>
      <c r="L881" s="185"/>
      <c r="M881" s="188">
        <v>45693</v>
      </c>
      <c r="N881" s="71"/>
      <c r="Q881" s="71"/>
      <c r="R881" s="71"/>
      <c r="S881" t="s">
        <v>1198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302</v>
      </c>
      <c r="G882" t="s">
        <v>1180</v>
      </c>
      <c r="H882" s="71"/>
      <c r="I882" t="s">
        <v>611</v>
      </c>
      <c r="J882" s="187">
        <v>1</v>
      </c>
      <c r="K882" t="s">
        <v>1407</v>
      </c>
      <c r="L882" s="185"/>
      <c r="M882" s="188">
        <v>46156</v>
      </c>
      <c r="N882" s="71"/>
      <c r="Q882" s="71"/>
      <c r="R882" s="71"/>
      <c r="S882" t="s">
        <v>1198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276</v>
      </c>
      <c r="G883" t="s">
        <v>1199</v>
      </c>
      <c r="H883" s="71"/>
      <c r="I883" t="s">
        <v>611</v>
      </c>
      <c r="J883" s="187">
        <v>1</v>
      </c>
      <c r="K883" t="s">
        <v>1407</v>
      </c>
      <c r="L883" s="185"/>
      <c r="M883" s="188">
        <v>44781</v>
      </c>
      <c r="N883" s="71"/>
      <c r="Q883" s="71"/>
      <c r="R883" s="71"/>
      <c r="S883" t="s">
        <v>1198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TECNICO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</v>
      </c>
      <c r="G884" t="s">
        <v>1200</v>
      </c>
      <c r="H884" s="71"/>
      <c r="I884" t="s">
        <v>611</v>
      </c>
      <c r="J884" s="187">
        <v>1</v>
      </c>
      <c r="K884" t="s">
        <v>1407</v>
      </c>
      <c r="L884" s="185"/>
      <c r="M884" s="188">
        <v>40422</v>
      </c>
      <c r="N884" s="71"/>
      <c r="Q884" s="71"/>
      <c r="R884" s="71"/>
      <c r="S884" t="s">
        <v>1201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132</v>
      </c>
      <c r="G885" t="s">
        <v>1202</v>
      </c>
      <c r="H885" s="71"/>
      <c r="I885" t="s">
        <v>611</v>
      </c>
      <c r="J885" s="187">
        <v>1</v>
      </c>
      <c r="K885" t="s">
        <v>1407</v>
      </c>
      <c r="L885" s="185"/>
      <c r="M885" s="188">
        <v>43010</v>
      </c>
      <c r="N885" s="71"/>
      <c r="Q885" s="71"/>
      <c r="R885" s="71"/>
      <c r="S885" t="s">
        <v>1203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Férias</v>
      </c>
      <c r="E886" s="187">
        <v>30</v>
      </c>
      <c r="F886" s="187">
        <v>200</v>
      </c>
      <c r="G886" t="s">
        <v>1204</v>
      </c>
      <c r="H886" s="71"/>
      <c r="I886" t="s">
        <v>611</v>
      </c>
      <c r="J886" s="187">
        <v>2</v>
      </c>
      <c r="K886" t="s">
        <v>1598</v>
      </c>
      <c r="L886" s="185"/>
      <c r="M886" s="188">
        <v>45761</v>
      </c>
      <c r="N886" s="71"/>
      <c r="Q886" s="71"/>
      <c r="R886" s="71"/>
      <c r="S886" t="s">
        <v>1205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70</v>
      </c>
      <c r="G887" t="s">
        <v>1164</v>
      </c>
      <c r="H887" s="71"/>
      <c r="I887" t="s">
        <v>220</v>
      </c>
      <c r="J887" s="187">
        <v>1</v>
      </c>
      <c r="K887" t="s">
        <v>1407</v>
      </c>
      <c r="L887" s="185"/>
      <c r="M887" s="188">
        <v>46154</v>
      </c>
      <c r="N887" s="71"/>
      <c r="Q887" s="71"/>
      <c r="R887" s="71"/>
      <c r="S887" t="s">
        <v>1423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125</v>
      </c>
      <c r="G888" t="s">
        <v>1206</v>
      </c>
      <c r="H888" s="71"/>
      <c r="I888" t="s">
        <v>1007</v>
      </c>
      <c r="J888" s="187">
        <v>1</v>
      </c>
      <c r="K888" t="s">
        <v>1407</v>
      </c>
      <c r="L888" s="185"/>
      <c r="M888" s="188">
        <v>45505</v>
      </c>
      <c r="N888" s="71"/>
      <c r="Q888" s="71"/>
      <c r="R888" s="71"/>
      <c r="S888" t="s">
        <v>1205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37</v>
      </c>
      <c r="G889" t="s">
        <v>1207</v>
      </c>
      <c r="H889" s="71"/>
      <c r="I889" t="s">
        <v>1007</v>
      </c>
      <c r="J889" s="187">
        <v>1</v>
      </c>
      <c r="K889" t="s">
        <v>1407</v>
      </c>
      <c r="L889" s="185"/>
      <c r="M889" s="188">
        <v>45110</v>
      </c>
      <c r="N889" s="71"/>
      <c r="Q889" s="71"/>
      <c r="R889" s="71"/>
      <c r="S889" t="s">
        <v>1205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ASSISTENTE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5</v>
      </c>
      <c r="G890" t="s">
        <v>1211</v>
      </c>
      <c r="H890" s="71"/>
      <c r="I890" t="s">
        <v>1067</v>
      </c>
      <c r="J890" s="187">
        <v>1</v>
      </c>
      <c r="K890" t="s">
        <v>1407</v>
      </c>
      <c r="L890" s="185"/>
      <c r="M890" s="188">
        <v>44501</v>
      </c>
      <c r="N890" s="71"/>
      <c r="O890" s="71"/>
      <c r="P890" s="71"/>
      <c r="Q890" s="71"/>
      <c r="R890" s="71"/>
      <c r="S890" t="s">
        <v>1212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ADMINISTRATIVO</v>
      </c>
      <c r="C891" s="72" t="str">
        <f ca="1">IF(D891="Inativo","Inativo",IFERROR(VLOOKUP($G891,Conf!$O:$Q,3,0),IFERROR(VLOOKUP($G891,Conf!$E:$F,2,0),VLOOKUP($S891,Conf!$K:$M,3,0))))</f>
        <v>FATURISTA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20</v>
      </c>
      <c r="G891" t="s">
        <v>1208</v>
      </c>
      <c r="H891" s="71"/>
      <c r="I891" t="s">
        <v>1067</v>
      </c>
      <c r="J891" s="187">
        <v>1</v>
      </c>
      <c r="K891" t="s">
        <v>1407</v>
      </c>
      <c r="L891" s="185"/>
      <c r="M891" s="188">
        <v>46030</v>
      </c>
      <c r="N891" s="71"/>
      <c r="Q891" s="71"/>
      <c r="R891" s="71"/>
      <c r="S891" t="s">
        <v>1209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ADMINISTRATIVO</v>
      </c>
      <c r="C892" s="72" t="str">
        <f ca="1">IF(D892="Inativo","Inativo",IFERROR(VLOOKUP($G892,Conf!$O:$Q,3,0),IFERROR(VLOOKUP($G892,Conf!$E:$F,2,0),VLOOKUP($S892,Conf!$K:$M,3,0))))</f>
        <v>FATURISTA</v>
      </c>
      <c r="D892" s="72" t="str">
        <f ca="1">IFERROR(IF(TODAY()-K892&gt;365,"Inativo",IF(J892=2,"Férias",IF(J892=7,"Demitido","Afastamento"))),VLOOKUP(J892,Conf!$H:$I,2,0))</f>
        <v>Férias</v>
      </c>
      <c r="E892" s="187">
        <v>50</v>
      </c>
      <c r="F892" s="187">
        <v>3</v>
      </c>
      <c r="G892" t="s">
        <v>1210</v>
      </c>
      <c r="H892" s="71"/>
      <c r="I892" t="s">
        <v>1067</v>
      </c>
      <c r="J892" s="187">
        <v>2</v>
      </c>
      <c r="K892" t="s">
        <v>1579</v>
      </c>
      <c r="L892" s="185"/>
      <c r="M892" s="188">
        <v>44440</v>
      </c>
      <c r="N892" s="71"/>
      <c r="Q892" s="71"/>
      <c r="R892" s="71"/>
      <c r="S892" t="s">
        <v>1209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FATURISTA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22</v>
      </c>
      <c r="G893" t="s">
        <v>1213</v>
      </c>
      <c r="H893" s="71"/>
      <c r="I893" t="s">
        <v>1067</v>
      </c>
      <c r="J893" s="187">
        <v>1</v>
      </c>
      <c r="K893" t="s">
        <v>1407</v>
      </c>
      <c r="L893" s="185"/>
      <c r="M893" s="188">
        <v>46070</v>
      </c>
      <c r="N893" s="71"/>
      <c r="Q893" s="71"/>
      <c r="R893" s="71"/>
      <c r="S893" t="s">
        <v>1209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204</v>
      </c>
      <c r="G894" t="s">
        <v>1472</v>
      </c>
      <c r="H894" s="71"/>
      <c r="I894" t="s">
        <v>1067</v>
      </c>
      <c r="J894" s="187">
        <v>1</v>
      </c>
      <c r="K894" t="s">
        <v>1407</v>
      </c>
      <c r="L894" s="185"/>
      <c r="M894" s="188">
        <v>46235</v>
      </c>
      <c r="N894" s="71"/>
      <c r="Q894" s="71"/>
      <c r="R894" s="71"/>
      <c r="S894" t="s">
        <v>1068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DEPOSITO</v>
      </c>
      <c r="C895" s="72" t="str">
        <f ca="1">IF(D895="Inativo","Inativo",IFERROR(VLOOKUP($G895,Conf!$O:$Q,3,0),IFERROR(VLOOKUP($G895,Conf!$E:$F,2,0),VLOOKUP($S895,Conf!$K:$M,3,0))))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143</v>
      </c>
      <c r="G895" t="s">
        <v>1070</v>
      </c>
      <c r="H895" s="71"/>
      <c r="I895" t="s">
        <v>1067</v>
      </c>
      <c r="J895" s="187">
        <v>1</v>
      </c>
      <c r="K895" t="s">
        <v>1407</v>
      </c>
      <c r="L895" s="185"/>
      <c r="M895" s="188">
        <v>45352</v>
      </c>
      <c r="N895" s="71"/>
      <c r="Q895" s="71"/>
      <c r="R895" s="71"/>
      <c r="S895" t="s">
        <v>1068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AUXILIAR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211</v>
      </c>
      <c r="G896" t="s">
        <v>1548</v>
      </c>
      <c r="H896" s="71"/>
      <c r="I896" t="s">
        <v>1067</v>
      </c>
      <c r="J896" s="187">
        <v>1</v>
      </c>
      <c r="K896" t="s">
        <v>1407</v>
      </c>
      <c r="L896" s="185"/>
      <c r="M896" s="188">
        <v>46266</v>
      </c>
      <c r="N896" s="71"/>
      <c r="Q896" s="71"/>
      <c r="R896" s="71"/>
      <c r="S896" t="s">
        <v>1068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106</v>
      </c>
      <c r="G897" t="s">
        <v>1074</v>
      </c>
      <c r="I897" t="s">
        <v>1067</v>
      </c>
      <c r="J897" s="187">
        <v>1</v>
      </c>
      <c r="K897" t="s">
        <v>1407</v>
      </c>
      <c r="M897" s="188">
        <v>45048</v>
      </c>
      <c r="S897" t="s">
        <v>1068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187</v>
      </c>
      <c r="G898" t="s">
        <v>1076</v>
      </c>
      <c r="H898" s="71"/>
      <c r="I898" t="s">
        <v>1067</v>
      </c>
      <c r="J898" s="187">
        <v>1</v>
      </c>
      <c r="K898" t="s">
        <v>1407</v>
      </c>
      <c r="L898" s="185"/>
      <c r="M898" s="188">
        <v>45992</v>
      </c>
      <c r="N898" s="71"/>
      <c r="Q898" s="71"/>
      <c r="R898" s="71"/>
      <c r="S898" t="s">
        <v>1068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Demitido</v>
      </c>
      <c r="E899" s="187">
        <v>50</v>
      </c>
      <c r="F899" s="187">
        <v>194</v>
      </c>
      <c r="G899" t="s">
        <v>1077</v>
      </c>
      <c r="H899" s="71"/>
      <c r="I899" t="s">
        <v>1067</v>
      </c>
      <c r="J899" s="187">
        <v>7</v>
      </c>
      <c r="K899" t="s">
        <v>1579</v>
      </c>
      <c r="L899" s="185"/>
      <c r="M899" s="188">
        <v>46113</v>
      </c>
      <c r="N899" s="71"/>
      <c r="Q899" s="71"/>
      <c r="R899" s="71"/>
      <c r="S899" t="s">
        <v>1068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188</v>
      </c>
      <c r="G900" t="s">
        <v>1080</v>
      </c>
      <c r="H900" s="71"/>
      <c r="I900" t="s">
        <v>1067</v>
      </c>
      <c r="J900" s="187">
        <v>1</v>
      </c>
      <c r="K900" t="s">
        <v>1407</v>
      </c>
      <c r="L900" s="185"/>
      <c r="M900" s="188">
        <v>46055</v>
      </c>
      <c r="N900" s="71"/>
      <c r="O900" s="71"/>
      <c r="P900" s="71"/>
      <c r="Q900" s="71"/>
      <c r="R900" s="71"/>
      <c r="S900" t="s">
        <v>1068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208</v>
      </c>
      <c r="G901" t="s">
        <v>1545</v>
      </c>
      <c r="I901" t="s">
        <v>1067</v>
      </c>
      <c r="J901" s="187">
        <v>1</v>
      </c>
      <c r="K901" t="s">
        <v>1407</v>
      </c>
      <c r="M901" s="188">
        <v>46266</v>
      </c>
      <c r="S901" t="s">
        <v>1068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161</v>
      </c>
      <c r="G902" t="s">
        <v>1082</v>
      </c>
      <c r="H902" s="71"/>
      <c r="I902" t="s">
        <v>1067</v>
      </c>
      <c r="J902" s="187">
        <v>1</v>
      </c>
      <c r="K902" t="s">
        <v>1407</v>
      </c>
      <c r="L902" s="185"/>
      <c r="M902" s="188">
        <v>45537</v>
      </c>
      <c r="N902" s="71"/>
      <c r="Q902" s="71"/>
      <c r="R902" s="71"/>
      <c r="S902" t="s">
        <v>1068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209</v>
      </c>
      <c r="G903" t="s">
        <v>1546</v>
      </c>
      <c r="H903" s="71"/>
      <c r="I903" t="s">
        <v>1067</v>
      </c>
      <c r="J903" s="187">
        <v>1</v>
      </c>
      <c r="K903" t="s">
        <v>1407</v>
      </c>
      <c r="L903" s="185"/>
      <c r="M903" s="188">
        <v>46266</v>
      </c>
      <c r="N903" s="71"/>
      <c r="Q903" s="71"/>
      <c r="R903" s="71"/>
      <c r="S903" t="s">
        <v>1068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207</v>
      </c>
      <c r="G904" t="s">
        <v>1544</v>
      </c>
      <c r="H904" s="71"/>
      <c r="I904" t="s">
        <v>1067</v>
      </c>
      <c r="J904" s="187">
        <v>1</v>
      </c>
      <c r="K904" t="s">
        <v>1407</v>
      </c>
      <c r="L904" s="185"/>
      <c r="M904" s="188">
        <v>46266</v>
      </c>
      <c r="N904" s="71"/>
      <c r="Q904" s="71"/>
      <c r="R904" s="71"/>
      <c r="S904" t="s">
        <v>1068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205</v>
      </c>
      <c r="G905" t="s">
        <v>1473</v>
      </c>
      <c r="H905" s="71"/>
      <c r="I905" t="s">
        <v>1067</v>
      </c>
      <c r="J905" s="187">
        <v>1</v>
      </c>
      <c r="K905" t="s">
        <v>1407</v>
      </c>
      <c r="L905" s="185"/>
      <c r="M905" s="188">
        <v>46235</v>
      </c>
      <c r="N905" s="71"/>
      <c r="O905" s="71"/>
      <c r="P905" s="71"/>
      <c r="Q905" s="71"/>
      <c r="R905" s="71"/>
      <c r="S905" t="s">
        <v>1068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184</v>
      </c>
      <c r="G906" t="s">
        <v>1088</v>
      </c>
      <c r="H906" s="71"/>
      <c r="I906" t="s">
        <v>1067</v>
      </c>
      <c r="J906" s="187">
        <v>1</v>
      </c>
      <c r="K906" t="s">
        <v>1407</v>
      </c>
      <c r="L906" s="185"/>
      <c r="M906" s="188">
        <v>45962</v>
      </c>
      <c r="N906" s="71"/>
      <c r="Q906" s="71"/>
      <c r="R906" s="71"/>
      <c r="S906" t="s">
        <v>1068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190</v>
      </c>
      <c r="G907" t="s">
        <v>1090</v>
      </c>
      <c r="H907" s="71"/>
      <c r="I907" t="s">
        <v>1067</v>
      </c>
      <c r="J907" s="187">
        <v>1</v>
      </c>
      <c r="K907" t="s">
        <v>1407</v>
      </c>
      <c r="L907" s="185"/>
      <c r="M907" s="188">
        <v>46055</v>
      </c>
      <c r="N907" s="71"/>
      <c r="Q907" s="71"/>
      <c r="R907" s="71"/>
      <c r="S907" t="s">
        <v>1068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169</v>
      </c>
      <c r="G908" t="s">
        <v>1091</v>
      </c>
      <c r="H908" s="71"/>
      <c r="I908" t="s">
        <v>1067</v>
      </c>
      <c r="J908" s="187">
        <v>1</v>
      </c>
      <c r="K908" t="s">
        <v>1407</v>
      </c>
      <c r="L908" s="185"/>
      <c r="M908" s="188">
        <v>45717</v>
      </c>
      <c r="N908" s="71"/>
      <c r="O908" s="71"/>
      <c r="P908" s="71"/>
      <c r="Q908" s="71"/>
      <c r="R908" s="71"/>
      <c r="S908" t="s">
        <v>1068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Demitido</v>
      </c>
      <c r="E909" s="187">
        <v>50</v>
      </c>
      <c r="F909" s="187">
        <v>201</v>
      </c>
      <c r="G909" t="s">
        <v>1543</v>
      </c>
      <c r="H909" s="71"/>
      <c r="I909" t="s">
        <v>1067</v>
      </c>
      <c r="J909" s="187">
        <v>7</v>
      </c>
      <c r="K909" t="s">
        <v>1530</v>
      </c>
      <c r="L909" s="185"/>
      <c r="M909" s="188">
        <v>46204</v>
      </c>
      <c r="N909" s="71"/>
      <c r="O909" s="71"/>
      <c r="P909" s="71"/>
      <c r="Q909" s="71"/>
      <c r="R909" s="71"/>
      <c r="S909" t="s">
        <v>1068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5</v>
      </c>
      <c r="G910" t="s">
        <v>1092</v>
      </c>
      <c r="H910" s="71"/>
      <c r="I910" t="s">
        <v>1093</v>
      </c>
      <c r="J910" s="187">
        <v>1</v>
      </c>
      <c r="K910" t="s">
        <v>1407</v>
      </c>
      <c r="L910" s="185"/>
      <c r="M910" s="188">
        <v>44025</v>
      </c>
      <c r="N910" s="71"/>
      <c r="Q910" s="71"/>
      <c r="R910" s="71"/>
      <c r="S910" t="s">
        <v>1068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189</v>
      </c>
      <c r="G911" t="s">
        <v>1099</v>
      </c>
      <c r="H911" s="71"/>
      <c r="I911" t="s">
        <v>1067</v>
      </c>
      <c r="J911" s="187">
        <v>1</v>
      </c>
      <c r="K911" t="s">
        <v>1407</v>
      </c>
      <c r="L911" s="185"/>
      <c r="M911" s="188">
        <v>46055</v>
      </c>
      <c r="N911" s="71"/>
      <c r="Q911" s="71"/>
      <c r="R911" s="71"/>
      <c r="S911" t="s">
        <v>1068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210</v>
      </c>
      <c r="G912" t="s">
        <v>1547</v>
      </c>
      <c r="H912" s="71"/>
      <c r="I912" t="s">
        <v>1067</v>
      </c>
      <c r="J912" s="187">
        <v>1</v>
      </c>
      <c r="K912" t="s">
        <v>1407</v>
      </c>
      <c r="L912" s="185"/>
      <c r="M912" s="188">
        <v>46266</v>
      </c>
      <c r="N912" s="71"/>
      <c r="Q912" s="71"/>
      <c r="R912" s="71"/>
      <c r="S912" t="s">
        <v>1068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203</v>
      </c>
      <c r="G913" t="s">
        <v>1471</v>
      </c>
      <c r="H913" s="71"/>
      <c r="I913" t="s">
        <v>1067</v>
      </c>
      <c r="J913" s="187">
        <v>1</v>
      </c>
      <c r="K913" t="s">
        <v>1407</v>
      </c>
      <c r="L913" s="185"/>
      <c r="M913" s="188">
        <v>46235</v>
      </c>
      <c r="N913" s="71"/>
      <c r="O913" s="71"/>
      <c r="P913" s="71"/>
      <c r="Q913" s="71"/>
      <c r="R913" s="71"/>
      <c r="S913" t="s">
        <v>1068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200</v>
      </c>
      <c r="G914" t="s">
        <v>1415</v>
      </c>
      <c r="I914" t="s">
        <v>1067</v>
      </c>
      <c r="J914" s="187">
        <v>1</v>
      </c>
      <c r="K914" t="s">
        <v>1407</v>
      </c>
      <c r="M914" s="188">
        <v>46204</v>
      </c>
      <c r="S914" t="s">
        <v>1068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176</v>
      </c>
      <c r="G915" t="s">
        <v>1104</v>
      </c>
      <c r="H915" s="71"/>
      <c r="I915" t="s">
        <v>1067</v>
      </c>
      <c r="J915" s="187">
        <v>7</v>
      </c>
      <c r="K915" t="s">
        <v>1581</v>
      </c>
      <c r="L915" s="185"/>
      <c r="M915" s="188">
        <v>45779</v>
      </c>
      <c r="N915" s="71"/>
      <c r="Q915" s="71"/>
      <c r="R915" s="71"/>
      <c r="S915" t="s">
        <v>1068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CAMARA FRIA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178</v>
      </c>
      <c r="G916" t="s">
        <v>1096</v>
      </c>
      <c r="H916" s="71"/>
      <c r="I916" t="s">
        <v>1067</v>
      </c>
      <c r="J916" s="187">
        <v>1</v>
      </c>
      <c r="K916" t="s">
        <v>1407</v>
      </c>
      <c r="L916" s="185"/>
      <c r="M916" s="188">
        <v>45839</v>
      </c>
      <c r="N916" s="71"/>
      <c r="O916" s="71"/>
      <c r="P916" s="71"/>
      <c r="Q916" s="71"/>
      <c r="R916" s="71"/>
      <c r="S916" t="s">
        <v>1551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CONFERENTE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66</v>
      </c>
      <c r="G917" t="s">
        <v>1107</v>
      </c>
      <c r="H917" s="71"/>
      <c r="I917" t="s">
        <v>1067</v>
      </c>
      <c r="J917" s="187">
        <v>1</v>
      </c>
      <c r="K917" t="s">
        <v>1407</v>
      </c>
      <c r="L917" s="185"/>
      <c r="M917" s="188">
        <v>44501</v>
      </c>
      <c r="N917" s="71"/>
      <c r="O917" s="71"/>
      <c r="P917" s="71"/>
      <c r="Q917" s="71"/>
      <c r="R917" s="71"/>
      <c r="S917" t="s">
        <v>119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16</v>
      </c>
      <c r="G918" t="s">
        <v>1108</v>
      </c>
      <c r="H918" s="71"/>
      <c r="I918" t="s">
        <v>1067</v>
      </c>
      <c r="J918" s="187">
        <v>1</v>
      </c>
      <c r="K918" t="s">
        <v>1407</v>
      </c>
      <c r="L918" s="185"/>
      <c r="M918" s="188">
        <v>44057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112</v>
      </c>
      <c r="G919" t="s">
        <v>1109</v>
      </c>
      <c r="H919" s="71"/>
      <c r="I919" t="s">
        <v>1067</v>
      </c>
      <c r="J919" s="187">
        <v>1</v>
      </c>
      <c r="K919" t="s">
        <v>1407</v>
      </c>
      <c r="L919" s="185"/>
      <c r="M919" s="188">
        <v>45078</v>
      </c>
      <c r="N919" s="71"/>
      <c r="Q919" s="71"/>
      <c r="R919" s="71"/>
      <c r="S919" t="s">
        <v>119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103</v>
      </c>
      <c r="G920" t="s">
        <v>1112</v>
      </c>
      <c r="H920" s="71"/>
      <c r="I920" t="s">
        <v>1067</v>
      </c>
      <c r="J920" s="187">
        <v>1</v>
      </c>
      <c r="K920" t="s">
        <v>1407</v>
      </c>
      <c r="L920" s="185"/>
      <c r="M920" s="188">
        <v>44986</v>
      </c>
      <c r="N920" s="71"/>
      <c r="O920" s="71"/>
      <c r="P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Férias</v>
      </c>
      <c r="E921" s="187">
        <v>50</v>
      </c>
      <c r="F921" s="187">
        <v>180</v>
      </c>
      <c r="G921" t="s">
        <v>1118</v>
      </c>
      <c r="I921" t="s">
        <v>1067</v>
      </c>
      <c r="J921" s="187">
        <v>2</v>
      </c>
      <c r="K921" t="s">
        <v>1579</v>
      </c>
      <c r="M921" s="188">
        <v>45901</v>
      </c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80</v>
      </c>
      <c r="G922" t="s">
        <v>1125</v>
      </c>
      <c r="H922" s="71"/>
      <c r="I922" t="s">
        <v>1067</v>
      </c>
      <c r="J922" s="187">
        <v>1</v>
      </c>
      <c r="K922" t="s">
        <v>1407</v>
      </c>
      <c r="L922" s="185"/>
      <c r="M922" s="188">
        <v>44621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EMPILHADEIRA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117</v>
      </c>
      <c r="G923" t="s">
        <v>1071</v>
      </c>
      <c r="I923" t="s">
        <v>1067</v>
      </c>
      <c r="J923" s="187">
        <v>1</v>
      </c>
      <c r="K923" t="s">
        <v>1407</v>
      </c>
      <c r="M923" s="188">
        <v>45139</v>
      </c>
      <c r="S923" t="s">
        <v>1128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21</v>
      </c>
      <c r="G924" t="s">
        <v>1127</v>
      </c>
      <c r="I924" t="s">
        <v>1067</v>
      </c>
      <c r="J924" s="187">
        <v>1</v>
      </c>
      <c r="K924" t="s">
        <v>1407</v>
      </c>
      <c r="M924" s="188">
        <v>44075</v>
      </c>
      <c r="S924" t="s">
        <v>1128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EMPILHADEIRA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50</v>
      </c>
      <c r="G925" t="s">
        <v>1132</v>
      </c>
      <c r="H925" s="71"/>
      <c r="I925" t="s">
        <v>1067</v>
      </c>
      <c r="J925" s="187">
        <v>1</v>
      </c>
      <c r="K925" t="s">
        <v>1407</v>
      </c>
      <c r="L925" s="185"/>
      <c r="M925" s="188">
        <v>44228</v>
      </c>
      <c r="N925" s="71"/>
      <c r="O925" s="71"/>
      <c r="P925" s="71"/>
      <c r="Q925" s="71"/>
      <c r="R925" s="71"/>
      <c r="S925" t="s">
        <v>1128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139</v>
      </c>
      <c r="G926" t="s">
        <v>1134</v>
      </c>
      <c r="I926" t="s">
        <v>1067</v>
      </c>
      <c r="J926" s="187">
        <v>1</v>
      </c>
      <c r="K926" t="s">
        <v>1407</v>
      </c>
      <c r="M926" s="188">
        <v>45261</v>
      </c>
      <c r="S926" t="s">
        <v>1128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206</v>
      </c>
      <c r="G927" t="s">
        <v>1474</v>
      </c>
      <c r="H927" s="71"/>
      <c r="I927" t="s">
        <v>1067</v>
      </c>
      <c r="J927" s="187">
        <v>1</v>
      </c>
      <c r="K927" t="s">
        <v>1407</v>
      </c>
      <c r="L927" s="185"/>
      <c r="M927" s="188">
        <v>46235</v>
      </c>
      <c r="N927" s="71"/>
      <c r="Q927" s="71"/>
      <c r="R927" s="71"/>
      <c r="S927" t="s">
        <v>1136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ENCARREGADO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24</v>
      </c>
      <c r="G928" t="s">
        <v>1135</v>
      </c>
      <c r="H928" s="71"/>
      <c r="I928" t="s">
        <v>1067</v>
      </c>
      <c r="J928" s="187">
        <v>1</v>
      </c>
      <c r="K928" t="s">
        <v>1407</v>
      </c>
      <c r="L928" s="185"/>
      <c r="M928" s="188">
        <v>44106</v>
      </c>
      <c r="N928" s="71"/>
      <c r="Q928" s="71"/>
      <c r="R928" s="71"/>
      <c r="S928" t="s">
        <v>1136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ENCARREGADO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23</v>
      </c>
      <c r="G929" t="s">
        <v>1139</v>
      </c>
      <c r="H929" s="71"/>
      <c r="I929" t="s">
        <v>1067</v>
      </c>
      <c r="J929" s="187">
        <v>1</v>
      </c>
      <c r="K929" t="s">
        <v>1407</v>
      </c>
      <c r="L929" s="185"/>
      <c r="M929" s="188">
        <v>44106</v>
      </c>
      <c r="N929" s="71"/>
      <c r="Q929" s="71"/>
      <c r="R929" s="71"/>
      <c r="S929" t="s">
        <v>1140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FRENTE DE CAIXA</v>
      </c>
      <c r="C930" s="72" t="str">
        <f ca="1">IF(D930="Inativo","Inativo",IFERROR(VLOOKUP($G930,Conf!$O:$Q,3,0),IFERROR(VLOOKUP($G930,Conf!$E:$F,2,0),VLOOKUP($S930,Conf!$K:$M,3,0))))</f>
        <v>ENTREGADOR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</v>
      </c>
      <c r="G930" t="s">
        <v>1214</v>
      </c>
      <c r="H930" s="71"/>
      <c r="I930" t="s">
        <v>297</v>
      </c>
      <c r="J930" s="187">
        <v>1</v>
      </c>
      <c r="K930" t="s">
        <v>1407</v>
      </c>
      <c r="L930" s="185"/>
      <c r="M930" s="188">
        <v>44378</v>
      </c>
      <c r="N930" s="71"/>
      <c r="Q930" s="71"/>
      <c r="R930" s="71"/>
      <c r="S930" t="s">
        <v>263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FRENTE DE CAIXA</v>
      </c>
      <c r="C931" s="72" t="str">
        <f ca="1">IF(D931="Inativo","Inativo",IFERROR(VLOOKUP($G931,Conf!$O:$Q,3,0),IFERROR(VLOOKUP($G931,Conf!$E:$F,2,0),VLOOKUP($S931,Conf!$K:$M,3,0))))</f>
        <v>ENTREGADOR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24</v>
      </c>
      <c r="G931" t="s">
        <v>1215</v>
      </c>
      <c r="H931" s="71"/>
      <c r="I931" t="s">
        <v>1067</v>
      </c>
      <c r="J931" s="187">
        <v>1</v>
      </c>
      <c r="K931" t="s">
        <v>1407</v>
      </c>
      <c r="L931" s="185"/>
      <c r="M931" s="188">
        <v>46121</v>
      </c>
      <c r="N931" s="71"/>
      <c r="Q931" s="71"/>
      <c r="R931" s="71"/>
      <c r="S931" t="s">
        <v>263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FRENTE DE CAIXA</v>
      </c>
      <c r="C932" s="72" t="str">
        <f ca="1">IF(D932="Inativo","Inativo",IFERROR(VLOOKUP($G932,Conf!$O:$Q,3,0),IFERROR(VLOOKUP($G932,Conf!$E:$F,2,0),VLOOKUP($S932,Conf!$K:$M,3,0))))</f>
        <v>ENTREGADOR</v>
      </c>
      <c r="D932" s="72" t="str">
        <f ca="1">IFERROR(IF(TODAY()-K932&gt;365,"Inativo",IF(J932=2,"Férias",IF(J932=7,"Demitido","Afastamento"))),VLOOKUP(J932,Conf!$H:$I,2,0))</f>
        <v>Afastamento</v>
      </c>
      <c r="E932" s="187">
        <v>50</v>
      </c>
      <c r="F932" s="187">
        <v>9</v>
      </c>
      <c r="G932" t="s">
        <v>1216</v>
      </c>
      <c r="H932" s="71"/>
      <c r="I932" t="s">
        <v>297</v>
      </c>
      <c r="J932" s="187">
        <v>4</v>
      </c>
      <c r="K932" t="s">
        <v>1408</v>
      </c>
      <c r="L932" s="185"/>
      <c r="M932" s="188">
        <v>44532</v>
      </c>
      <c r="N932" s="71"/>
      <c r="Q932" s="71"/>
      <c r="R932" s="71"/>
      <c r="S932" t="s">
        <v>263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SOCIO</v>
      </c>
      <c r="C933" s="72" t="str">
        <f ca="1">IF(D933="Inativo","Inativo",IFERROR(VLOOKUP($G933,Conf!$O:$Q,3,0),IFERROR(VLOOKUP($G933,Conf!$E:$F,2,0),VLOOKUP($S933,Conf!$K:$M,3,0))))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900001</v>
      </c>
      <c r="G933" t="s">
        <v>1189</v>
      </c>
      <c r="I933" t="s">
        <v>220</v>
      </c>
      <c r="J933" s="187">
        <v>1</v>
      </c>
      <c r="K933" t="s">
        <v>1407</v>
      </c>
      <c r="M933" s="188">
        <v>45778</v>
      </c>
      <c r="S933" t="s">
        <v>1190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SOCIO</v>
      </c>
      <c r="C934" s="72" t="str">
        <f ca="1">IF(D934="Inativo","Inativo",IFERROR(VLOOKUP($G934,Conf!$O:$Q,3,0),IFERROR(VLOOKUP($G934,Conf!$E:$F,2,0),VLOOKUP($S934,Conf!$K:$M,3,0))))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900002</v>
      </c>
      <c r="G934" t="s">
        <v>1191</v>
      </c>
      <c r="H934" s="71"/>
      <c r="I934" t="s">
        <v>220</v>
      </c>
      <c r="J934" s="187">
        <v>1</v>
      </c>
      <c r="K934" t="s">
        <v>1407</v>
      </c>
      <c r="L934" s="185"/>
      <c r="M934" s="188">
        <v>45931</v>
      </c>
      <c r="N934" s="71"/>
      <c r="Q934" s="71"/>
      <c r="R934" s="71"/>
      <c r="S934" t="s">
        <v>1190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VENDAS</v>
      </c>
      <c r="C935" s="72" t="str">
        <f ca="1">IF(D935="Inativo","Inativo",IFERROR(VLOOKUP($G935,Conf!$O:$Q,3,0),IFERROR(VLOOKUP($G935,Conf!$E:$F,2,0),VLOOKUP($S935,Conf!$K:$M,3,0))))</f>
        <v>VENDEDOR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7</v>
      </c>
      <c r="G935" t="s">
        <v>1217</v>
      </c>
      <c r="H935" s="71"/>
      <c r="I935" t="s">
        <v>1067</v>
      </c>
      <c r="J935" s="187">
        <v>1</v>
      </c>
      <c r="K935" t="s">
        <v>1407</v>
      </c>
      <c r="L935" s="185"/>
      <c r="M935" s="188">
        <v>44531</v>
      </c>
      <c r="N935" s="71"/>
      <c r="Q935" s="71"/>
      <c r="R935" s="71"/>
      <c r="S935" t="s">
        <v>1203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13</v>
      </c>
      <c r="G936" t="s">
        <v>1218</v>
      </c>
      <c r="H936" s="71"/>
      <c r="I936" t="s">
        <v>1067</v>
      </c>
      <c r="J936" s="187">
        <v>1</v>
      </c>
      <c r="K936" t="s">
        <v>1407</v>
      </c>
      <c r="L936" s="185"/>
      <c r="M936" s="188">
        <v>44928</v>
      </c>
      <c r="N936" s="71"/>
      <c r="Q936" s="71"/>
      <c r="R936" s="71"/>
      <c r="S936" t="s">
        <v>1203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14</v>
      </c>
      <c r="G937" t="s">
        <v>1219</v>
      </c>
      <c r="H937" s="71"/>
      <c r="I937" t="s">
        <v>1067</v>
      </c>
      <c r="J937" s="187">
        <v>1</v>
      </c>
      <c r="K937" t="s">
        <v>1407</v>
      </c>
      <c r="L937" s="185"/>
      <c r="M937" s="188">
        <v>45323</v>
      </c>
      <c r="N937" s="71"/>
      <c r="Q937" s="71"/>
      <c r="R937" s="71"/>
      <c r="S937" t="s">
        <v>1220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Férias</v>
      </c>
      <c r="E938" s="187">
        <v>50</v>
      </c>
      <c r="F938" s="187">
        <v>16</v>
      </c>
      <c r="G938" t="s">
        <v>1221</v>
      </c>
      <c r="H938" s="71"/>
      <c r="I938" t="s">
        <v>1067</v>
      </c>
      <c r="J938" s="187">
        <v>2</v>
      </c>
      <c r="K938" t="s">
        <v>1579</v>
      </c>
      <c r="L938" s="185"/>
      <c r="M938" s="188">
        <v>45478</v>
      </c>
      <c r="N938" s="71"/>
      <c r="Q938" s="71"/>
      <c r="R938" s="71"/>
      <c r="S938" t="s">
        <v>1222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15</v>
      </c>
      <c r="G939" t="s">
        <v>1223</v>
      </c>
      <c r="H939" s="71"/>
      <c r="I939" t="s">
        <v>1067</v>
      </c>
      <c r="J939" s="187">
        <v>1</v>
      </c>
      <c r="K939" t="s">
        <v>1407</v>
      </c>
      <c r="L939" s="185"/>
      <c r="M939" s="188">
        <v>45352</v>
      </c>
      <c r="N939" s="71"/>
      <c r="Q939" s="71"/>
      <c r="R939" s="71"/>
      <c r="S939" t="s">
        <v>1220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10</v>
      </c>
      <c r="G940" t="s">
        <v>1224</v>
      </c>
      <c r="H940" s="71"/>
      <c r="I940" t="s">
        <v>1067</v>
      </c>
      <c r="J940" s="187">
        <v>1</v>
      </c>
      <c r="K940" t="s">
        <v>1407</v>
      </c>
      <c r="L940" s="185"/>
      <c r="M940" s="188">
        <v>44593</v>
      </c>
      <c r="N940" s="71"/>
      <c r="Q940" s="71"/>
      <c r="R940" s="71"/>
      <c r="S940" t="s">
        <v>1203</v>
      </c>
    </row>
  </sheetData>
  <autoFilter ref="A1:T940" xr:uid="{336CDEDD-795F-4E3F-8995-BA51D7326249}"/>
  <sortState xmlns:xlrd2="http://schemas.microsoft.com/office/spreadsheetml/2017/richdata2" ref="A2:S940">
    <sortCondition ref="A2:A940"/>
    <sortCondition ref="B2:B940"/>
    <sortCondition ref="C2:C940"/>
    <sortCondition ref="G2:G94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9"/>
  <sheetViews>
    <sheetView showGridLines="0" topLeftCell="J1" zoomScaleNormal="100" workbookViewId="0">
      <selection activeCell="O19" sqref="O19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1504</v>
      </c>
      <c r="E2" s="10" t="s">
        <v>1505</v>
      </c>
      <c r="O2" s="10" t="s">
        <v>1506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1237</v>
      </c>
      <c r="I3" s="76" t="s">
        <v>1238</v>
      </c>
      <c r="K3" s="86" t="s">
        <v>1239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370</v>
      </c>
      <c r="C4" s="147">
        <v>1</v>
      </c>
      <c r="E4" t="s">
        <v>372</v>
      </c>
      <c r="F4" s="9" t="s">
        <v>14</v>
      </c>
      <c r="H4" s="74">
        <v>1</v>
      </c>
      <c r="I4" s="77" t="s">
        <v>1</v>
      </c>
      <c r="K4" s="89" t="s">
        <v>399</v>
      </c>
      <c r="L4" s="90" t="s">
        <v>52</v>
      </c>
      <c r="M4" s="91" t="s">
        <v>18</v>
      </c>
      <c r="O4" s="79" t="s">
        <v>664</v>
      </c>
      <c r="P4" s="79" t="s">
        <v>1268</v>
      </c>
      <c r="Q4" t="s">
        <v>1269</v>
      </c>
    </row>
    <row r="5" spans="2:17" x14ac:dyDescent="0.3">
      <c r="B5" s="146" t="s">
        <v>887</v>
      </c>
      <c r="C5" s="147">
        <v>7</v>
      </c>
      <c r="E5" t="s">
        <v>456</v>
      </c>
      <c r="F5" s="9" t="s">
        <v>14</v>
      </c>
      <c r="H5" s="74">
        <v>2</v>
      </c>
      <c r="I5" s="77" t="s">
        <v>1235</v>
      </c>
      <c r="K5" s="89" t="s">
        <v>223</v>
      </c>
      <c r="L5" s="90" t="s">
        <v>52</v>
      </c>
      <c r="M5" s="91" t="s">
        <v>18</v>
      </c>
      <c r="O5" s="79" t="s">
        <v>662</v>
      </c>
      <c r="P5" s="79" t="s">
        <v>1268</v>
      </c>
      <c r="Q5" t="s">
        <v>1269</v>
      </c>
    </row>
    <row r="6" spans="2:17" x14ac:dyDescent="0.3">
      <c r="B6" s="146" t="s">
        <v>746</v>
      </c>
      <c r="C6" s="147">
        <v>3</v>
      </c>
      <c r="E6" t="s">
        <v>531</v>
      </c>
      <c r="F6" s="9" t="s">
        <v>14</v>
      </c>
      <c r="H6" s="74">
        <v>3</v>
      </c>
      <c r="I6" s="77" t="s">
        <v>1240</v>
      </c>
      <c r="K6" s="89" t="s">
        <v>221</v>
      </c>
      <c r="L6" s="90" t="s">
        <v>52</v>
      </c>
      <c r="M6" s="91" t="s">
        <v>18</v>
      </c>
      <c r="O6" s="79" t="s">
        <v>661</v>
      </c>
      <c r="P6" s="79" t="s">
        <v>1268</v>
      </c>
      <c r="Q6" t="s">
        <v>1269</v>
      </c>
    </row>
    <row r="7" spans="2:17" x14ac:dyDescent="0.3">
      <c r="B7" s="146" t="s">
        <v>456</v>
      </c>
      <c r="C7" s="147">
        <v>1</v>
      </c>
      <c r="E7" t="s">
        <v>370</v>
      </c>
      <c r="F7" s="9" t="s">
        <v>14</v>
      </c>
      <c r="H7" s="74">
        <v>4</v>
      </c>
      <c r="I7" s="77" t="s">
        <v>1241</v>
      </c>
      <c r="K7" s="89" t="s">
        <v>397</v>
      </c>
      <c r="L7" s="90" t="s">
        <v>52</v>
      </c>
      <c r="M7" s="91" t="s">
        <v>18</v>
      </c>
      <c r="O7" s="79" t="s">
        <v>666</v>
      </c>
      <c r="P7" t="s">
        <v>54</v>
      </c>
      <c r="Q7" t="s">
        <v>1269</v>
      </c>
    </row>
    <row r="8" spans="2:17" x14ac:dyDescent="0.3">
      <c r="B8" s="148" t="s">
        <v>588</v>
      </c>
      <c r="C8" s="147">
        <v>2</v>
      </c>
      <c r="E8" t="s">
        <v>1252</v>
      </c>
      <c r="F8" s="9" t="s">
        <v>14</v>
      </c>
      <c r="H8" s="74">
        <v>5</v>
      </c>
      <c r="I8" s="77" t="s">
        <v>1242</v>
      </c>
      <c r="K8" s="184" t="s">
        <v>1502</v>
      </c>
      <c r="L8" s="90" t="s">
        <v>52</v>
      </c>
      <c r="M8" s="91" t="s">
        <v>18</v>
      </c>
      <c r="O8" t="s">
        <v>1511</v>
      </c>
      <c r="P8" s="79" t="s">
        <v>57</v>
      </c>
      <c r="Q8" t="s">
        <v>150</v>
      </c>
    </row>
    <row r="9" spans="2:17" x14ac:dyDescent="0.3">
      <c r="B9" s="148" t="s">
        <v>454</v>
      </c>
      <c r="C9" s="147">
        <v>2</v>
      </c>
      <c r="E9" t="s">
        <v>588</v>
      </c>
      <c r="F9" s="9" t="s">
        <v>14</v>
      </c>
      <c r="H9" s="74">
        <v>6</v>
      </c>
      <c r="I9" s="77" t="s">
        <v>1243</v>
      </c>
      <c r="K9" s="89" t="s">
        <v>540</v>
      </c>
      <c r="L9" s="90" t="s">
        <v>52</v>
      </c>
      <c r="M9" s="91" t="s">
        <v>18</v>
      </c>
      <c r="O9" t="s">
        <v>1476</v>
      </c>
      <c r="P9" s="79" t="s">
        <v>57</v>
      </c>
      <c r="Q9" t="s">
        <v>150</v>
      </c>
    </row>
    <row r="10" spans="2:17" x14ac:dyDescent="0.3">
      <c r="B10" s="148" t="s">
        <v>525</v>
      </c>
      <c r="C10" s="147">
        <v>3</v>
      </c>
      <c r="E10" t="s">
        <v>667</v>
      </c>
      <c r="F10" s="9" t="s">
        <v>14</v>
      </c>
      <c r="H10" s="74">
        <v>7</v>
      </c>
      <c r="I10" s="77" t="s">
        <v>1236</v>
      </c>
      <c r="K10" s="89" t="s">
        <v>782</v>
      </c>
      <c r="L10" s="90" t="s">
        <v>52</v>
      </c>
      <c r="M10" s="91" t="s">
        <v>18</v>
      </c>
      <c r="O10" t="s">
        <v>375</v>
      </c>
      <c r="P10" s="79" t="s">
        <v>56</v>
      </c>
      <c r="Q10" t="s">
        <v>150</v>
      </c>
    </row>
    <row r="11" spans="2:17" x14ac:dyDescent="0.3">
      <c r="B11" s="148" t="s">
        <v>1231</v>
      </c>
      <c r="C11" s="147">
        <v>30</v>
      </c>
      <c r="E11" t="s">
        <v>757</v>
      </c>
      <c r="F11" s="9" t="s">
        <v>14</v>
      </c>
      <c r="H11" s="74">
        <v>14</v>
      </c>
      <c r="I11" s="77" t="s">
        <v>1244</v>
      </c>
      <c r="K11" s="89" t="s">
        <v>903</v>
      </c>
      <c r="L11" s="90" t="s">
        <v>52</v>
      </c>
      <c r="M11" s="91" t="s">
        <v>18</v>
      </c>
      <c r="O11" t="s">
        <v>376</v>
      </c>
      <c r="P11" s="79" t="s">
        <v>56</v>
      </c>
      <c r="Q11" t="s">
        <v>150</v>
      </c>
    </row>
    <row r="12" spans="2:17" x14ac:dyDescent="0.3">
      <c r="B12" s="148" t="s">
        <v>1228</v>
      </c>
      <c r="C12" s="147">
        <v>30</v>
      </c>
      <c r="E12" t="s">
        <v>887</v>
      </c>
      <c r="F12" s="9" t="s">
        <v>14</v>
      </c>
      <c r="H12" s="74">
        <v>22</v>
      </c>
      <c r="I12" s="77" t="s">
        <v>1246</v>
      </c>
      <c r="K12" s="89" t="s">
        <v>230</v>
      </c>
      <c r="L12" s="90" t="s">
        <v>52</v>
      </c>
      <c r="M12" s="91" t="s">
        <v>1245</v>
      </c>
      <c r="O12" t="s">
        <v>381</v>
      </c>
      <c r="P12" s="79" t="s">
        <v>56</v>
      </c>
      <c r="Q12" t="s">
        <v>150</v>
      </c>
    </row>
    <row r="13" spans="2:17" x14ac:dyDescent="0.3">
      <c r="B13" s="148" t="s">
        <v>1225</v>
      </c>
      <c r="C13" s="147">
        <v>30</v>
      </c>
      <c r="E13" t="s">
        <v>977</v>
      </c>
      <c r="F13" s="9" t="s">
        <v>14</v>
      </c>
      <c r="H13" s="74">
        <v>109</v>
      </c>
      <c r="I13" s="77" t="s">
        <v>1247</v>
      </c>
      <c r="K13" s="89" t="s">
        <v>228</v>
      </c>
      <c r="L13" s="90" t="s">
        <v>52</v>
      </c>
      <c r="M13" s="91" t="s">
        <v>1245</v>
      </c>
      <c r="O13" t="s">
        <v>346</v>
      </c>
      <c r="P13" t="s">
        <v>1260</v>
      </c>
      <c r="Q13" t="s">
        <v>1261</v>
      </c>
    </row>
    <row r="14" spans="2:17" x14ac:dyDescent="0.3">
      <c r="B14" s="148" t="s">
        <v>1226</v>
      </c>
      <c r="C14" s="147">
        <v>30</v>
      </c>
      <c r="E14" t="s">
        <v>1233</v>
      </c>
      <c r="F14" s="9" t="s">
        <v>1256</v>
      </c>
      <c r="H14" s="75">
        <v>318</v>
      </c>
      <c r="I14" s="78" t="s">
        <v>1248</v>
      </c>
      <c r="K14" s="89" t="s">
        <v>402</v>
      </c>
      <c r="L14" s="90" t="s">
        <v>52</v>
      </c>
      <c r="M14" s="91" t="s">
        <v>1245</v>
      </c>
      <c r="O14" t="s">
        <v>1337</v>
      </c>
      <c r="P14" s="79" t="s">
        <v>51</v>
      </c>
      <c r="Q14" t="s">
        <v>1269</v>
      </c>
    </row>
    <row r="15" spans="2:17" x14ac:dyDescent="0.3">
      <c r="B15" s="148" t="s">
        <v>1227</v>
      </c>
      <c r="C15" s="147">
        <v>30</v>
      </c>
      <c r="E15" t="s">
        <v>1464</v>
      </c>
      <c r="F15" s="9" t="s">
        <v>14</v>
      </c>
      <c r="K15" s="89" t="s">
        <v>482</v>
      </c>
      <c r="L15" s="90" t="s">
        <v>52</v>
      </c>
      <c r="M15" s="91" t="s">
        <v>1245</v>
      </c>
      <c r="O15" t="s">
        <v>461</v>
      </c>
      <c r="P15" s="79" t="s">
        <v>55</v>
      </c>
      <c r="Q15" t="s">
        <v>1446</v>
      </c>
    </row>
    <row r="16" spans="2:17" x14ac:dyDescent="0.3">
      <c r="B16" s="148" t="s">
        <v>1229</v>
      </c>
      <c r="C16" s="147">
        <v>30</v>
      </c>
      <c r="K16" s="89" t="s">
        <v>544</v>
      </c>
      <c r="L16" s="90" t="s">
        <v>52</v>
      </c>
      <c r="M16" s="91" t="s">
        <v>1245</v>
      </c>
      <c r="O16" t="s">
        <v>1164</v>
      </c>
      <c r="P16" t="s">
        <v>1220</v>
      </c>
      <c r="Q16" t="s">
        <v>1278</v>
      </c>
    </row>
    <row r="17" spans="1:17" x14ac:dyDescent="0.3">
      <c r="B17" s="148" t="s">
        <v>1230</v>
      </c>
      <c r="C17" s="147">
        <v>30</v>
      </c>
      <c r="K17" s="184" t="s">
        <v>1427</v>
      </c>
      <c r="L17" s="90" t="s">
        <v>52</v>
      </c>
      <c r="M17" s="91" t="s">
        <v>1245</v>
      </c>
      <c r="O17" t="s">
        <v>1026</v>
      </c>
      <c r="P17" t="s">
        <v>1253</v>
      </c>
      <c r="Q17" t="s">
        <v>1340</v>
      </c>
    </row>
    <row r="18" spans="1:17" x14ac:dyDescent="0.3">
      <c r="B18" s="148" t="s">
        <v>1232</v>
      </c>
      <c r="C18" s="147">
        <v>30</v>
      </c>
      <c r="K18" s="89" t="s">
        <v>789</v>
      </c>
      <c r="L18" s="90" t="s">
        <v>52</v>
      </c>
      <c r="M18" s="91" t="s">
        <v>1245</v>
      </c>
      <c r="O18" t="s">
        <v>644</v>
      </c>
      <c r="P18" s="90" t="s">
        <v>55</v>
      </c>
      <c r="Q18" t="s">
        <v>150</v>
      </c>
    </row>
    <row r="19" spans="1:17" x14ac:dyDescent="0.3">
      <c r="B19" s="148" t="s">
        <v>1233</v>
      </c>
      <c r="C19" s="147">
        <v>30</v>
      </c>
      <c r="K19" s="89" t="s">
        <v>479</v>
      </c>
      <c r="L19" s="90" t="s">
        <v>52</v>
      </c>
      <c r="M19" s="91" t="s">
        <v>1245</v>
      </c>
      <c r="O19" t="s">
        <v>608</v>
      </c>
      <c r="P19" t="s">
        <v>1260</v>
      </c>
      <c r="Q19" t="s">
        <v>1261</v>
      </c>
    </row>
    <row r="20" spans="1:17" x14ac:dyDescent="0.3">
      <c r="B20" s="71" t="s">
        <v>451</v>
      </c>
      <c r="C20" s="147">
        <v>30</v>
      </c>
      <c r="K20" s="89" t="s">
        <v>994</v>
      </c>
      <c r="L20" s="90" t="s">
        <v>1253</v>
      </c>
      <c r="M20" s="91" t="s">
        <v>21</v>
      </c>
      <c r="O20" t="s">
        <v>658</v>
      </c>
      <c r="P20" t="s">
        <v>1260</v>
      </c>
      <c r="Q20" t="s">
        <v>1261</v>
      </c>
    </row>
    <row r="21" spans="1:17" x14ac:dyDescent="0.3">
      <c r="B21" s="71" t="s">
        <v>1194</v>
      </c>
      <c r="C21" s="147">
        <v>30</v>
      </c>
      <c r="K21" s="89" t="s">
        <v>992</v>
      </c>
      <c r="L21" s="90" t="s">
        <v>1253</v>
      </c>
      <c r="M21" s="91" t="s">
        <v>21</v>
      </c>
    </row>
    <row r="22" spans="1:17" x14ac:dyDescent="0.3">
      <c r="B22" s="71" t="s">
        <v>1406</v>
      </c>
      <c r="C22" s="9">
        <v>5</v>
      </c>
      <c r="K22" s="184" t="s">
        <v>1501</v>
      </c>
      <c r="L22" s="90" t="s">
        <v>1253</v>
      </c>
      <c r="M22" s="91" t="s">
        <v>21</v>
      </c>
    </row>
    <row r="23" spans="1:17" x14ac:dyDescent="0.3">
      <c r="A23" s="187"/>
      <c r="B23" t="s">
        <v>1449</v>
      </c>
      <c r="C23" s="9">
        <v>4</v>
      </c>
      <c r="K23" s="89" t="s">
        <v>473</v>
      </c>
      <c r="L23" s="90" t="s">
        <v>1253</v>
      </c>
      <c r="M23" s="91" t="s">
        <v>21</v>
      </c>
    </row>
    <row r="24" spans="1:17" x14ac:dyDescent="0.3">
      <c r="B24" t="s">
        <v>1431</v>
      </c>
      <c r="C24" s="9">
        <v>6</v>
      </c>
      <c r="K24" s="180" t="s">
        <v>1249</v>
      </c>
      <c r="L24" s="90" t="s">
        <v>1253</v>
      </c>
      <c r="M24" s="91" t="s">
        <v>21</v>
      </c>
    </row>
    <row r="25" spans="1:17" x14ac:dyDescent="0.3">
      <c r="B25" t="s">
        <v>1432</v>
      </c>
      <c r="C25" s="9">
        <v>30</v>
      </c>
      <c r="K25" s="89" t="s">
        <v>1250</v>
      </c>
      <c r="L25" s="90" t="s">
        <v>1253</v>
      </c>
      <c r="M25" s="91" t="s">
        <v>21</v>
      </c>
    </row>
    <row r="26" spans="1:17" x14ac:dyDescent="0.3">
      <c r="B26" t="s">
        <v>1433</v>
      </c>
      <c r="C26" s="9">
        <v>30</v>
      </c>
      <c r="K26" s="184" t="s">
        <v>1186</v>
      </c>
      <c r="L26" s="90" t="s">
        <v>1251</v>
      </c>
      <c r="M26" s="91" t="s">
        <v>1184</v>
      </c>
    </row>
    <row r="27" spans="1:17" x14ac:dyDescent="0.3">
      <c r="B27" t="s">
        <v>1434</v>
      </c>
      <c r="C27" s="9">
        <v>30</v>
      </c>
      <c r="K27" s="184" t="s">
        <v>1005</v>
      </c>
      <c r="L27" s="90" t="s">
        <v>1253</v>
      </c>
      <c r="M27" s="91" t="s">
        <v>1254</v>
      </c>
    </row>
    <row r="28" spans="1:17" x14ac:dyDescent="0.3">
      <c r="K28" s="89" t="s">
        <v>912</v>
      </c>
      <c r="L28" s="90" t="s">
        <v>1253</v>
      </c>
      <c r="M28" s="91" t="s">
        <v>1445</v>
      </c>
    </row>
    <row r="29" spans="1:17" x14ac:dyDescent="0.3">
      <c r="K29" s="89" t="s">
        <v>22</v>
      </c>
      <c r="L29" s="90" t="s">
        <v>1253</v>
      </c>
      <c r="M29" s="91" t="s">
        <v>22</v>
      </c>
    </row>
    <row r="30" spans="1:17" x14ac:dyDescent="0.3">
      <c r="K30" s="180" t="s">
        <v>1147</v>
      </c>
      <c r="L30" s="90" t="s">
        <v>1253</v>
      </c>
      <c r="M30" s="91" t="s">
        <v>22</v>
      </c>
    </row>
    <row r="31" spans="1:17" x14ac:dyDescent="0.3">
      <c r="K31" s="89" t="s">
        <v>340</v>
      </c>
      <c r="L31" s="90" t="s">
        <v>1253</v>
      </c>
      <c r="M31" s="91" t="s">
        <v>22</v>
      </c>
    </row>
    <row r="32" spans="1:17" x14ac:dyDescent="0.3">
      <c r="K32" s="89" t="s">
        <v>342</v>
      </c>
      <c r="L32" s="90" t="s">
        <v>1253</v>
      </c>
      <c r="M32" s="91" t="s">
        <v>22</v>
      </c>
    </row>
    <row r="33" spans="3:13" x14ac:dyDescent="0.3">
      <c r="K33" s="89" t="s">
        <v>449</v>
      </c>
      <c r="L33" s="90" t="s">
        <v>1253</v>
      </c>
      <c r="M33" s="91" t="s">
        <v>22</v>
      </c>
    </row>
    <row r="34" spans="3:13" x14ac:dyDescent="0.3">
      <c r="K34" s="89" t="s">
        <v>519</v>
      </c>
      <c r="L34" s="90" t="s">
        <v>1253</v>
      </c>
      <c r="M34" s="91" t="s">
        <v>22</v>
      </c>
    </row>
    <row r="35" spans="3:13" x14ac:dyDescent="0.3">
      <c r="K35" s="89" t="s">
        <v>576</v>
      </c>
      <c r="L35" s="90" t="s">
        <v>1253</v>
      </c>
      <c r="M35" s="91" t="s">
        <v>22</v>
      </c>
    </row>
    <row r="36" spans="3:13" x14ac:dyDescent="0.3">
      <c r="C36"/>
      <c r="K36" s="184" t="s">
        <v>1212</v>
      </c>
      <c r="L36" s="90" t="s">
        <v>1253</v>
      </c>
      <c r="M36" s="91" t="s">
        <v>1257</v>
      </c>
    </row>
    <row r="37" spans="3:13" x14ac:dyDescent="0.3">
      <c r="C37"/>
      <c r="D37" s="10"/>
      <c r="K37" s="184" t="s">
        <v>1022</v>
      </c>
      <c r="L37" s="90" t="s">
        <v>1253</v>
      </c>
      <c r="M37" s="91" t="s">
        <v>1257</v>
      </c>
    </row>
    <row r="38" spans="3:13" x14ac:dyDescent="0.3">
      <c r="C38"/>
      <c r="K38" s="180" t="s">
        <v>1014</v>
      </c>
      <c r="L38" s="90" t="s">
        <v>1253</v>
      </c>
      <c r="M38" s="91" t="s">
        <v>1257</v>
      </c>
    </row>
    <row r="39" spans="3:13" x14ac:dyDescent="0.3">
      <c r="C39"/>
      <c r="K39" s="184" t="s">
        <v>1018</v>
      </c>
      <c r="L39" s="90" t="s">
        <v>1253</v>
      </c>
      <c r="M39" s="91" t="s">
        <v>1257</v>
      </c>
    </row>
    <row r="40" spans="3:13" x14ac:dyDescent="0.3">
      <c r="C40"/>
      <c r="K40" s="184" t="s">
        <v>1017</v>
      </c>
      <c r="L40" s="90" t="s">
        <v>1253</v>
      </c>
      <c r="M40" s="91" t="s">
        <v>1257</v>
      </c>
    </row>
    <row r="41" spans="3:13" x14ac:dyDescent="0.3">
      <c r="C41"/>
      <c r="K41" s="184" t="s">
        <v>1019</v>
      </c>
      <c r="L41" s="90" t="s">
        <v>1253</v>
      </c>
      <c r="M41" s="91" t="s">
        <v>1257</v>
      </c>
    </row>
    <row r="42" spans="3:13" x14ac:dyDescent="0.3">
      <c r="C42"/>
      <c r="K42" s="184" t="s">
        <v>1338</v>
      </c>
      <c r="L42" s="90" t="s">
        <v>1253</v>
      </c>
      <c r="M42" s="91" t="s">
        <v>1257</v>
      </c>
    </row>
    <row r="43" spans="3:13" x14ac:dyDescent="0.3">
      <c r="C43"/>
      <c r="K43" s="184" t="s">
        <v>1035</v>
      </c>
      <c r="L43" s="90" t="s">
        <v>1253</v>
      </c>
      <c r="M43" s="91" t="s">
        <v>1257</v>
      </c>
    </row>
    <row r="44" spans="3:13" x14ac:dyDescent="0.3">
      <c r="K44" s="184" t="s">
        <v>1439</v>
      </c>
      <c r="L44" s="90" t="s">
        <v>1253</v>
      </c>
      <c r="M44" s="91" t="s">
        <v>1257</v>
      </c>
    </row>
    <row r="45" spans="3:13" x14ac:dyDescent="0.3">
      <c r="K45" s="184" t="s">
        <v>1038</v>
      </c>
      <c r="L45" s="90" t="s">
        <v>1253</v>
      </c>
      <c r="M45" s="91" t="s">
        <v>1257</v>
      </c>
    </row>
    <row r="46" spans="3:13" x14ac:dyDescent="0.3">
      <c r="K46" s="184" t="s">
        <v>1325</v>
      </c>
      <c r="L46" s="90" t="s">
        <v>1253</v>
      </c>
      <c r="M46" s="91" t="s">
        <v>1257</v>
      </c>
    </row>
    <row r="47" spans="3:13" x14ac:dyDescent="0.3">
      <c r="K47" s="184" t="s">
        <v>1624</v>
      </c>
      <c r="L47" s="90" t="s">
        <v>1253</v>
      </c>
      <c r="M47" s="91" t="s">
        <v>1257</v>
      </c>
    </row>
    <row r="48" spans="3:13" x14ac:dyDescent="0.3">
      <c r="K48" s="184" t="s">
        <v>1010</v>
      </c>
      <c r="L48" s="90" t="s">
        <v>1253</v>
      </c>
      <c r="M48" s="91" t="s">
        <v>1257</v>
      </c>
    </row>
    <row r="49" spans="11:13" x14ac:dyDescent="0.3">
      <c r="K49" s="180" t="s">
        <v>1198</v>
      </c>
      <c r="L49" s="90" t="s">
        <v>1258</v>
      </c>
      <c r="M49" s="91" t="s">
        <v>1257</v>
      </c>
    </row>
    <row r="50" spans="11:13" x14ac:dyDescent="0.3">
      <c r="K50" s="89" t="s">
        <v>890</v>
      </c>
      <c r="L50" s="90" t="s">
        <v>55</v>
      </c>
      <c r="M50" s="91" t="s">
        <v>150</v>
      </c>
    </row>
    <row r="51" spans="11:13" x14ac:dyDescent="0.3">
      <c r="K51" s="89" t="s">
        <v>458</v>
      </c>
      <c r="L51" s="90" t="s">
        <v>55</v>
      </c>
      <c r="M51" s="91" t="s">
        <v>150</v>
      </c>
    </row>
    <row r="52" spans="11:13" x14ac:dyDescent="0.3">
      <c r="K52" s="180" t="s">
        <v>1043</v>
      </c>
      <c r="L52" s="90" t="s">
        <v>1253</v>
      </c>
      <c r="M52" s="91" t="s">
        <v>150</v>
      </c>
    </row>
    <row r="53" spans="11:13" x14ac:dyDescent="0.3">
      <c r="K53" s="184" t="s">
        <v>1040</v>
      </c>
      <c r="L53" s="90" t="s">
        <v>1253</v>
      </c>
      <c r="M53" s="91" t="s">
        <v>150</v>
      </c>
    </row>
    <row r="54" spans="11:13" x14ac:dyDescent="0.3">
      <c r="K54" s="89" t="s">
        <v>457</v>
      </c>
      <c r="L54" s="90" t="s">
        <v>56</v>
      </c>
      <c r="M54" s="91" t="s">
        <v>150</v>
      </c>
    </row>
    <row r="55" spans="11:13" x14ac:dyDescent="0.3">
      <c r="K55" s="89" t="s">
        <v>769</v>
      </c>
      <c r="L55" s="90" t="s">
        <v>57</v>
      </c>
      <c r="M55" s="91" t="s">
        <v>150</v>
      </c>
    </row>
    <row r="56" spans="11:13" x14ac:dyDescent="0.3">
      <c r="K56" s="89" t="s">
        <v>460</v>
      </c>
      <c r="L56" s="90" t="s">
        <v>57</v>
      </c>
      <c r="M56" s="91" t="s">
        <v>150</v>
      </c>
    </row>
    <row r="57" spans="11:13" x14ac:dyDescent="0.3">
      <c r="K57" s="89" t="s">
        <v>248</v>
      </c>
      <c r="L57" s="90" t="s">
        <v>1255</v>
      </c>
      <c r="M57" s="91" t="s">
        <v>150</v>
      </c>
    </row>
    <row r="58" spans="11:13" x14ac:dyDescent="0.3">
      <c r="K58" s="180" t="s">
        <v>1073</v>
      </c>
      <c r="L58" s="90" t="s">
        <v>1255</v>
      </c>
      <c r="M58" s="91" t="s">
        <v>150</v>
      </c>
    </row>
    <row r="59" spans="11:13" x14ac:dyDescent="0.3">
      <c r="K59" s="180" t="s">
        <v>1065</v>
      </c>
      <c r="L59" s="90" t="s">
        <v>1255</v>
      </c>
      <c r="M59" s="91" t="s">
        <v>150</v>
      </c>
    </row>
    <row r="60" spans="11:13" x14ac:dyDescent="0.3">
      <c r="K60" s="180" t="s">
        <v>1069</v>
      </c>
      <c r="L60" s="90" t="s">
        <v>1255</v>
      </c>
      <c r="M60" s="91" t="s">
        <v>150</v>
      </c>
    </row>
    <row r="61" spans="11:13" x14ac:dyDescent="0.3">
      <c r="K61" s="89" t="s">
        <v>800</v>
      </c>
      <c r="L61" s="90" t="s">
        <v>1255</v>
      </c>
      <c r="M61" s="91" t="s">
        <v>150</v>
      </c>
    </row>
    <row r="62" spans="11:13" x14ac:dyDescent="0.3">
      <c r="K62" s="184" t="s">
        <v>1175</v>
      </c>
      <c r="L62" s="90" t="s">
        <v>1251</v>
      </c>
      <c r="M62" s="91" t="s">
        <v>1170</v>
      </c>
    </row>
    <row r="63" spans="11:13" x14ac:dyDescent="0.3">
      <c r="K63" s="180" t="s">
        <v>1054</v>
      </c>
      <c r="L63" s="90" t="s">
        <v>1253</v>
      </c>
      <c r="M63" s="91" t="s">
        <v>150</v>
      </c>
    </row>
    <row r="64" spans="11:13" x14ac:dyDescent="0.3">
      <c r="K64" s="89" t="s">
        <v>329</v>
      </c>
      <c r="L64" s="90" t="s">
        <v>55</v>
      </c>
      <c r="M64" s="91" t="s">
        <v>150</v>
      </c>
    </row>
    <row r="65" spans="11:13" x14ac:dyDescent="0.3">
      <c r="K65" s="89" t="s">
        <v>462</v>
      </c>
      <c r="L65" s="90" t="s">
        <v>55</v>
      </c>
      <c r="M65" s="91" t="s">
        <v>150</v>
      </c>
    </row>
    <row r="66" spans="11:13" x14ac:dyDescent="0.3">
      <c r="K66" s="89" t="s">
        <v>981</v>
      </c>
      <c r="L66" s="90" t="s">
        <v>55</v>
      </c>
      <c r="M66" s="91" t="s">
        <v>150</v>
      </c>
    </row>
    <row r="67" spans="11:13" x14ac:dyDescent="0.3">
      <c r="K67" s="89" t="s">
        <v>373</v>
      </c>
      <c r="L67" s="90" t="s">
        <v>55</v>
      </c>
      <c r="M67" s="91" t="s">
        <v>150</v>
      </c>
    </row>
    <row r="68" spans="11:13" x14ac:dyDescent="0.3">
      <c r="K68" s="89" t="s">
        <v>463</v>
      </c>
      <c r="L68" s="90" t="s">
        <v>55</v>
      </c>
      <c r="M68" s="91" t="s">
        <v>150</v>
      </c>
    </row>
    <row r="69" spans="11:13" x14ac:dyDescent="0.3">
      <c r="K69" s="89" t="s">
        <v>1259</v>
      </c>
      <c r="L69" s="90" t="s">
        <v>55</v>
      </c>
      <c r="M69" s="91" t="s">
        <v>150</v>
      </c>
    </row>
    <row r="70" spans="11:13" x14ac:dyDescent="0.3">
      <c r="K70" s="89" t="s">
        <v>761</v>
      </c>
      <c r="L70" s="90" t="s">
        <v>55</v>
      </c>
      <c r="M70" s="91" t="s">
        <v>150</v>
      </c>
    </row>
    <row r="71" spans="11:13" x14ac:dyDescent="0.3">
      <c r="K71" s="184" t="s">
        <v>1068</v>
      </c>
      <c r="L71" s="90" t="s">
        <v>1255</v>
      </c>
      <c r="M71" s="91" t="s">
        <v>150</v>
      </c>
    </row>
    <row r="72" spans="11:13" x14ac:dyDescent="0.3">
      <c r="K72" s="180" t="s">
        <v>1103</v>
      </c>
      <c r="L72" s="90" t="s">
        <v>1255</v>
      </c>
      <c r="M72" s="91" t="s">
        <v>150</v>
      </c>
    </row>
    <row r="73" spans="11:13" x14ac:dyDescent="0.3">
      <c r="K73" s="89" t="s">
        <v>266</v>
      </c>
      <c r="L73" s="90" t="s">
        <v>1260</v>
      </c>
      <c r="M73" s="91" t="s">
        <v>1261</v>
      </c>
    </row>
    <row r="74" spans="11:13" x14ac:dyDescent="0.3">
      <c r="K74" s="89" t="s">
        <v>917</v>
      </c>
      <c r="L74" s="90" t="s">
        <v>1260</v>
      </c>
      <c r="M74" s="91" t="s">
        <v>1261</v>
      </c>
    </row>
    <row r="75" spans="11:13" x14ac:dyDescent="0.3">
      <c r="K75" s="89" t="s">
        <v>813</v>
      </c>
      <c r="L75" s="90" t="s">
        <v>1260</v>
      </c>
      <c r="M75" s="91" t="s">
        <v>1261</v>
      </c>
    </row>
    <row r="76" spans="11:13" x14ac:dyDescent="0.3">
      <c r="K76" s="89" t="s">
        <v>270</v>
      </c>
      <c r="L76" s="90" t="s">
        <v>1260</v>
      </c>
      <c r="M76" s="91" t="s">
        <v>1261</v>
      </c>
    </row>
    <row r="77" spans="11:13" x14ac:dyDescent="0.3">
      <c r="K77" s="89" t="s">
        <v>273</v>
      </c>
      <c r="L77" s="90" t="s">
        <v>1260</v>
      </c>
      <c r="M77" s="91" t="s">
        <v>1261</v>
      </c>
    </row>
    <row r="78" spans="11:13" x14ac:dyDescent="0.3">
      <c r="K78" s="89" t="s">
        <v>591</v>
      </c>
      <c r="L78" s="90" t="s">
        <v>55</v>
      </c>
      <c r="M78" s="91" t="s">
        <v>150</v>
      </c>
    </row>
    <row r="79" spans="11:13" x14ac:dyDescent="0.3">
      <c r="K79" s="89" t="s">
        <v>347</v>
      </c>
      <c r="L79" s="90" t="s">
        <v>51</v>
      </c>
      <c r="M79" s="91" t="s">
        <v>1269</v>
      </c>
    </row>
    <row r="80" spans="11:13" x14ac:dyDescent="0.3">
      <c r="K80" s="89" t="s">
        <v>307</v>
      </c>
      <c r="L80" s="90" t="s">
        <v>54</v>
      </c>
      <c r="M80" s="91" t="s">
        <v>1446</v>
      </c>
    </row>
    <row r="81" spans="2:13" x14ac:dyDescent="0.3">
      <c r="K81" s="89" t="s">
        <v>940</v>
      </c>
      <c r="L81" s="90" t="s">
        <v>54</v>
      </c>
      <c r="M81" s="91" t="s">
        <v>1446</v>
      </c>
    </row>
    <row r="82" spans="2:13" x14ac:dyDescent="0.3">
      <c r="K82" s="89" t="s">
        <v>305</v>
      </c>
      <c r="L82" s="90" t="s">
        <v>54</v>
      </c>
      <c r="M82" s="91" t="s">
        <v>1446</v>
      </c>
    </row>
    <row r="83" spans="2:13" x14ac:dyDescent="0.3">
      <c r="B83" s="71"/>
      <c r="K83" s="89" t="s">
        <v>430</v>
      </c>
      <c r="L83" s="90" t="s">
        <v>54</v>
      </c>
      <c r="M83" s="91" t="s">
        <v>1446</v>
      </c>
    </row>
    <row r="84" spans="2:13" x14ac:dyDescent="0.3">
      <c r="B84" s="71"/>
      <c r="K84" s="89" t="s">
        <v>1262</v>
      </c>
      <c r="L84" s="90" t="s">
        <v>54</v>
      </c>
      <c r="M84" s="91" t="s">
        <v>1446</v>
      </c>
    </row>
    <row r="85" spans="2:13" x14ac:dyDescent="0.3">
      <c r="B85" s="71"/>
      <c r="K85" s="184" t="s">
        <v>1583</v>
      </c>
      <c r="L85" s="90" t="s">
        <v>54</v>
      </c>
      <c r="M85" s="91" t="s">
        <v>1446</v>
      </c>
    </row>
    <row r="86" spans="2:13" x14ac:dyDescent="0.3">
      <c r="B86" s="71"/>
      <c r="C86"/>
      <c r="K86" s="89" t="s">
        <v>596</v>
      </c>
      <c r="L86" s="90" t="s">
        <v>55</v>
      </c>
      <c r="M86" s="91" t="s">
        <v>1446</v>
      </c>
    </row>
    <row r="87" spans="2:13" x14ac:dyDescent="0.3">
      <c r="B87" s="71"/>
      <c r="C87"/>
      <c r="K87" s="89" t="s">
        <v>861</v>
      </c>
      <c r="L87" s="90" t="s">
        <v>55</v>
      </c>
      <c r="M87" s="91" t="s">
        <v>1446</v>
      </c>
    </row>
    <row r="88" spans="2:13" x14ac:dyDescent="0.3">
      <c r="B88" s="71"/>
      <c r="C88"/>
      <c r="K88" s="184" t="s">
        <v>379</v>
      </c>
      <c r="L88" s="90" t="s">
        <v>55</v>
      </c>
      <c r="M88" s="91" t="s">
        <v>1446</v>
      </c>
    </row>
    <row r="89" spans="2:13" x14ac:dyDescent="0.3">
      <c r="B89" s="71"/>
      <c r="C89"/>
      <c r="K89" s="89" t="s">
        <v>464</v>
      </c>
      <c r="L89" s="90" t="s">
        <v>55</v>
      </c>
      <c r="M89" s="91" t="s">
        <v>1446</v>
      </c>
    </row>
    <row r="90" spans="2:13" x14ac:dyDescent="0.3">
      <c r="B90" s="71"/>
      <c r="C90"/>
      <c r="K90" s="89" t="s">
        <v>533</v>
      </c>
      <c r="L90" s="90" t="s">
        <v>55</v>
      </c>
      <c r="M90" s="91" t="s">
        <v>1446</v>
      </c>
    </row>
    <row r="91" spans="2:13" x14ac:dyDescent="0.3">
      <c r="B91" s="71"/>
      <c r="C91"/>
      <c r="K91" s="89" t="s">
        <v>594</v>
      </c>
      <c r="L91" s="90" t="s">
        <v>55</v>
      </c>
      <c r="M91" s="91" t="s">
        <v>1446</v>
      </c>
    </row>
    <row r="92" spans="2:13" x14ac:dyDescent="0.3">
      <c r="B92" s="71"/>
      <c r="C92"/>
      <c r="K92" s="180" t="s">
        <v>766</v>
      </c>
      <c r="L92" s="90" t="s">
        <v>55</v>
      </c>
      <c r="M92" s="91" t="s">
        <v>1446</v>
      </c>
    </row>
    <row r="93" spans="2:13" x14ac:dyDescent="0.3">
      <c r="B93" s="71"/>
      <c r="C93"/>
      <c r="K93" s="89" t="s">
        <v>979</v>
      </c>
      <c r="L93" s="90" t="s">
        <v>55</v>
      </c>
      <c r="M93" s="91" t="s">
        <v>1446</v>
      </c>
    </row>
    <row r="94" spans="2:13" x14ac:dyDescent="0.3">
      <c r="B94" s="71"/>
      <c r="C94"/>
      <c r="K94" s="89" t="s">
        <v>332</v>
      </c>
      <c r="L94" s="90" t="s">
        <v>52</v>
      </c>
      <c r="M94" s="91" t="s">
        <v>1263</v>
      </c>
    </row>
    <row r="95" spans="2:13" x14ac:dyDescent="0.3">
      <c r="B95" s="71"/>
      <c r="C95"/>
      <c r="K95" s="89" t="s">
        <v>1264</v>
      </c>
      <c r="L95" s="90" t="s">
        <v>52</v>
      </c>
      <c r="M95" s="91" t="s">
        <v>1263</v>
      </c>
    </row>
    <row r="96" spans="2:13" x14ac:dyDescent="0.3">
      <c r="B96" s="71"/>
      <c r="C96"/>
      <c r="K96" s="89" t="s">
        <v>400</v>
      </c>
      <c r="L96" s="90" t="s">
        <v>52</v>
      </c>
      <c r="M96" s="91" t="s">
        <v>1263</v>
      </c>
    </row>
    <row r="97" spans="2:13" x14ac:dyDescent="0.3">
      <c r="B97" s="71"/>
      <c r="C97"/>
      <c r="K97" s="89" t="s">
        <v>477</v>
      </c>
      <c r="L97" s="90" t="s">
        <v>52</v>
      </c>
      <c r="M97" s="91" t="s">
        <v>1263</v>
      </c>
    </row>
    <row r="98" spans="2:13" x14ac:dyDescent="0.3">
      <c r="B98" s="71"/>
      <c r="C98"/>
      <c r="K98" s="89" t="s">
        <v>1265</v>
      </c>
      <c r="L98" s="90" t="s">
        <v>52</v>
      </c>
      <c r="M98" s="91" t="s">
        <v>1263</v>
      </c>
    </row>
    <row r="99" spans="2:13" x14ac:dyDescent="0.3">
      <c r="B99" s="71"/>
      <c r="C99"/>
      <c r="K99" s="184" t="s">
        <v>1426</v>
      </c>
      <c r="L99" s="90" t="s">
        <v>52</v>
      </c>
      <c r="M99" s="91" t="s">
        <v>1263</v>
      </c>
    </row>
    <row r="100" spans="2:13" x14ac:dyDescent="0.3">
      <c r="B100" s="71"/>
      <c r="C100"/>
      <c r="K100" s="89" t="s">
        <v>788</v>
      </c>
      <c r="L100" s="90" t="s">
        <v>52</v>
      </c>
      <c r="M100" s="91" t="s">
        <v>1263</v>
      </c>
    </row>
    <row r="101" spans="2:13" x14ac:dyDescent="0.3">
      <c r="B101" s="71"/>
      <c r="C101"/>
      <c r="K101" s="184" t="s">
        <v>1503</v>
      </c>
      <c r="L101" s="90" t="s">
        <v>52</v>
      </c>
      <c r="M101" s="91" t="s">
        <v>1263</v>
      </c>
    </row>
    <row r="102" spans="2:13" x14ac:dyDescent="0.3">
      <c r="B102" s="71"/>
      <c r="C102"/>
      <c r="K102" s="89" t="s">
        <v>741</v>
      </c>
      <c r="L102" s="90" t="s">
        <v>51</v>
      </c>
      <c r="M102" s="91" t="s">
        <v>741</v>
      </c>
    </row>
    <row r="103" spans="2:13" x14ac:dyDescent="0.3">
      <c r="B103" s="71"/>
      <c r="C103"/>
      <c r="K103" s="89" t="s">
        <v>349</v>
      </c>
      <c r="L103" s="90" t="s">
        <v>51</v>
      </c>
      <c r="M103" s="91" t="s">
        <v>741</v>
      </c>
    </row>
    <row r="104" spans="2:13" x14ac:dyDescent="0.3">
      <c r="B104" s="71"/>
      <c r="C104"/>
      <c r="K104" s="89" t="s">
        <v>963</v>
      </c>
      <c r="L104" s="90" t="s">
        <v>51</v>
      </c>
      <c r="M104" s="91" t="s">
        <v>741</v>
      </c>
    </row>
    <row r="105" spans="2:13" x14ac:dyDescent="0.3">
      <c r="B105" s="71"/>
      <c r="C105"/>
      <c r="K105" s="180" t="s">
        <v>1387</v>
      </c>
      <c r="L105" s="90" t="s">
        <v>51</v>
      </c>
      <c r="M105" s="91" t="s">
        <v>741</v>
      </c>
    </row>
    <row r="106" spans="2:13" x14ac:dyDescent="0.3">
      <c r="B106" s="71"/>
      <c r="C106"/>
      <c r="K106" s="89" t="s">
        <v>580</v>
      </c>
      <c r="L106" s="90" t="s">
        <v>51</v>
      </c>
      <c r="M106" s="91" t="s">
        <v>741</v>
      </c>
    </row>
    <row r="107" spans="2:13" x14ac:dyDescent="0.3">
      <c r="B107" s="71"/>
      <c r="C107"/>
      <c r="K107" s="184" t="s">
        <v>1266</v>
      </c>
      <c r="L107" s="90" t="s">
        <v>1266</v>
      </c>
      <c r="M107" s="91" t="s">
        <v>1266</v>
      </c>
    </row>
    <row r="108" spans="2:13" x14ac:dyDescent="0.3">
      <c r="B108" s="71"/>
      <c r="C108"/>
      <c r="K108" s="184" t="s">
        <v>1062</v>
      </c>
      <c r="L108" s="90" t="s">
        <v>1266</v>
      </c>
      <c r="M108" s="91" t="s">
        <v>1266</v>
      </c>
    </row>
    <row r="109" spans="2:13" x14ac:dyDescent="0.3">
      <c r="B109" s="71"/>
      <c r="C109"/>
      <c r="K109" s="180" t="s">
        <v>1057</v>
      </c>
      <c r="L109" s="90" t="s">
        <v>1266</v>
      </c>
      <c r="M109" s="91" t="s">
        <v>1266</v>
      </c>
    </row>
    <row r="110" spans="2:13" x14ac:dyDescent="0.3">
      <c r="B110" s="71"/>
      <c r="C110"/>
      <c r="K110" s="184" t="s">
        <v>1064</v>
      </c>
      <c r="L110" s="90" t="s">
        <v>1266</v>
      </c>
      <c r="M110" s="91" t="s">
        <v>1266</v>
      </c>
    </row>
    <row r="111" spans="2:13" x14ac:dyDescent="0.3">
      <c r="B111" s="71"/>
      <c r="C111"/>
      <c r="K111" s="184" t="s">
        <v>242</v>
      </c>
      <c r="L111" s="90" t="s">
        <v>56</v>
      </c>
      <c r="M111" s="91" t="s">
        <v>1339</v>
      </c>
    </row>
    <row r="112" spans="2:13" x14ac:dyDescent="0.3">
      <c r="B112" s="71"/>
      <c r="C112"/>
      <c r="K112" s="89" t="s">
        <v>1267</v>
      </c>
      <c r="L112" s="90" t="s">
        <v>56</v>
      </c>
      <c r="M112" s="91" t="s">
        <v>1339</v>
      </c>
    </row>
    <row r="113" spans="2:13" x14ac:dyDescent="0.3">
      <c r="B113" s="71"/>
      <c r="C113"/>
      <c r="K113" s="89" t="s">
        <v>548</v>
      </c>
      <c r="L113" s="90" t="s">
        <v>56</v>
      </c>
      <c r="M113" s="91" t="s">
        <v>1339</v>
      </c>
    </row>
    <row r="114" spans="2:13" x14ac:dyDescent="0.3">
      <c r="B114" s="71"/>
      <c r="C114"/>
      <c r="K114" s="184" t="s">
        <v>691</v>
      </c>
      <c r="L114" s="90" t="s">
        <v>56</v>
      </c>
      <c r="M114" s="91" t="s">
        <v>1339</v>
      </c>
    </row>
    <row r="115" spans="2:13" x14ac:dyDescent="0.3">
      <c r="B115" s="71"/>
      <c r="C115"/>
      <c r="K115" s="89" t="s">
        <v>913</v>
      </c>
      <c r="L115" s="90" t="s">
        <v>56</v>
      </c>
      <c r="M115" s="91" t="s">
        <v>1339</v>
      </c>
    </row>
    <row r="116" spans="2:13" x14ac:dyDescent="0.3">
      <c r="B116" s="71"/>
      <c r="C116"/>
      <c r="K116" s="89" t="s">
        <v>245</v>
      </c>
      <c r="L116" s="90" t="s">
        <v>56</v>
      </c>
      <c r="M116" s="91" t="s">
        <v>1339</v>
      </c>
    </row>
    <row r="117" spans="2:13" x14ac:dyDescent="0.3">
      <c r="B117" s="71"/>
      <c r="C117"/>
      <c r="K117" s="89" t="s">
        <v>796</v>
      </c>
      <c r="L117" s="90" t="s">
        <v>56</v>
      </c>
      <c r="M117" s="91" t="s">
        <v>1339</v>
      </c>
    </row>
    <row r="118" spans="2:13" x14ac:dyDescent="0.3">
      <c r="B118" s="71"/>
      <c r="C118"/>
      <c r="K118" s="184" t="s">
        <v>119</v>
      </c>
      <c r="L118" s="90" t="s">
        <v>1255</v>
      </c>
      <c r="M118" s="91" t="s">
        <v>119</v>
      </c>
    </row>
    <row r="119" spans="2:13" x14ac:dyDescent="0.3">
      <c r="B119" s="71"/>
      <c r="C119"/>
      <c r="K119" s="89" t="s">
        <v>251</v>
      </c>
      <c r="L119" s="90" t="s">
        <v>1255</v>
      </c>
      <c r="M119" s="91" t="s">
        <v>119</v>
      </c>
    </row>
    <row r="120" spans="2:13" x14ac:dyDescent="0.3">
      <c r="B120" s="71"/>
      <c r="C120"/>
      <c r="K120" s="89" t="s">
        <v>915</v>
      </c>
      <c r="L120" s="90" t="s">
        <v>1255</v>
      </c>
      <c r="M120" s="91" t="s">
        <v>119</v>
      </c>
    </row>
    <row r="121" spans="2:13" x14ac:dyDescent="0.3">
      <c r="B121" s="71"/>
      <c r="C121"/>
      <c r="K121" s="180" t="s">
        <v>1111</v>
      </c>
      <c r="L121" s="90" t="s">
        <v>1255</v>
      </c>
      <c r="M121" s="91" t="s">
        <v>119</v>
      </c>
    </row>
    <row r="122" spans="2:13" x14ac:dyDescent="0.3">
      <c r="B122" s="71"/>
      <c r="C122"/>
      <c r="K122" s="180" t="s">
        <v>1116</v>
      </c>
      <c r="L122" s="90" t="s">
        <v>1255</v>
      </c>
      <c r="M122" s="91" t="s">
        <v>119</v>
      </c>
    </row>
    <row r="123" spans="2:13" x14ac:dyDescent="0.3">
      <c r="B123" s="71"/>
      <c r="C123"/>
      <c r="K123" s="180" t="s">
        <v>1124</v>
      </c>
      <c r="L123" s="90" t="s">
        <v>1255</v>
      </c>
      <c r="M123" s="91" t="s">
        <v>119</v>
      </c>
    </row>
    <row r="124" spans="2:13" x14ac:dyDescent="0.3">
      <c r="B124" s="71"/>
      <c r="C124"/>
      <c r="K124" s="89" t="s">
        <v>256</v>
      </c>
      <c r="L124" s="90" t="s">
        <v>1253</v>
      </c>
      <c r="M124" s="91" t="s">
        <v>20</v>
      </c>
    </row>
    <row r="125" spans="2:13" x14ac:dyDescent="0.3">
      <c r="B125" s="71"/>
      <c r="C125"/>
      <c r="K125" s="184" t="s">
        <v>1059</v>
      </c>
      <c r="L125" s="90" t="s">
        <v>1266</v>
      </c>
      <c r="M125" s="91" t="s">
        <v>1266</v>
      </c>
    </row>
    <row r="126" spans="2:13" x14ac:dyDescent="0.3">
      <c r="B126" s="71"/>
      <c r="C126"/>
      <c r="K126" s="89" t="s">
        <v>393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1000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396</v>
      </c>
      <c r="L128" s="90" t="s">
        <v>57</v>
      </c>
      <c r="M128" s="91" t="s">
        <v>19</v>
      </c>
    </row>
    <row r="129" spans="2:13" x14ac:dyDescent="0.3">
      <c r="B129" s="71"/>
      <c r="C129"/>
      <c r="K129" s="89" t="s">
        <v>866</v>
      </c>
      <c r="L129" s="90" t="s">
        <v>57</v>
      </c>
      <c r="M129" s="91" t="s">
        <v>19</v>
      </c>
    </row>
    <row r="130" spans="2:13" x14ac:dyDescent="0.3">
      <c r="B130" s="71"/>
      <c r="C130"/>
      <c r="K130" s="184" t="s">
        <v>1170</v>
      </c>
      <c r="L130" s="90" t="s">
        <v>1251</v>
      </c>
      <c r="M130" s="91" t="s">
        <v>1170</v>
      </c>
    </row>
    <row r="131" spans="2:13" x14ac:dyDescent="0.3">
      <c r="B131" s="71"/>
      <c r="C131"/>
      <c r="K131" s="184" t="s">
        <v>1178</v>
      </c>
      <c r="L131" s="90" t="s">
        <v>1251</v>
      </c>
      <c r="M131" s="91" t="s">
        <v>1170</v>
      </c>
    </row>
    <row r="132" spans="2:13" x14ac:dyDescent="0.3">
      <c r="B132" s="71"/>
      <c r="C132"/>
      <c r="K132" s="89" t="s">
        <v>442</v>
      </c>
      <c r="L132" s="90" t="s">
        <v>1260</v>
      </c>
      <c r="M132" s="91" t="s">
        <v>1261</v>
      </c>
    </row>
    <row r="133" spans="2:13" x14ac:dyDescent="0.3">
      <c r="B133" s="71"/>
      <c r="C133"/>
      <c r="K133" s="89" t="s">
        <v>817</v>
      </c>
      <c r="L133" s="90" t="s">
        <v>1260</v>
      </c>
      <c r="M133" s="91" t="s">
        <v>1261</v>
      </c>
    </row>
    <row r="134" spans="2:13" x14ac:dyDescent="0.3">
      <c r="B134" s="71"/>
      <c r="C134"/>
      <c r="K134" s="89" t="s">
        <v>412</v>
      </c>
      <c r="L134" s="90" t="s">
        <v>1260</v>
      </c>
      <c r="M134" s="91" t="s">
        <v>1261</v>
      </c>
    </row>
    <row r="135" spans="2:13" x14ac:dyDescent="0.3">
      <c r="B135" s="71"/>
      <c r="C135"/>
      <c r="K135" s="184" t="s">
        <v>467</v>
      </c>
      <c r="L135" s="90" t="s">
        <v>55</v>
      </c>
      <c r="M135" s="91" t="s">
        <v>116</v>
      </c>
    </row>
    <row r="136" spans="2:13" x14ac:dyDescent="0.3">
      <c r="B136" s="71"/>
      <c r="C136"/>
      <c r="K136" s="89" t="s">
        <v>443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483</v>
      </c>
      <c r="L137" s="90" t="s">
        <v>52</v>
      </c>
      <c r="M137" s="91" t="s">
        <v>116</v>
      </c>
    </row>
    <row r="138" spans="2:13" x14ac:dyDescent="0.3">
      <c r="B138" s="71"/>
      <c r="C138"/>
      <c r="K138" s="184" t="s">
        <v>546</v>
      </c>
      <c r="L138" s="90" t="s">
        <v>52</v>
      </c>
      <c r="M138" s="91" t="s">
        <v>116</v>
      </c>
    </row>
    <row r="139" spans="2:13" x14ac:dyDescent="0.3">
      <c r="B139" s="71"/>
      <c r="C139"/>
      <c r="K139" s="89" t="s">
        <v>486</v>
      </c>
      <c r="L139" s="90" t="s">
        <v>56</v>
      </c>
      <c r="M139" s="91" t="s">
        <v>116</v>
      </c>
    </row>
    <row r="140" spans="2:13" x14ac:dyDescent="0.3">
      <c r="B140" s="71"/>
      <c r="C140"/>
      <c r="K140" s="184" t="s">
        <v>1136</v>
      </c>
      <c r="L140" s="90" t="s">
        <v>1255</v>
      </c>
      <c r="M140" s="91" t="s">
        <v>116</v>
      </c>
    </row>
    <row r="141" spans="2:13" x14ac:dyDescent="0.3">
      <c r="B141" s="71"/>
      <c r="C141"/>
      <c r="K141" s="89" t="s">
        <v>260</v>
      </c>
      <c r="L141" s="90" t="s">
        <v>1255</v>
      </c>
      <c r="M141" s="91" t="s">
        <v>116</v>
      </c>
    </row>
    <row r="142" spans="2:13" x14ac:dyDescent="0.3">
      <c r="B142" s="71"/>
      <c r="C142"/>
      <c r="K142" s="184" t="s">
        <v>1138</v>
      </c>
      <c r="L142" s="90" t="s">
        <v>1255</v>
      </c>
      <c r="M142" s="91" t="s">
        <v>116</v>
      </c>
    </row>
    <row r="143" spans="2:13" x14ac:dyDescent="0.3">
      <c r="B143" s="71"/>
      <c r="C143"/>
      <c r="K143" s="180" t="s">
        <v>1142</v>
      </c>
      <c r="L143" s="90" t="s">
        <v>1255</v>
      </c>
      <c r="M143" s="91" t="s">
        <v>116</v>
      </c>
    </row>
    <row r="144" spans="2:13" x14ac:dyDescent="0.3">
      <c r="B144" s="71"/>
      <c r="C144"/>
      <c r="K144" s="89" t="s">
        <v>639</v>
      </c>
      <c r="L144" s="90" t="s">
        <v>54</v>
      </c>
      <c r="M144" s="91" t="s">
        <v>116</v>
      </c>
    </row>
    <row r="145" spans="2:13" x14ac:dyDescent="0.3">
      <c r="B145" s="71"/>
      <c r="C145"/>
      <c r="K145" s="184" t="s">
        <v>511</v>
      </c>
      <c r="L145" s="90" t="s">
        <v>54</v>
      </c>
      <c r="M145" s="91" t="s">
        <v>116</v>
      </c>
    </row>
    <row r="146" spans="2:13" x14ac:dyDescent="0.3">
      <c r="B146" s="71"/>
      <c r="C146"/>
      <c r="K146" s="89" t="s">
        <v>434</v>
      </c>
      <c r="L146" s="90" t="s">
        <v>1268</v>
      </c>
      <c r="M146" s="91" t="s">
        <v>116</v>
      </c>
    </row>
    <row r="147" spans="2:13" x14ac:dyDescent="0.3">
      <c r="B147" s="71"/>
      <c r="C147"/>
      <c r="K147" s="89" t="s">
        <v>351</v>
      </c>
      <c r="L147" s="90" t="s">
        <v>51</v>
      </c>
      <c r="M147" s="91" t="s">
        <v>116</v>
      </c>
    </row>
    <row r="148" spans="2:13" x14ac:dyDescent="0.3">
      <c r="B148" s="71"/>
      <c r="C148"/>
      <c r="K148" s="89" t="s">
        <v>772</v>
      </c>
      <c r="L148" s="90" t="s">
        <v>55</v>
      </c>
      <c r="M148" s="91" t="s">
        <v>116</v>
      </c>
    </row>
    <row r="149" spans="2:13" x14ac:dyDescent="0.3">
      <c r="B149" s="71"/>
      <c r="C149"/>
      <c r="K149" s="184" t="s">
        <v>1052</v>
      </c>
      <c r="L149" s="90" t="s">
        <v>1253</v>
      </c>
      <c r="M149" s="91" t="s">
        <v>116</v>
      </c>
    </row>
    <row r="150" spans="2:13" x14ac:dyDescent="0.3">
      <c r="B150" s="71"/>
      <c r="C150"/>
      <c r="K150" s="184" t="s">
        <v>1315</v>
      </c>
      <c r="L150" s="90" t="s">
        <v>1255</v>
      </c>
      <c r="M150" s="91" t="s">
        <v>116</v>
      </c>
    </row>
    <row r="151" spans="2:13" x14ac:dyDescent="0.3">
      <c r="B151" s="71"/>
      <c r="C151"/>
      <c r="K151" s="180" t="s">
        <v>1046</v>
      </c>
      <c r="L151" s="90" t="s">
        <v>1253</v>
      </c>
      <c r="M151" s="91" t="s">
        <v>116</v>
      </c>
    </row>
    <row r="152" spans="2:13" x14ac:dyDescent="0.3">
      <c r="B152" s="71"/>
      <c r="C152"/>
      <c r="K152" s="184" t="s">
        <v>1604</v>
      </c>
      <c r="L152" s="90" t="s">
        <v>1268</v>
      </c>
      <c r="M152" s="91" t="s">
        <v>116</v>
      </c>
    </row>
    <row r="153" spans="2:13" x14ac:dyDescent="0.3">
      <c r="B153" s="71"/>
      <c r="C153"/>
      <c r="K153" s="89" t="s">
        <v>745</v>
      </c>
      <c r="L153" s="90" t="s">
        <v>51</v>
      </c>
      <c r="M153" s="91" t="s">
        <v>116</v>
      </c>
    </row>
    <row r="154" spans="2:13" x14ac:dyDescent="0.3">
      <c r="B154" s="71"/>
      <c r="C154"/>
      <c r="K154" s="184" t="s">
        <v>1531</v>
      </c>
      <c r="L154" s="90" t="s">
        <v>51</v>
      </c>
      <c r="M154" s="91" t="s">
        <v>116</v>
      </c>
    </row>
    <row r="155" spans="2:13" x14ac:dyDescent="0.3">
      <c r="B155" s="71"/>
      <c r="C155"/>
      <c r="K155" s="89" t="s">
        <v>275</v>
      </c>
      <c r="L155" s="90" t="s">
        <v>1260</v>
      </c>
      <c r="M155" s="91" t="s">
        <v>116</v>
      </c>
    </row>
    <row r="156" spans="2:13" x14ac:dyDescent="0.3">
      <c r="B156" s="71"/>
      <c r="C156"/>
      <c r="K156" s="89" t="s">
        <v>794</v>
      </c>
      <c r="L156" s="90" t="s">
        <v>52</v>
      </c>
      <c r="M156" s="91" t="s">
        <v>116</v>
      </c>
    </row>
    <row r="157" spans="2:13" x14ac:dyDescent="0.3">
      <c r="B157" s="71"/>
      <c r="C157"/>
      <c r="K157" s="184" t="s">
        <v>1050</v>
      </c>
      <c r="L157" s="90" t="s">
        <v>1253</v>
      </c>
      <c r="M157" s="91" t="s">
        <v>116</v>
      </c>
    </row>
    <row r="158" spans="2:13" x14ac:dyDescent="0.3">
      <c r="B158" s="71"/>
      <c r="C158"/>
      <c r="K158" s="184" t="s">
        <v>1327</v>
      </c>
      <c r="L158" s="90" t="s">
        <v>1255</v>
      </c>
      <c r="M158" s="91" t="s">
        <v>150</v>
      </c>
    </row>
    <row r="159" spans="2:13" x14ac:dyDescent="0.3">
      <c r="B159" s="71"/>
      <c r="C159"/>
      <c r="K159" s="180" t="s">
        <v>249</v>
      </c>
      <c r="L159" s="90" t="s">
        <v>1255</v>
      </c>
      <c r="M159" s="91" t="s">
        <v>150</v>
      </c>
    </row>
    <row r="160" spans="2:13" x14ac:dyDescent="0.3">
      <c r="B160" s="71"/>
      <c r="C160"/>
      <c r="K160" s="89" t="s">
        <v>551</v>
      </c>
      <c r="L160" s="90" t="s">
        <v>1255</v>
      </c>
      <c r="M160" s="91" t="s">
        <v>150</v>
      </c>
    </row>
    <row r="161" spans="2:13" x14ac:dyDescent="0.3">
      <c r="B161" s="71"/>
      <c r="C161"/>
      <c r="K161" s="89" t="s">
        <v>947</v>
      </c>
      <c r="L161" s="90" t="s">
        <v>54</v>
      </c>
      <c r="M161" s="91" t="s">
        <v>1269</v>
      </c>
    </row>
    <row r="162" spans="2:13" x14ac:dyDescent="0.3">
      <c r="B162" s="71"/>
      <c r="C162"/>
      <c r="K162" s="184" t="s">
        <v>1209</v>
      </c>
      <c r="L162" s="90" t="s">
        <v>1253</v>
      </c>
      <c r="M162" s="91" t="s">
        <v>1340</v>
      </c>
    </row>
    <row r="163" spans="2:13" x14ac:dyDescent="0.3">
      <c r="B163" s="71"/>
      <c r="C163"/>
      <c r="K163" s="184" t="s">
        <v>1008</v>
      </c>
      <c r="L163" s="90" t="s">
        <v>1253</v>
      </c>
      <c r="M163" s="91" t="s">
        <v>1340</v>
      </c>
    </row>
    <row r="164" spans="2:13" x14ac:dyDescent="0.3">
      <c r="B164" s="71"/>
      <c r="C164"/>
      <c r="K164" s="184" t="s">
        <v>1012</v>
      </c>
      <c r="L164" s="90" t="s">
        <v>1253</v>
      </c>
      <c r="M164" s="91" t="s">
        <v>1257</v>
      </c>
    </row>
    <row r="165" spans="2:13" x14ac:dyDescent="0.3">
      <c r="B165" s="71"/>
      <c r="C165"/>
      <c r="K165" s="89" t="s">
        <v>279</v>
      </c>
      <c r="L165" s="90" t="s">
        <v>1260</v>
      </c>
      <c r="M165" s="91" t="s">
        <v>1270</v>
      </c>
    </row>
    <row r="166" spans="2:13" x14ac:dyDescent="0.3">
      <c r="B166" s="71"/>
      <c r="C166"/>
      <c r="K166" s="89" t="s">
        <v>537</v>
      </c>
      <c r="L166" s="90" t="s">
        <v>55</v>
      </c>
      <c r="M166" s="91" t="s">
        <v>1341</v>
      </c>
    </row>
    <row r="167" spans="2:13" x14ac:dyDescent="0.3">
      <c r="B167" s="71"/>
      <c r="C167"/>
      <c r="K167" s="184" t="s">
        <v>8</v>
      </c>
      <c r="L167" s="90" t="s">
        <v>1220</v>
      </c>
      <c r="M167" s="91" t="s">
        <v>1220</v>
      </c>
    </row>
    <row r="168" spans="2:13" x14ac:dyDescent="0.3">
      <c r="B168" s="71"/>
      <c r="C168"/>
      <c r="K168" s="180" t="s">
        <v>1144</v>
      </c>
      <c r="L168" s="90" t="s">
        <v>1255</v>
      </c>
      <c r="M168" s="91" t="s">
        <v>116</v>
      </c>
    </row>
    <row r="169" spans="2:13" x14ac:dyDescent="0.3">
      <c r="B169" s="71"/>
      <c r="C169"/>
      <c r="K169" s="89" t="s">
        <v>415</v>
      </c>
      <c r="L169" s="90" t="s">
        <v>1260</v>
      </c>
      <c r="M169" s="91" t="s">
        <v>116</v>
      </c>
    </row>
    <row r="170" spans="2:13" x14ac:dyDescent="0.3">
      <c r="B170" s="71"/>
      <c r="C170"/>
      <c r="K170" s="89" t="s">
        <v>849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944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310</v>
      </c>
      <c r="L172" s="90" t="s">
        <v>54</v>
      </c>
      <c r="M172" s="91" t="s">
        <v>116</v>
      </c>
    </row>
    <row r="173" spans="2:13" x14ac:dyDescent="0.3">
      <c r="B173" s="71"/>
      <c r="C173"/>
      <c r="K173" s="89" t="s">
        <v>431</v>
      </c>
      <c r="L173" s="90" t="s">
        <v>54</v>
      </c>
      <c r="M173" s="91" t="s">
        <v>116</v>
      </c>
    </row>
    <row r="174" spans="2:13" x14ac:dyDescent="0.3">
      <c r="B174" s="71"/>
      <c r="C174"/>
      <c r="K174" s="89" t="s">
        <v>854</v>
      </c>
      <c r="L174" s="90" t="s">
        <v>1268</v>
      </c>
      <c r="M174" s="91" t="s">
        <v>116</v>
      </c>
    </row>
    <row r="175" spans="2:13" x14ac:dyDescent="0.3">
      <c r="B175" s="71"/>
      <c r="C175"/>
      <c r="K175" s="89" t="s">
        <v>950</v>
      </c>
      <c r="L175" s="90" t="s">
        <v>1268</v>
      </c>
      <c r="M175" s="91" t="s">
        <v>116</v>
      </c>
    </row>
    <row r="176" spans="2:13" x14ac:dyDescent="0.3">
      <c r="B176" s="71"/>
      <c r="C176"/>
      <c r="K176" s="89" t="s">
        <v>315</v>
      </c>
      <c r="L176" s="90" t="s">
        <v>1268</v>
      </c>
      <c r="M176" s="91" t="s">
        <v>116</v>
      </c>
    </row>
    <row r="177" spans="2:13" x14ac:dyDescent="0.3">
      <c r="B177" s="71"/>
      <c r="C177"/>
      <c r="K177" s="89" t="s">
        <v>514</v>
      </c>
      <c r="L177" s="90" t="s">
        <v>1268</v>
      </c>
      <c r="M177" s="91" t="s">
        <v>116</v>
      </c>
    </row>
    <row r="178" spans="2:13" x14ac:dyDescent="0.3">
      <c r="B178" s="71"/>
      <c r="C178"/>
      <c r="K178" s="89" t="s">
        <v>566</v>
      </c>
      <c r="L178" s="90" t="s">
        <v>1268</v>
      </c>
      <c r="M178" s="91" t="s">
        <v>116</v>
      </c>
    </row>
    <row r="179" spans="2:13" x14ac:dyDescent="0.3">
      <c r="B179" s="71"/>
      <c r="C179"/>
      <c r="K179" s="89" t="s">
        <v>878</v>
      </c>
      <c r="L179" s="90" t="s">
        <v>1444</v>
      </c>
      <c r="M179" s="91" t="s">
        <v>8</v>
      </c>
    </row>
    <row r="180" spans="2:13" x14ac:dyDescent="0.3">
      <c r="B180" s="71"/>
      <c r="C180"/>
      <c r="K180" s="89" t="s">
        <v>354</v>
      </c>
      <c r="L180" s="90" t="s">
        <v>1444</v>
      </c>
      <c r="M180" s="91" t="s">
        <v>8</v>
      </c>
    </row>
    <row r="181" spans="2:13" x14ac:dyDescent="0.3">
      <c r="B181" s="71"/>
      <c r="C181"/>
      <c r="K181" s="89" t="s">
        <v>607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791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910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237</v>
      </c>
      <c r="L184" s="90" t="s">
        <v>52</v>
      </c>
      <c r="M184" s="91" t="s">
        <v>116</v>
      </c>
    </row>
    <row r="185" spans="2:13" x14ac:dyDescent="0.3">
      <c r="B185" s="71"/>
      <c r="C185"/>
      <c r="K185" s="89" t="s">
        <v>403</v>
      </c>
      <c r="L185" s="90" t="s">
        <v>52</v>
      </c>
      <c r="M185" s="91" t="s">
        <v>116</v>
      </c>
    </row>
    <row r="186" spans="2:13" x14ac:dyDescent="0.3">
      <c r="B186" s="71"/>
      <c r="C186"/>
      <c r="K186" s="89" t="s">
        <v>1271</v>
      </c>
      <c r="L186" s="90" t="s">
        <v>52</v>
      </c>
      <c r="M186" s="91" t="s">
        <v>116</v>
      </c>
    </row>
    <row r="187" spans="2:13" x14ac:dyDescent="0.3">
      <c r="B187" s="71"/>
      <c r="C187"/>
      <c r="K187" s="184" t="s">
        <v>1048</v>
      </c>
      <c r="L187" s="90" t="s">
        <v>1253</v>
      </c>
      <c r="M187" s="91" t="s">
        <v>116</v>
      </c>
    </row>
    <row r="188" spans="2:13" x14ac:dyDescent="0.3">
      <c r="B188" s="71"/>
      <c r="C188"/>
      <c r="K188" s="89" t="s">
        <v>675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956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386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1272</v>
      </c>
      <c r="L191" s="90" t="s">
        <v>55</v>
      </c>
      <c r="M191" s="91" t="s">
        <v>116</v>
      </c>
    </row>
    <row r="192" spans="2:13" x14ac:dyDescent="0.3">
      <c r="C192"/>
      <c r="K192" s="89" t="s">
        <v>536</v>
      </c>
      <c r="L192" s="90" t="s">
        <v>55</v>
      </c>
      <c r="M192" s="91" t="s">
        <v>116</v>
      </c>
    </row>
    <row r="193" spans="3:13" x14ac:dyDescent="0.3">
      <c r="C193"/>
      <c r="K193" s="89" t="s">
        <v>598</v>
      </c>
      <c r="L193" s="90" t="s">
        <v>55</v>
      </c>
      <c r="M193" s="91" t="s">
        <v>116</v>
      </c>
    </row>
    <row r="194" spans="3:13" x14ac:dyDescent="0.3">
      <c r="C194"/>
      <c r="K194" t="s">
        <v>1140</v>
      </c>
      <c r="L194" s="157" t="s">
        <v>1255</v>
      </c>
      <c r="M194" s="91" t="s">
        <v>116</v>
      </c>
    </row>
    <row r="195" spans="3:13" x14ac:dyDescent="0.3">
      <c r="C195"/>
      <c r="K195" s="186" t="s">
        <v>806</v>
      </c>
      <c r="L195" s="90" t="s">
        <v>1255</v>
      </c>
      <c r="M195" s="91" t="s">
        <v>116</v>
      </c>
    </row>
    <row r="196" spans="3:13" x14ac:dyDescent="0.3">
      <c r="C196"/>
      <c r="K196" s="186" t="s">
        <v>407</v>
      </c>
      <c r="L196" s="90" t="s">
        <v>1255</v>
      </c>
      <c r="M196" s="91" t="s">
        <v>116</v>
      </c>
    </row>
    <row r="197" spans="3:13" x14ac:dyDescent="0.3">
      <c r="C197"/>
      <c r="K197" s="186" t="s">
        <v>491</v>
      </c>
      <c r="L197" s="90" t="s">
        <v>1255</v>
      </c>
      <c r="M197" s="91" t="s">
        <v>116</v>
      </c>
    </row>
    <row r="198" spans="3:13" x14ac:dyDescent="0.3">
      <c r="C198"/>
      <c r="K198" s="186" t="s">
        <v>876</v>
      </c>
      <c r="L198" s="90" t="s">
        <v>1255</v>
      </c>
      <c r="M198" s="91" t="s">
        <v>116</v>
      </c>
    </row>
    <row r="199" spans="3:13" x14ac:dyDescent="0.3">
      <c r="C199"/>
      <c r="K199" s="186" t="s">
        <v>965</v>
      </c>
      <c r="L199" s="90" t="s">
        <v>1255</v>
      </c>
      <c r="M199" s="91" t="s">
        <v>116</v>
      </c>
    </row>
    <row r="200" spans="3:13" x14ac:dyDescent="0.3">
      <c r="C200"/>
      <c r="K200" s="186" t="s">
        <v>453</v>
      </c>
      <c r="L200" s="90" t="s">
        <v>1255</v>
      </c>
      <c r="M200" s="91" t="s">
        <v>116</v>
      </c>
    </row>
    <row r="201" spans="3:13" x14ac:dyDescent="0.3">
      <c r="C201"/>
      <c r="K201" t="s">
        <v>1328</v>
      </c>
      <c r="L201" s="90" t="s">
        <v>1255</v>
      </c>
      <c r="M201" s="91" t="s">
        <v>116</v>
      </c>
    </row>
    <row r="202" spans="3:13" x14ac:dyDescent="0.3">
      <c r="C202"/>
      <c r="K202" s="186" t="s">
        <v>668</v>
      </c>
      <c r="L202" t="s">
        <v>1444</v>
      </c>
      <c r="M202" t="s">
        <v>14</v>
      </c>
    </row>
    <row r="203" spans="3:13" x14ac:dyDescent="0.3">
      <c r="C203"/>
      <c r="K203" s="186" t="s">
        <v>978</v>
      </c>
      <c r="L203" t="s">
        <v>1444</v>
      </c>
      <c r="M203" t="s">
        <v>14</v>
      </c>
    </row>
    <row r="204" spans="3:13" x14ac:dyDescent="0.3">
      <c r="C204"/>
      <c r="K204" s="186" t="s">
        <v>371</v>
      </c>
      <c r="L204" t="s">
        <v>1444</v>
      </c>
      <c r="M204" t="s">
        <v>14</v>
      </c>
    </row>
    <row r="205" spans="3:13" x14ac:dyDescent="0.3">
      <c r="C205"/>
      <c r="K205" s="186" t="s">
        <v>589</v>
      </c>
      <c r="L205" t="s">
        <v>1444</v>
      </c>
      <c r="M205" t="s">
        <v>14</v>
      </c>
    </row>
    <row r="206" spans="3:13" x14ac:dyDescent="0.3">
      <c r="C206"/>
      <c r="K206" s="186" t="s">
        <v>532</v>
      </c>
      <c r="L206" t="s">
        <v>1444</v>
      </c>
      <c r="M206" t="s">
        <v>14</v>
      </c>
    </row>
    <row r="207" spans="3:13" x14ac:dyDescent="0.3">
      <c r="C207"/>
      <c r="K207" s="186" t="s">
        <v>1273</v>
      </c>
      <c r="L207" t="s">
        <v>1444</v>
      </c>
      <c r="M207" t="s">
        <v>14</v>
      </c>
    </row>
    <row r="208" spans="3:13" x14ac:dyDescent="0.3">
      <c r="C208"/>
      <c r="K208" t="s">
        <v>1409</v>
      </c>
      <c r="L208" t="s">
        <v>1444</v>
      </c>
      <c r="M208" t="s">
        <v>14</v>
      </c>
    </row>
    <row r="209" spans="3:13" x14ac:dyDescent="0.3">
      <c r="C209"/>
      <c r="K209" s="186" t="s">
        <v>240</v>
      </c>
      <c r="L209" t="s">
        <v>1253</v>
      </c>
      <c r="M209" t="s">
        <v>1445</v>
      </c>
    </row>
    <row r="210" spans="3:13" x14ac:dyDescent="0.3">
      <c r="C210"/>
      <c r="K210" s="186" t="s">
        <v>466</v>
      </c>
      <c r="L210" t="s">
        <v>55</v>
      </c>
      <c r="M210" t="s">
        <v>116</v>
      </c>
    </row>
    <row r="211" spans="3:13" x14ac:dyDescent="0.3">
      <c r="C211"/>
      <c r="K211" s="71" t="s">
        <v>1151</v>
      </c>
      <c r="L211" t="s">
        <v>1260</v>
      </c>
      <c r="M211" t="s">
        <v>15</v>
      </c>
    </row>
    <row r="212" spans="3:13" x14ac:dyDescent="0.3">
      <c r="K212" s="186" t="s">
        <v>263</v>
      </c>
      <c r="L212" t="s">
        <v>1260</v>
      </c>
      <c r="M212" t="s">
        <v>15</v>
      </c>
    </row>
    <row r="213" spans="3:13" x14ac:dyDescent="0.3">
      <c r="K213" s="186" t="s">
        <v>409</v>
      </c>
      <c r="L213" t="s">
        <v>1260</v>
      </c>
      <c r="M213" t="s">
        <v>15</v>
      </c>
    </row>
    <row r="214" spans="3:13" x14ac:dyDescent="0.3">
      <c r="K214" t="s">
        <v>1551</v>
      </c>
      <c r="L214" t="s">
        <v>1255</v>
      </c>
      <c r="M214" t="s">
        <v>195</v>
      </c>
    </row>
    <row r="215" spans="3:13" x14ac:dyDescent="0.3">
      <c r="K215" s="71" t="s">
        <v>1106</v>
      </c>
      <c r="L215" t="s">
        <v>1255</v>
      </c>
      <c r="M215" t="s">
        <v>195</v>
      </c>
    </row>
    <row r="216" spans="3:13" x14ac:dyDescent="0.3">
      <c r="K216" s="71" t="s">
        <v>641</v>
      </c>
      <c r="L216" t="s">
        <v>54</v>
      </c>
      <c r="M216" t="s">
        <v>1269</v>
      </c>
    </row>
    <row r="217" spans="3:13" x14ac:dyDescent="0.3">
      <c r="K217" s="186" t="s">
        <v>285</v>
      </c>
      <c r="L217" t="s">
        <v>1260</v>
      </c>
      <c r="M217" t="s">
        <v>1448</v>
      </c>
    </row>
    <row r="218" spans="3:13" x14ac:dyDescent="0.3">
      <c r="K218" s="186" t="s">
        <v>1274</v>
      </c>
      <c r="L218" t="s">
        <v>54</v>
      </c>
      <c r="M218" t="s">
        <v>1269</v>
      </c>
    </row>
    <row r="219" spans="3:13" x14ac:dyDescent="0.3">
      <c r="K219" t="s">
        <v>1128</v>
      </c>
      <c r="L219" t="s">
        <v>1255</v>
      </c>
      <c r="M219" t="s">
        <v>137</v>
      </c>
    </row>
    <row r="220" spans="3:13" x14ac:dyDescent="0.3">
      <c r="K220" s="71" t="s">
        <v>1130</v>
      </c>
      <c r="L220" t="s">
        <v>1255</v>
      </c>
      <c r="M220" t="s">
        <v>137</v>
      </c>
    </row>
    <row r="221" spans="3:13" x14ac:dyDescent="0.3">
      <c r="K221" s="186" t="s">
        <v>282</v>
      </c>
      <c r="L221" t="s">
        <v>1260</v>
      </c>
      <c r="M221" t="s">
        <v>1448</v>
      </c>
    </row>
    <row r="222" spans="3:13" x14ac:dyDescent="0.3">
      <c r="K222" s="186" t="s">
        <v>743</v>
      </c>
      <c r="L222" t="s">
        <v>1260</v>
      </c>
      <c r="M222" t="s">
        <v>17</v>
      </c>
    </row>
    <row r="223" spans="3:13" x14ac:dyDescent="0.3">
      <c r="K223" s="186" t="s">
        <v>523</v>
      </c>
      <c r="L223" t="s">
        <v>1260</v>
      </c>
      <c r="M223" t="s">
        <v>17</v>
      </c>
    </row>
    <row r="224" spans="3:13" x14ac:dyDescent="0.3">
      <c r="K224" s="186" t="s">
        <v>452</v>
      </c>
      <c r="L224" t="s">
        <v>1220</v>
      </c>
      <c r="M224" t="s">
        <v>17</v>
      </c>
    </row>
    <row r="225" spans="11:13" x14ac:dyDescent="0.3">
      <c r="K225" s="71" t="s">
        <v>1351</v>
      </c>
      <c r="L225" t="s">
        <v>55</v>
      </c>
      <c r="M225" t="s">
        <v>1341</v>
      </c>
    </row>
    <row r="226" spans="11:13" x14ac:dyDescent="0.3">
      <c r="K226" s="186" t="s">
        <v>390</v>
      </c>
      <c r="L226" t="s">
        <v>55</v>
      </c>
      <c r="M226" t="s">
        <v>1341</v>
      </c>
    </row>
    <row r="227" spans="11:13" x14ac:dyDescent="0.3">
      <c r="K227" s="186" t="s">
        <v>470</v>
      </c>
      <c r="L227" t="s">
        <v>55</v>
      </c>
      <c r="M227" t="s">
        <v>1341</v>
      </c>
    </row>
    <row r="228" spans="11:13" x14ac:dyDescent="0.3">
      <c r="K228" s="186" t="s">
        <v>988</v>
      </c>
      <c r="L228" t="s">
        <v>55</v>
      </c>
      <c r="M228" t="s">
        <v>1341</v>
      </c>
    </row>
    <row r="229" spans="11:13" x14ac:dyDescent="0.3">
      <c r="K229" s="186" t="s">
        <v>388</v>
      </c>
      <c r="L229" t="s">
        <v>55</v>
      </c>
      <c r="M229" t="s">
        <v>1341</v>
      </c>
    </row>
    <row r="230" spans="11:13" x14ac:dyDescent="0.3">
      <c r="K230" s="186" t="s">
        <v>900</v>
      </c>
      <c r="L230" t="s">
        <v>55</v>
      </c>
      <c r="M230" t="s">
        <v>1341</v>
      </c>
    </row>
    <row r="231" spans="11:13" x14ac:dyDescent="0.3">
      <c r="K231" t="s">
        <v>1181</v>
      </c>
      <c r="L231" t="s">
        <v>1251</v>
      </c>
      <c r="M231" t="s">
        <v>1181</v>
      </c>
    </row>
    <row r="232" spans="11:13" x14ac:dyDescent="0.3">
      <c r="K232" t="s">
        <v>1184</v>
      </c>
      <c r="L232" t="s">
        <v>1251</v>
      </c>
      <c r="M232" t="s">
        <v>1184</v>
      </c>
    </row>
    <row r="233" spans="11:13" x14ac:dyDescent="0.3">
      <c r="K233" s="186" t="s">
        <v>392</v>
      </c>
      <c r="L233" t="s">
        <v>1260</v>
      </c>
      <c r="M233" t="s">
        <v>1447</v>
      </c>
    </row>
    <row r="234" spans="11:13" x14ac:dyDescent="0.3">
      <c r="K234" s="186" t="s">
        <v>680</v>
      </c>
      <c r="L234" t="s">
        <v>1260</v>
      </c>
      <c r="M234" t="s">
        <v>1447</v>
      </c>
    </row>
    <row r="235" spans="11:13" x14ac:dyDescent="0.3">
      <c r="K235" s="186" t="s">
        <v>472</v>
      </c>
      <c r="L235" t="s">
        <v>1260</v>
      </c>
      <c r="M235" t="s">
        <v>1447</v>
      </c>
    </row>
    <row r="236" spans="11:13" x14ac:dyDescent="0.3">
      <c r="K236" t="s">
        <v>1509</v>
      </c>
      <c r="L236" t="s">
        <v>1260</v>
      </c>
      <c r="M236" t="s">
        <v>1447</v>
      </c>
    </row>
    <row r="237" spans="11:13" x14ac:dyDescent="0.3">
      <c r="K237" t="s">
        <v>778</v>
      </c>
      <c r="L237" t="s">
        <v>1260</v>
      </c>
      <c r="M237" t="s">
        <v>1447</v>
      </c>
    </row>
    <row r="238" spans="11:13" x14ac:dyDescent="0.3">
      <c r="K238" s="186" t="s">
        <v>489</v>
      </c>
      <c r="L238" t="s">
        <v>1255</v>
      </c>
      <c r="M238" t="s">
        <v>119</v>
      </c>
    </row>
    <row r="239" spans="11:13" x14ac:dyDescent="0.3">
      <c r="K239" s="186" t="s">
        <v>882</v>
      </c>
      <c r="L239" t="s">
        <v>1255</v>
      </c>
      <c r="M239" t="s">
        <v>119</v>
      </c>
    </row>
    <row r="240" spans="11:13" x14ac:dyDescent="0.3">
      <c r="K240" t="s">
        <v>972</v>
      </c>
      <c r="L240" t="s">
        <v>54</v>
      </c>
      <c r="M240" t="s">
        <v>1269</v>
      </c>
    </row>
    <row r="241" spans="11:13" x14ac:dyDescent="0.3">
      <c r="K241" s="186" t="s">
        <v>323</v>
      </c>
      <c r="L241" t="s">
        <v>1268</v>
      </c>
      <c r="M241" t="s">
        <v>1269</v>
      </c>
    </row>
    <row r="242" spans="11:13" x14ac:dyDescent="0.3">
      <c r="K242" s="186" t="s">
        <v>856</v>
      </c>
      <c r="L242" t="s">
        <v>1268</v>
      </c>
      <c r="M242" t="s">
        <v>1269</v>
      </c>
    </row>
    <row r="243" spans="11:13" x14ac:dyDescent="0.3">
      <c r="K243" s="186" t="s">
        <v>952</v>
      </c>
      <c r="L243" t="s">
        <v>1268</v>
      </c>
      <c r="M243" t="s">
        <v>1269</v>
      </c>
    </row>
    <row r="244" spans="11:13" x14ac:dyDescent="0.3">
      <c r="K244" s="186" t="s">
        <v>317</v>
      </c>
      <c r="L244" t="s">
        <v>1268</v>
      </c>
      <c r="M244" t="s">
        <v>1269</v>
      </c>
    </row>
    <row r="245" spans="11:13" x14ac:dyDescent="0.3">
      <c r="K245" s="186" t="s">
        <v>435</v>
      </c>
      <c r="L245" t="s">
        <v>1268</v>
      </c>
      <c r="M245" t="s">
        <v>1269</v>
      </c>
    </row>
    <row r="246" spans="11:13" x14ac:dyDescent="0.3">
      <c r="K246" s="186" t="s">
        <v>515</v>
      </c>
      <c r="L246" t="s">
        <v>1268</v>
      </c>
      <c r="M246" t="s">
        <v>1269</v>
      </c>
    </row>
    <row r="247" spans="11:13" x14ac:dyDescent="0.3">
      <c r="K247" s="186" t="s">
        <v>567</v>
      </c>
      <c r="L247" t="s">
        <v>1268</v>
      </c>
      <c r="M247" t="s">
        <v>1269</v>
      </c>
    </row>
    <row r="248" spans="11:13" x14ac:dyDescent="0.3">
      <c r="K248" s="186" t="s">
        <v>730</v>
      </c>
      <c r="L248" t="s">
        <v>1268</v>
      </c>
      <c r="M248" t="s">
        <v>1269</v>
      </c>
    </row>
    <row r="249" spans="11:13" x14ac:dyDescent="0.3">
      <c r="K249" s="186" t="s">
        <v>361</v>
      </c>
      <c r="L249" t="s">
        <v>51</v>
      </c>
      <c r="M249" t="s">
        <v>1269</v>
      </c>
    </row>
    <row r="250" spans="11:13" x14ac:dyDescent="0.3">
      <c r="K250" s="186" t="s">
        <v>879</v>
      </c>
      <c r="L250" t="s">
        <v>51</v>
      </c>
      <c r="M250" t="s">
        <v>1269</v>
      </c>
    </row>
    <row r="251" spans="11:13" x14ac:dyDescent="0.3">
      <c r="K251" s="186" t="s">
        <v>433</v>
      </c>
      <c r="L251" t="s">
        <v>54</v>
      </c>
      <c r="M251" t="s">
        <v>1269</v>
      </c>
    </row>
    <row r="252" spans="11:13" x14ac:dyDescent="0.3">
      <c r="K252" s="186" t="s">
        <v>513</v>
      </c>
      <c r="L252" t="s">
        <v>54</v>
      </c>
      <c r="M252" t="s">
        <v>1269</v>
      </c>
    </row>
    <row r="253" spans="11:13" x14ac:dyDescent="0.3">
      <c r="K253" s="186" t="s">
        <v>851</v>
      </c>
      <c r="L253" t="s">
        <v>54</v>
      </c>
      <c r="M253" t="s">
        <v>1269</v>
      </c>
    </row>
    <row r="254" spans="11:13" x14ac:dyDescent="0.3">
      <c r="K254" s="186" t="s">
        <v>945</v>
      </c>
      <c r="L254" t="s">
        <v>54</v>
      </c>
      <c r="M254" t="s">
        <v>1269</v>
      </c>
    </row>
    <row r="255" spans="11:13" x14ac:dyDescent="0.3">
      <c r="K255" s="186" t="s">
        <v>312</v>
      </c>
      <c r="L255" t="s">
        <v>54</v>
      </c>
      <c r="M255" t="s">
        <v>1269</v>
      </c>
    </row>
    <row r="256" spans="11:13" x14ac:dyDescent="0.3">
      <c r="K256" t="s">
        <v>1331</v>
      </c>
      <c r="L256" t="s">
        <v>54</v>
      </c>
      <c r="M256" t="s">
        <v>1269</v>
      </c>
    </row>
    <row r="257" spans="11:13" x14ac:dyDescent="0.3">
      <c r="K257" s="186" t="s">
        <v>1275</v>
      </c>
      <c r="L257" t="s">
        <v>54</v>
      </c>
      <c r="M257" t="s">
        <v>1269</v>
      </c>
    </row>
    <row r="258" spans="11:13" x14ac:dyDescent="0.3">
      <c r="K258" s="71" t="s">
        <v>1390</v>
      </c>
      <c r="L258" t="s">
        <v>54</v>
      </c>
      <c r="M258" t="s">
        <v>1269</v>
      </c>
    </row>
    <row r="259" spans="11:13" x14ac:dyDescent="0.3">
      <c r="K259" t="s">
        <v>724</v>
      </c>
      <c r="L259" t="s">
        <v>54</v>
      </c>
      <c r="M259" t="s">
        <v>1269</v>
      </c>
    </row>
    <row r="260" spans="11:13" x14ac:dyDescent="0.3">
      <c r="K260" s="186" t="s">
        <v>529</v>
      </c>
      <c r="L260" t="s">
        <v>51</v>
      </c>
      <c r="M260" t="s">
        <v>1269</v>
      </c>
    </row>
    <row r="261" spans="11:13" x14ac:dyDescent="0.3">
      <c r="K261" s="186" t="s">
        <v>968</v>
      </c>
      <c r="L261" t="s">
        <v>51</v>
      </c>
      <c r="M261" t="s">
        <v>1269</v>
      </c>
    </row>
    <row r="262" spans="11:13" x14ac:dyDescent="0.3">
      <c r="K262" s="186" t="s">
        <v>356</v>
      </c>
      <c r="L262" t="s">
        <v>51</v>
      </c>
      <c r="M262" t="s">
        <v>1269</v>
      </c>
    </row>
    <row r="263" spans="11:13" x14ac:dyDescent="0.3">
      <c r="K263" s="186" t="s">
        <v>455</v>
      </c>
      <c r="L263" t="s">
        <v>51</v>
      </c>
      <c r="M263" t="s">
        <v>1269</v>
      </c>
    </row>
    <row r="264" spans="11:13" x14ac:dyDescent="0.3">
      <c r="K264" s="186" t="s">
        <v>526</v>
      </c>
      <c r="L264" t="s">
        <v>51</v>
      </c>
      <c r="M264" t="s">
        <v>1269</v>
      </c>
    </row>
    <row r="265" spans="11:13" x14ac:dyDescent="0.3">
      <c r="K265" s="186" t="s">
        <v>584</v>
      </c>
      <c r="L265" t="s">
        <v>51</v>
      </c>
      <c r="M265" t="s">
        <v>1269</v>
      </c>
    </row>
    <row r="266" spans="11:13" x14ac:dyDescent="0.3">
      <c r="K266" s="186" t="s">
        <v>750</v>
      </c>
      <c r="L266" t="s">
        <v>51</v>
      </c>
      <c r="M266" t="s">
        <v>1269</v>
      </c>
    </row>
    <row r="267" spans="11:13" x14ac:dyDescent="0.3">
      <c r="K267" s="186" t="s">
        <v>886</v>
      </c>
      <c r="L267" t="s">
        <v>51</v>
      </c>
      <c r="M267" t="s">
        <v>1269</v>
      </c>
    </row>
    <row r="268" spans="11:13" x14ac:dyDescent="0.3">
      <c r="K268" s="186" t="s">
        <v>970</v>
      </c>
      <c r="L268" t="s">
        <v>51</v>
      </c>
      <c r="M268" t="s">
        <v>1269</v>
      </c>
    </row>
    <row r="269" spans="11:13" x14ac:dyDescent="0.3">
      <c r="K269" s="186" t="s">
        <v>586</v>
      </c>
      <c r="L269" t="s">
        <v>51</v>
      </c>
      <c r="M269" t="s">
        <v>1269</v>
      </c>
    </row>
    <row r="270" spans="11:13" x14ac:dyDescent="0.3">
      <c r="K270" s="186" t="s">
        <v>365</v>
      </c>
      <c r="L270" t="s">
        <v>51</v>
      </c>
      <c r="M270" t="s">
        <v>1269</v>
      </c>
    </row>
    <row r="271" spans="11:13" x14ac:dyDescent="0.3">
      <c r="K271" s="186" t="s">
        <v>527</v>
      </c>
      <c r="L271" t="s">
        <v>51</v>
      </c>
      <c r="M271" t="s">
        <v>1269</v>
      </c>
    </row>
    <row r="272" spans="11:13" x14ac:dyDescent="0.3">
      <c r="K272" s="71" t="s">
        <v>587</v>
      </c>
      <c r="L272" t="s">
        <v>51</v>
      </c>
      <c r="M272" t="s">
        <v>1269</v>
      </c>
    </row>
    <row r="273" spans="11:13" x14ac:dyDescent="0.3">
      <c r="K273" s="186" t="s">
        <v>747</v>
      </c>
      <c r="L273" t="s">
        <v>51</v>
      </c>
      <c r="M273" t="s">
        <v>1269</v>
      </c>
    </row>
    <row r="274" spans="11:13" x14ac:dyDescent="0.3">
      <c r="K274" s="186" t="s">
        <v>990</v>
      </c>
      <c r="L274" t="s">
        <v>55</v>
      </c>
      <c r="M274" t="s">
        <v>1341</v>
      </c>
    </row>
    <row r="275" spans="11:13" x14ac:dyDescent="0.3">
      <c r="K275" s="186" t="s">
        <v>469</v>
      </c>
      <c r="L275" t="s">
        <v>55</v>
      </c>
      <c r="M275" t="s">
        <v>1341</v>
      </c>
    </row>
    <row r="276" spans="11:13" x14ac:dyDescent="0.3">
      <c r="K276" s="71" t="s">
        <v>1190</v>
      </c>
      <c r="L276" t="s">
        <v>1276</v>
      </c>
      <c r="M276" t="s">
        <v>8</v>
      </c>
    </row>
    <row r="277" spans="11:13" x14ac:dyDescent="0.3">
      <c r="K277" t="s">
        <v>1195</v>
      </c>
      <c r="L277" t="s">
        <v>1276</v>
      </c>
      <c r="M277" t="s">
        <v>8</v>
      </c>
    </row>
    <row r="278" spans="11:13" x14ac:dyDescent="0.3">
      <c r="K278" t="s">
        <v>1234</v>
      </c>
      <c r="L278" t="s">
        <v>1256</v>
      </c>
      <c r="M278" t="s">
        <v>1256</v>
      </c>
    </row>
    <row r="279" spans="11:13" x14ac:dyDescent="0.3">
      <c r="K279" t="s">
        <v>1003</v>
      </c>
      <c r="L279" t="s">
        <v>1253</v>
      </c>
      <c r="M279" t="s">
        <v>1256</v>
      </c>
    </row>
    <row r="280" spans="11:13" x14ac:dyDescent="0.3">
      <c r="K280" t="s">
        <v>1056</v>
      </c>
      <c r="L280" t="s">
        <v>1253</v>
      </c>
      <c r="M280" t="s">
        <v>1256</v>
      </c>
    </row>
    <row r="281" spans="11:13" x14ac:dyDescent="0.3">
      <c r="K281" t="s">
        <v>1188</v>
      </c>
      <c r="L281" t="s">
        <v>1253</v>
      </c>
      <c r="M281" t="s">
        <v>1256</v>
      </c>
    </row>
    <row r="282" spans="11:13" x14ac:dyDescent="0.3">
      <c r="K282" t="s">
        <v>1030</v>
      </c>
      <c r="L282" t="s">
        <v>1253</v>
      </c>
      <c r="M282" t="s">
        <v>1257</v>
      </c>
    </row>
    <row r="283" spans="11:13" x14ac:dyDescent="0.3">
      <c r="K283" s="71" t="s">
        <v>1201</v>
      </c>
      <c r="L283" t="s">
        <v>1258</v>
      </c>
      <c r="M283" t="s">
        <v>1277</v>
      </c>
    </row>
    <row r="284" spans="11:13" x14ac:dyDescent="0.3">
      <c r="K284" t="s">
        <v>1220</v>
      </c>
      <c r="L284" t="s">
        <v>1220</v>
      </c>
      <c r="M284" t="s">
        <v>1278</v>
      </c>
    </row>
    <row r="285" spans="11:13" x14ac:dyDescent="0.3">
      <c r="K285" t="s">
        <v>1222</v>
      </c>
      <c r="L285" t="s">
        <v>1220</v>
      </c>
      <c r="M285" t="s">
        <v>1278</v>
      </c>
    </row>
    <row r="286" spans="11:13" x14ac:dyDescent="0.3">
      <c r="K286" t="s">
        <v>1205</v>
      </c>
      <c r="L286" t="s">
        <v>1220</v>
      </c>
      <c r="M286" t="s">
        <v>1278</v>
      </c>
    </row>
    <row r="287" spans="11:13" x14ac:dyDescent="0.3">
      <c r="K287" s="71" t="s">
        <v>1203</v>
      </c>
      <c r="L287" t="s">
        <v>1220</v>
      </c>
      <c r="M287" t="s">
        <v>1278</v>
      </c>
    </row>
    <row r="288" spans="11:13" x14ac:dyDescent="0.3">
      <c r="K288" t="s">
        <v>1163</v>
      </c>
      <c r="L288" t="s">
        <v>1253</v>
      </c>
      <c r="M288" t="s">
        <v>16</v>
      </c>
    </row>
    <row r="289" spans="11:13" x14ac:dyDescent="0.3">
      <c r="K289" s="186" t="s">
        <v>333</v>
      </c>
      <c r="L289" t="s">
        <v>1253</v>
      </c>
      <c r="M289" t="s">
        <v>16</v>
      </c>
    </row>
    <row r="290" spans="11:13" x14ac:dyDescent="0.3">
      <c r="K290" s="186" t="s">
        <v>957</v>
      </c>
      <c r="L290" t="s">
        <v>1253</v>
      </c>
      <c r="M290" t="s">
        <v>16</v>
      </c>
    </row>
    <row r="291" spans="11:13" x14ac:dyDescent="0.3">
      <c r="K291" t="s">
        <v>1166</v>
      </c>
      <c r="L291" t="s">
        <v>1253</v>
      </c>
      <c r="M291" t="s">
        <v>16</v>
      </c>
    </row>
    <row r="292" spans="11:13" x14ac:dyDescent="0.3">
      <c r="K292" s="186" t="s">
        <v>868</v>
      </c>
      <c r="L292" t="s">
        <v>1253</v>
      </c>
      <c r="M292" t="s">
        <v>16</v>
      </c>
    </row>
    <row r="293" spans="11:13" x14ac:dyDescent="0.3">
      <c r="K293" s="71" t="s">
        <v>1279</v>
      </c>
      <c r="L293" t="s">
        <v>1253</v>
      </c>
      <c r="M293" t="s">
        <v>16</v>
      </c>
    </row>
    <row r="294" spans="11:13" x14ac:dyDescent="0.3">
      <c r="K294" t="s">
        <v>1329</v>
      </c>
      <c r="L294" t="s">
        <v>1253</v>
      </c>
      <c r="M294" t="s">
        <v>16</v>
      </c>
    </row>
    <row r="295" spans="11:13" x14ac:dyDescent="0.3">
      <c r="K295" t="s">
        <v>1414</v>
      </c>
      <c r="L295" t="s">
        <v>1253</v>
      </c>
      <c r="M295" t="s">
        <v>16</v>
      </c>
    </row>
    <row r="296" spans="11:13" x14ac:dyDescent="0.3">
      <c r="K296" t="s">
        <v>1423</v>
      </c>
      <c r="L296" t="s">
        <v>1253</v>
      </c>
      <c r="M296" t="s">
        <v>16</v>
      </c>
    </row>
    <row r="297" spans="11:13" x14ac:dyDescent="0.3">
      <c r="K297" s="186" t="s">
        <v>335</v>
      </c>
      <c r="L297" t="s">
        <v>1253</v>
      </c>
      <c r="M297" t="s">
        <v>16</v>
      </c>
    </row>
    <row r="298" spans="11:13" x14ac:dyDescent="0.3">
      <c r="K298" s="186" t="s">
        <v>517</v>
      </c>
      <c r="L298" t="s">
        <v>1253</v>
      </c>
      <c r="M298" t="s">
        <v>16</v>
      </c>
    </row>
    <row r="299" spans="11:13" x14ac:dyDescent="0.3">
      <c r="K299" s="186" t="s">
        <v>571</v>
      </c>
      <c r="L299" t="s">
        <v>1253</v>
      </c>
      <c r="M299" t="s">
        <v>16</v>
      </c>
    </row>
  </sheetData>
  <sortState xmlns:xlrd2="http://schemas.microsoft.com/office/spreadsheetml/2017/richdata2" ref="K4:M299">
    <sortCondition ref="K4:K29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sqref="A1:O4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1443</v>
      </c>
      <c r="D1" s="71"/>
      <c r="E1" s="71" t="s">
        <v>611</v>
      </c>
      <c r="F1" s="71">
        <v>1</v>
      </c>
      <c r="G1" s="185" t="s">
        <v>1407</v>
      </c>
      <c r="H1" s="185"/>
      <c r="I1" s="185">
        <v>46174</v>
      </c>
      <c r="J1" s="71"/>
      <c r="M1" s="71"/>
      <c r="N1" s="71"/>
      <c r="O1" s="71" t="s">
        <v>1057</v>
      </c>
    </row>
    <row r="2" spans="1:15" x14ac:dyDescent="0.3">
      <c r="A2" s="71">
        <v>30</v>
      </c>
      <c r="B2" s="71">
        <v>902</v>
      </c>
      <c r="C2" s="71" t="s">
        <v>1440</v>
      </c>
      <c r="D2" s="71"/>
      <c r="E2" s="71" t="s">
        <v>611</v>
      </c>
      <c r="F2" s="71">
        <v>1</v>
      </c>
      <c r="G2" s="185" t="s">
        <v>1407</v>
      </c>
      <c r="H2" s="185"/>
      <c r="I2" s="185">
        <v>43983</v>
      </c>
      <c r="J2" s="71"/>
      <c r="M2" s="71"/>
      <c r="N2" s="71"/>
      <c r="O2" s="71" t="s">
        <v>1057</v>
      </c>
    </row>
    <row r="3" spans="1:15" x14ac:dyDescent="0.3">
      <c r="A3" s="71">
        <v>30</v>
      </c>
      <c r="B3" s="71">
        <v>903</v>
      </c>
      <c r="C3" s="71" t="s">
        <v>1441</v>
      </c>
      <c r="D3" s="71"/>
      <c r="E3" s="71" t="s">
        <v>611</v>
      </c>
      <c r="F3" s="71">
        <v>1</v>
      </c>
      <c r="G3" s="185" t="s">
        <v>1407</v>
      </c>
      <c r="H3" s="185"/>
      <c r="I3" s="185">
        <v>43983</v>
      </c>
      <c r="J3" s="71"/>
      <c r="M3" s="71"/>
      <c r="N3" s="71"/>
      <c r="O3" s="71" t="s">
        <v>1057</v>
      </c>
    </row>
    <row r="4" spans="1:15" x14ac:dyDescent="0.3">
      <c r="A4" s="71">
        <v>6</v>
      </c>
      <c r="B4" s="71">
        <v>9004</v>
      </c>
      <c r="C4" s="71" t="s">
        <v>1442</v>
      </c>
      <c r="D4" s="71"/>
      <c r="E4" s="71" t="s">
        <v>297</v>
      </c>
      <c r="F4" s="71">
        <v>1</v>
      </c>
      <c r="G4" s="185" t="s">
        <v>1407</v>
      </c>
      <c r="H4" s="185"/>
      <c r="I4" s="185">
        <v>46156</v>
      </c>
      <c r="J4" s="71"/>
      <c r="M4" s="71"/>
      <c r="N4" s="71"/>
      <c r="O4" s="71" t="s">
        <v>354</v>
      </c>
    </row>
    <row r="5" spans="1:15" x14ac:dyDescent="0.3">
      <c r="A5" s="71"/>
      <c r="B5" s="71"/>
      <c r="C5" s="71"/>
      <c r="D5" s="71"/>
      <c r="E5" s="71"/>
      <c r="F5" s="71"/>
      <c r="G5" s="185"/>
      <c r="H5" s="185"/>
      <c r="I5" s="185"/>
      <c r="O5" s="7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1295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1296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1297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1298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1299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1300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1301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1302</v>
      </c>
    </row>
    <row r="11" spans="1:16" x14ac:dyDescent="0.3">
      <c r="A11" s="54" t="s">
        <v>1303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1304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1304</v>
      </c>
    </row>
    <row r="13" spans="1:16" x14ac:dyDescent="0.3">
      <c r="A13" s="60" t="s">
        <v>1305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1302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1306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1307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1308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1302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1295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1296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1297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1298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1299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1300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1301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1302</v>
      </c>
    </row>
    <row r="11" spans="1:16" x14ac:dyDescent="0.3">
      <c r="A11" s="54" t="s">
        <v>1303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1304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1304</v>
      </c>
    </row>
    <row r="13" spans="1:16" x14ac:dyDescent="0.3">
      <c r="A13" s="60" t="s">
        <v>1305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1302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1306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1307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1308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1302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1295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1296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1297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1298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1299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1300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1301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1302</v>
      </c>
    </row>
    <row r="11" spans="1:16" x14ac:dyDescent="0.3">
      <c r="A11" s="54" t="s">
        <v>1303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1304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1304</v>
      </c>
    </row>
    <row r="13" spans="1:16" x14ac:dyDescent="0.3">
      <c r="A13" s="60" t="s">
        <v>1305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1302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1306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1307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1308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1302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1295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1296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1297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1298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1299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1300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1301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1302</v>
      </c>
    </row>
    <row r="11" spans="1:16" x14ac:dyDescent="0.3">
      <c r="A11" s="54" t="s">
        <v>1303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1304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1304</v>
      </c>
    </row>
    <row r="13" spans="1:16" x14ac:dyDescent="0.3">
      <c r="A13" s="60" t="s">
        <v>1305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1302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1306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1307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1308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1302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1295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1296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1297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1298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1299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1300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1301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1302</v>
      </c>
    </row>
    <row r="11" spans="1:16" x14ac:dyDescent="0.3">
      <c r="A11" s="54" t="s">
        <v>1303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1304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1304</v>
      </c>
    </row>
    <row r="13" spans="1:16" x14ac:dyDescent="0.3">
      <c r="A13" s="60" t="s">
        <v>1305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1302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1306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1307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1308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1302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1295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1296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1297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1298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1299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1300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1301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1302</v>
      </c>
    </row>
    <row r="11" spans="1:16" x14ac:dyDescent="0.3">
      <c r="A11" s="54" t="s">
        <v>1303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1304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1304</v>
      </c>
    </row>
    <row r="13" spans="1:16" x14ac:dyDescent="0.3">
      <c r="A13" s="60" t="s">
        <v>1305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1302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1306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1307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1308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1302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1295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1296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1297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1298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1299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1300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1301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1302</v>
      </c>
    </row>
    <row r="11" spans="1:16" x14ac:dyDescent="0.3">
      <c r="A11" s="54" t="s">
        <v>1303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1304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1304</v>
      </c>
    </row>
    <row r="13" spans="1:16" x14ac:dyDescent="0.3">
      <c r="A13" s="60" t="s">
        <v>1305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1302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1306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1307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1308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1302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1295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1296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1297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1298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1299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1300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1301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1302</v>
      </c>
    </row>
    <row r="11" spans="1:16" x14ac:dyDescent="0.3">
      <c r="A11" s="54" t="s">
        <v>1303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1304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1304</v>
      </c>
    </row>
    <row r="13" spans="1:16" x14ac:dyDescent="0.3">
      <c r="A13" s="60" t="s">
        <v>1305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1302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1306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1307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1308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1302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1280</v>
      </c>
      <c r="B1" s="47" t="s">
        <v>1281</v>
      </c>
      <c r="C1" s="47" t="s">
        <v>1282</v>
      </c>
      <c r="D1" s="47" t="s">
        <v>1283</v>
      </c>
      <c r="E1" s="47" t="s">
        <v>1284</v>
      </c>
      <c r="F1" s="47" t="s">
        <v>1285</v>
      </c>
      <c r="G1" s="47" t="s">
        <v>1286</v>
      </c>
      <c r="H1" s="47" t="s">
        <v>1287</v>
      </c>
      <c r="I1" s="47" t="s">
        <v>1288</v>
      </c>
      <c r="J1" s="47" t="s">
        <v>1289</v>
      </c>
      <c r="K1" s="47" t="s">
        <v>1290</v>
      </c>
      <c r="L1" s="47" t="s">
        <v>1291</v>
      </c>
      <c r="M1" s="47" t="s">
        <v>1292</v>
      </c>
      <c r="N1" s="47" t="s">
        <v>1293</v>
      </c>
      <c r="P1" s="149" t="s">
        <v>1294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1295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1296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1297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1298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1299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1300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1301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1302</v>
      </c>
    </row>
    <row r="11" spans="1:16" x14ac:dyDescent="0.3">
      <c r="A11" s="54" t="s">
        <v>1303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1304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1304</v>
      </c>
    </row>
    <row r="13" spans="1:16" x14ac:dyDescent="0.3">
      <c r="A13" s="60" t="s">
        <v>1305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1302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1306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1307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1308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1302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2026-09-24T18:29:26Z</dcterms:modified>
  <cp:category/>
  <cp:contentStatus/>
</cp:coreProperties>
</file>